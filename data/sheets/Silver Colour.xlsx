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a9e46087b5738/0-Concordia_Capital/excel_to_https/excel_web_refresh/export/sheets/"/>
    </mc:Choice>
  </mc:AlternateContent>
  <xr:revisionPtr revIDLastSave="0" documentId="8_{81A796A5-1150-4AB0-B15D-4C92640C2041}" xr6:coauthVersionLast="47" xr6:coauthVersionMax="47" xr10:uidLastSave="{00000000-0000-0000-0000-000000000000}"/>
  <bookViews>
    <workbookView xWindow="-108" yWindow="-108" windowWidth="23256" windowHeight="12456" xr2:uid="{DF815535-466F-4C2D-AE20-3EE6F81B6D17}"/>
  </bookViews>
  <sheets>
    <sheet name="Silver Colour" sheetId="1" r:id="rId1"/>
  </sheets>
  <externalReferences>
    <externalReference r:id="rId2"/>
    <externalReference r:id="rId3"/>
  </externalReferences>
  <definedNames>
    <definedName name="agprice">[1]Prices!$B$3</definedName>
    <definedName name="auprice">[1]Prices!$B$1</definedName>
    <definedName name="CIQWBGuid" hidden="1">"5376053f-e0f2-40b8-a1e8-f124d84bdcfe"</definedName>
    <definedName name="CIQWBInfo" hidden="1">"{ ""CIQVersion"":""9.52.4409.4666"" }"</definedName>
    <definedName name="cuprice">[1]Prices!$B$2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46064.7990046296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ketcap">[2]Inputs!$F$335</definedName>
    <definedName name="niprice">[1]Prices!$B$6</definedName>
    <definedName name="Numbershares">[2]Inputs!$F$323</definedName>
    <definedName name="pbprice">[1]Prices!$B$4</definedName>
    <definedName name="znprice">[1]Prices!$B$5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<sst xmlns="http://schemas.openxmlformats.org/spreadsheetml/2006/main" count="18" uniqueCount="18">
  <si>
    <t>P/NAV Filter</t>
  </si>
  <si>
    <t>P/CF 25 Filter</t>
  </si>
  <si>
    <t>EV/Prodn 25 filter</t>
  </si>
  <si>
    <t>EV/Reserves filter</t>
  </si>
  <si>
    <t>P/NAV v historical since 2018</t>
  </si>
  <si>
    <t>Senior Producers</t>
  </si>
  <si>
    <t>Aya Gold &amp; Silver</t>
  </si>
  <si>
    <t>First Majestic Silver</t>
  </si>
  <si>
    <t>Endeavour Silver</t>
  </si>
  <si>
    <t>Silvercorp Metals</t>
  </si>
  <si>
    <t>MAG Silver</t>
  </si>
  <si>
    <t>GoGold Resources</t>
  </si>
  <si>
    <t>Adriatic Metals</t>
  </si>
  <si>
    <t>Silver Index Companies</t>
  </si>
  <si>
    <t>Fortuna Mining</t>
  </si>
  <si>
    <t>Pan American Silver</t>
  </si>
  <si>
    <t>Coeur Mining</t>
  </si>
  <si>
    <t>Hecla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</si>
</sst>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Times New Roman"/>
      <charset val="204"/>
    </font>
    <font>
      <i/>
      <sz val="1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Times New Roman"/>
      <family val="1"/>
      <charset val="204"/>
    </font>
    <font>
      <b/>
      <sz val="13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9" fontId="1" fillId="2" borderId="1" xfId="0" applyNumberFormat="1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top"/>
    </xf>
    <xf numFmtId="164" fontId="0" fillId="2" borderId="4" xfId="0" applyNumberFormat="1" applyFill="1" applyBorder="1" applyAlignment="1">
      <alignment horizontal="center" vertical="top"/>
    </xf>
    <xf numFmtId="164" fontId="0" fillId="2" borderId="5" xfId="0" applyNumberFormat="1" applyFill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9" fontId="0" fillId="0" borderId="1" xfId="1" applyFont="1" applyBorder="1" applyAlignment="1">
      <alignment horizontal="center" vertical="top"/>
    </xf>
    <xf numFmtId="0" fontId="5" fillId="0" borderId="6" xfId="0" applyFont="1" applyBorder="1" applyAlignment="1">
      <alignment horizontal="left" vertical="top"/>
    </xf>
    <xf numFmtId="14" fontId="0" fillId="0" borderId="0" xfId="0" applyNumberFormat="1" applyAlignment="1">
      <alignment horizontal="center"/>
    </xf>
  </cellXfs>
  <cellStyles count="2">
    <cellStyle name="常规" xfId="0" builtinId="0"/>
    <cellStyle name="百分比" xfId="1" builtinId="5"/>
  </cellStyles>
  <dxfs count="1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aa9e46087b5738/0-Concordia_Capital/excel_to_https/excel_web_refresh/agent/Miners_Comps_Screener_Web.xlsx" TargetMode="External"/><Relationship Id="rId1" Type="http://schemas.openxmlformats.org/officeDocument/2006/relationships/externalLinkPath" Target="/28aa9e46087b5738/0-Concordia_Capital/excel_to_https/excel_web_refresh/agent/Miners_Comps_Screener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Relationship Id="rId1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Golds"/>
      <sheetName val="Golds Colour"/>
      <sheetName val="Gold PNAVs "/>
      <sheetName val="Copper"/>
      <sheetName val="Copper Colour"/>
      <sheetName val="Copper PNAVs"/>
      <sheetName val="Silver"/>
      <sheetName val="Silver Colour"/>
      <sheetName val="Silver PNAVs"/>
      <sheetName val="Diversifieds"/>
      <sheetName val="Diversifieds Colour"/>
      <sheetName val="PGMs"/>
      <sheetName val="Iron Ore"/>
      <sheetName val="Uranium"/>
      <sheetName val="Lithium"/>
      <sheetName val="Other"/>
      <sheetName val="Coal"/>
      <sheetName val="O&amp;G"/>
      <sheetName val="Aluminium"/>
      <sheetName val="Watchlist"/>
      <sheetName val="Small Cap"/>
      <sheetName val="Prices"/>
      <sheetName val="Commodity Conviction"/>
      <sheetName val="S&amp;P Ticker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K6">
            <v>0.81955589646935068</v>
          </cell>
          <cell r="M6">
            <v>36.802856856750502</v>
          </cell>
          <cell r="AJ6">
            <v>4871.57</v>
          </cell>
          <cell r="BG6">
            <v>32.748107222408294</v>
          </cell>
        </row>
        <row r="7">
          <cell r="K7">
            <v>2.8401772999999997</v>
          </cell>
          <cell r="M7">
            <v>23.165561230200002</v>
          </cell>
          <cell r="AJ7">
            <v>30366.667000000001</v>
          </cell>
          <cell r="BG7">
            <v>64.444863676008239</v>
          </cell>
        </row>
        <row r="8">
          <cell r="K8">
            <v>1.24074851</v>
          </cell>
          <cell r="M8">
            <v>52.035065748199997</v>
          </cell>
          <cell r="AJ8">
            <v>8638.6666699999987</v>
          </cell>
          <cell r="BG8">
            <v>34.355693149277002</v>
          </cell>
        </row>
        <row r="9">
          <cell r="K9">
            <v>0.78258101938094926</v>
          </cell>
          <cell r="M9">
            <v>6.0879094118625003</v>
          </cell>
          <cell r="AJ9">
            <v>6944.5</v>
          </cell>
          <cell r="BG9">
            <v>9.9133665495161836</v>
          </cell>
        </row>
        <row r="10">
          <cell r="K10" t="e">
            <v>#VALUE!</v>
          </cell>
          <cell r="M10" t="str">
            <v>NA</v>
          </cell>
          <cell r="AJ10">
            <v>11490</v>
          </cell>
          <cell r="BG10" t="e">
            <v>#DIV/0!</v>
          </cell>
        </row>
        <row r="11">
          <cell r="K11">
            <v>0.66167783000000002</v>
          </cell>
          <cell r="M11">
            <v>29.625668449100001</v>
          </cell>
          <cell r="AJ11">
            <v>900</v>
          </cell>
          <cell r="BG11">
            <v>6.5539899119842469</v>
          </cell>
        </row>
        <row r="12">
          <cell r="K12" t="e">
            <v>#VALUE!</v>
          </cell>
          <cell r="M12">
            <v>14.10430839</v>
          </cell>
          <cell r="AJ12">
            <v>823.33333333333337</v>
          </cell>
          <cell r="BG12" t="e">
            <v>#DIV/0!</v>
          </cell>
        </row>
        <row r="13">
          <cell r="K13" t="e">
            <v>#VALUE!</v>
          </cell>
          <cell r="M13">
            <v>26.970228347685502</v>
          </cell>
          <cell r="AJ13">
            <v>9147.8195719047617</v>
          </cell>
          <cell r="BG13" t="e">
            <v>#DIV/0!</v>
          </cell>
        </row>
        <row r="15">
          <cell r="K15">
            <v>0.76983219735986619</v>
          </cell>
          <cell r="M15">
            <v>6.775231223904</v>
          </cell>
          <cell r="AJ15">
            <v>28181.25</v>
          </cell>
          <cell r="BG15">
            <v>11.18177493717061</v>
          </cell>
        </row>
        <row r="16">
          <cell r="K16">
            <v>1.3452823715911664</v>
          </cell>
          <cell r="M16">
            <v>15.9125122990854</v>
          </cell>
          <cell r="AJ16">
            <v>98027.785429999989</v>
          </cell>
          <cell r="BG16">
            <v>18.617812367633942</v>
          </cell>
        </row>
        <row r="17">
          <cell r="K17">
            <v>1.6722268600000001</v>
          </cell>
          <cell r="M17">
            <v>16.522727272699999</v>
          </cell>
          <cell r="AJ17">
            <v>60026.166669999999</v>
          </cell>
          <cell r="BG17">
            <v>24.215757581001064</v>
          </cell>
        </row>
        <row r="18">
          <cell r="K18">
            <v>2.4003522099999999</v>
          </cell>
          <cell r="M18">
            <v>28.1430563857</v>
          </cell>
          <cell r="AJ18">
            <v>32128.25</v>
          </cell>
          <cell r="BG18">
            <v>25.706876939826483</v>
          </cell>
        </row>
        <row r="19">
          <cell r="K19">
            <v>1.546923409737758</v>
          </cell>
          <cell r="M19">
            <v>16.838381795347352</v>
          </cell>
          <cell r="AJ19">
            <v>54590.863024999999</v>
          </cell>
          <cell r="BG19">
            <v>19.930555456408026</v>
          </cell>
        </row>
      </sheetData>
      <sheetData sheetId="8"/>
      <sheetData sheetId="9">
        <row r="2">
          <cell r="B2">
            <v>0.96665771906456455</v>
          </cell>
          <cell r="C2">
            <v>1.8918590647437248</v>
          </cell>
          <cell r="D2">
            <v>1.0122902042948292</v>
          </cell>
          <cell r="E2">
            <v>0.84141656624532801</v>
          </cell>
          <cell r="F2">
            <v>1.0245488398321734</v>
          </cell>
          <cell r="G2">
            <v>0.50925891453717553</v>
          </cell>
          <cell r="H2">
            <v>0.69770036936866109</v>
          </cell>
          <cell r="I2">
            <v>1.0781397380025974</v>
          </cell>
          <cell r="J2">
            <v>1.1706819368323731</v>
          </cell>
          <cell r="K2">
            <v>1.0855080036038243</v>
          </cell>
          <cell r="L2">
            <v>1.3109474807264363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>
            <v>3000</v>
          </cell>
        </row>
        <row r="2">
          <cell r="B2">
            <v>9500</v>
          </cell>
        </row>
        <row r="3">
          <cell r="B3">
            <v>30</v>
          </cell>
        </row>
        <row r="4">
          <cell r="B4">
            <v>2200</v>
          </cell>
        </row>
        <row r="5">
          <cell r="B5">
            <v>3000</v>
          </cell>
        </row>
        <row r="6">
          <cell r="B6">
            <v>19000</v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Valuation"/>
      <sheetName val="Inputs"/>
      <sheetName val="Financials (consolidated) Q"/>
      <sheetName val="Financials (consolidated)"/>
      <sheetName val="EAGLE"/>
      <sheetName val="BREWERY CREEK"/>
      <sheetName val="3"/>
      <sheetName val="4"/>
      <sheetName val="5"/>
      <sheetName val="Balance Sheet"/>
      <sheetName val="Income Statement"/>
      <sheetName val="Cash Flow"/>
      <sheetName val="43-101"/>
      <sheetName val="Tables"/>
      <sheetName val="brokers"/>
      <sheetName val="Notes"/>
      <sheetName val="Quarterl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7BF4-E901-4AF0-A1AC-97D87A1F15ED}">
  <dimension ref="A1:F23"/>
  <sheetViews>
    <sheetView showGridLines="0" tabSelected="1" zoomScale="90" zoomScaleNormal="100" workbookViewId="0">
      <pane xSplit="1" ySplit="3" topLeftCell="B4" activePane="bottomRight" state="frozen"/>
      <selection activeCell="I2678" sqref="I2678"/>
      <selection pane="topRight" activeCell="I2678" sqref="I2678"/>
      <selection pane="bottomLeft" activeCell="I2678" sqref="I2678"/>
      <selection pane="bottomRight" activeCell="I2678" sqref="I2678"/>
    </sheetView>
  </sheetViews>
  <sheetFormatPr defaultRowHeight="13.2" x14ac:dyDescent="0.25"/>
  <cols>
    <col min="1" max="1" width="22" style="1" bestFit="1" customWidth="1"/>
    <col min="2" max="2" width="12.6640625" style="1" customWidth="1"/>
    <col min="3" max="3" width="15.77734375" style="1" customWidth="1"/>
    <col min="4" max="4" width="15.44140625" style="1" customWidth="1"/>
    <col min="5" max="5" width="18.44140625" style="1" customWidth="1"/>
    <col min="6" max="16384" width="8.88671875" style="1"/>
  </cols>
  <sheetData>
    <row r="1" spans="1:6" x14ac:dyDescent="0.25">
      <c r="B1" s="2">
        <v>0.2</v>
      </c>
      <c r="C1" s="2">
        <v>0.2</v>
      </c>
      <c r="D1" s="2">
        <v>0.2</v>
      </c>
      <c r="E1" s="2">
        <v>0.2</v>
      </c>
      <c r="F1" s="2">
        <v>0.2</v>
      </c>
    </row>
    <row r="2" spans="1:6" ht="52.8" x14ac:dyDescent="0.25">
      <c r="B2" s="3" t="s">
        <v>0</v>
      </c>
      <c r="C2" s="4" t="s">
        <v>1</v>
      </c>
      <c r="D2" s="4" t="s">
        <v>2</v>
      </c>
      <c r="E2" s="5" t="s">
        <v>3</v>
      </c>
      <c r="F2" s="5" t="s">
        <v>4</v>
      </c>
    </row>
    <row r="3" spans="1:6" ht="16.8" x14ac:dyDescent="0.25">
      <c r="A3" s="6" t="s">
        <v>5</v>
      </c>
      <c r="B3" s="7"/>
      <c r="C3" s="7"/>
      <c r="D3" s="7"/>
      <c r="E3" s="7"/>
      <c r="F3" s="8"/>
    </row>
    <row r="4" spans="1:6" ht="13.8" x14ac:dyDescent="0.25">
      <c r="A4" s="9" t="s">
        <v>6</v>
      </c>
      <c r="B4" s="10" t="e">
        <f>IF([1]Silver!K6=0, "", ([1]Silver!K6-[1]Silver!$K$13)/[1]Silver!$K$13)</f>
        <v>#VALUE!</v>
      </c>
      <c r="C4" s="10">
        <f>IF([1]Silver!M6=0, "", ([1]Silver!M6-[1]Silver!$M$13)/[1]Silver!$M$13)</f>
        <v>0.36457342452974834</v>
      </c>
      <c r="D4" s="10">
        <f>IF([1]Silver!AJ6=0, "", ([1]Silver!AJ6-[1]Silver!$AJ$13)/[1]Silver!$AJ$13)</f>
        <v>-0.46746107510014651</v>
      </c>
      <c r="E4" s="10" t="e">
        <f>IF([1]Silver!BG6=0, "", ([1]Silver!BG6-[1]Silver!$BG$13)/[1]Silver!$BG$13)</f>
        <v>#DIV/0!</v>
      </c>
      <c r="F4" s="10">
        <f>[1]Silver!K6/'[1]Silver PNAVs'!B2-1</f>
        <v>-0.15217570779610012</v>
      </c>
    </row>
    <row r="5" spans="1:6" ht="13.8" x14ac:dyDescent="0.25">
      <c r="A5" s="9" t="s">
        <v>7</v>
      </c>
      <c r="B5" s="10" t="e">
        <f>IF([1]Silver!K7=0, "", ([1]Silver!K7-[1]Silver!$K$13)/[1]Silver!$K$13)</f>
        <v>#VALUE!</v>
      </c>
      <c r="C5" s="10">
        <f>IF([1]Silver!M7=0, "", ([1]Silver!M7-[1]Silver!$M$13)/[1]Silver!$M$13)</f>
        <v>-0.14106914737383025</v>
      </c>
      <c r="D5" s="10">
        <f>IF([1]Silver!AJ7=0, "", ([1]Silver!AJ7-[1]Silver!$AJ$13)/[1]Silver!$AJ$13)</f>
        <v>2.3195524639842722</v>
      </c>
      <c r="E5" s="10" t="e">
        <f>IF([1]Silver!BG7=0, "", ([1]Silver!BG7-[1]Silver!$BG$13)/[1]Silver!$BG$13)</f>
        <v>#DIV/0!</v>
      </c>
      <c r="F5" s="10">
        <f>[1]Silver!K7/'[1]Silver PNAVs'!C2-1</f>
        <v>0.50126262200442295</v>
      </c>
    </row>
    <row r="6" spans="1:6" ht="13.8" x14ac:dyDescent="0.25">
      <c r="A6" s="9" t="s">
        <v>8</v>
      </c>
      <c r="B6" s="10" t="e">
        <f>IF([1]Silver!K8=0, "", ([1]Silver!K8-[1]Silver!$K$13)/[1]Silver!$K$13)</f>
        <v>#VALUE!</v>
      </c>
      <c r="C6" s="10">
        <f>IF([1]Silver!M8=0, "", ([1]Silver!M8-[1]Silver!$M$13)/[1]Silver!$M$13)</f>
        <v>0.92935206470602527</v>
      </c>
      <c r="D6" s="10">
        <f>IF([1]Silver!AJ8=0, "", ([1]Silver!AJ8-[1]Silver!$AJ$13)/[1]Silver!$AJ$13)</f>
        <v>-5.565838918254342E-2</v>
      </c>
      <c r="E6" s="10" t="e">
        <f>IF([1]Silver!BG8=0, "", ([1]Silver!BG8-[1]Silver!$BG$13)/[1]Silver!$BG$13)</f>
        <v>#DIV/0!</v>
      </c>
      <c r="F6" s="10">
        <f>[1]Silver!K8/'[1]Silver PNAVs'!D2-1</f>
        <v>0.2256845959151772</v>
      </c>
    </row>
    <row r="7" spans="1:6" ht="13.8" x14ac:dyDescent="0.25">
      <c r="A7" s="9" t="s">
        <v>9</v>
      </c>
      <c r="B7" s="10" t="e">
        <f>IF([1]Silver!K9=0, "", ([1]Silver!K9-[1]Silver!$K$13)/[1]Silver!$K$13)</f>
        <v>#VALUE!</v>
      </c>
      <c r="C7" s="10">
        <f>IF([1]Silver!M9=0, "", ([1]Silver!M9-[1]Silver!$M$13)/[1]Silver!$M$13)</f>
        <v>-0.77427297487509239</v>
      </c>
      <c r="D7" s="10">
        <f>IF([1]Silver!AJ9=0, "", ([1]Silver!AJ9-[1]Silver!$AJ$13)/[1]Silver!$AJ$13)</f>
        <v>-0.24085734907493217</v>
      </c>
      <c r="E7" s="10" t="e">
        <f>IF([1]Silver!BG9=0, "", ([1]Silver!BG9-[1]Silver!$BG$13)/[1]Silver!$BG$13)</f>
        <v>#DIV/0!</v>
      </c>
      <c r="F7" s="10">
        <f>[1]Silver!K9/'[1]Silver PNAVs'!E2-1</f>
        <v>-6.9924398002908283E-2</v>
      </c>
    </row>
    <row r="8" spans="1:6" ht="13.8" x14ac:dyDescent="0.25">
      <c r="A8" s="9" t="s">
        <v>10</v>
      </c>
      <c r="B8" s="10" t="e">
        <f>IF([1]Silver!K10=0, "", ([1]Silver!K10-[1]Silver!$K$13)/[1]Silver!$K$13)</f>
        <v>#VALUE!</v>
      </c>
      <c r="C8" s="10" t="e">
        <f>IF([1]Silver!M10=0, "", ([1]Silver!M10-[1]Silver!$M$13)/[1]Silver!$M$13)</f>
        <v>#VALUE!</v>
      </c>
      <c r="D8" s="10">
        <f>IF([1]Silver!AJ10=0, "", ([1]Silver!AJ10-[1]Silver!$AJ$13)/[1]Silver!$AJ$13)</f>
        <v>0.25603701621845049</v>
      </c>
      <c r="E8" s="10" t="e">
        <f>IF([1]Silver!BG10=0, "", ([1]Silver!BG10-[1]Silver!$BG$13)/[1]Silver!$BG$13)</f>
        <v>#DIV/0!</v>
      </c>
      <c r="F8" s="10" t="e">
        <f>[1]Silver!K10/'[1]Silver PNAVs'!F2-1</f>
        <v>#VALUE!</v>
      </c>
    </row>
    <row r="9" spans="1:6" ht="13.8" x14ac:dyDescent="0.25">
      <c r="A9" s="9" t="s">
        <v>11</v>
      </c>
      <c r="B9" s="10" t="e">
        <f>IF([1]Silver!K11=0, "", ([1]Silver!K11-[1]Silver!$K$13)/[1]Silver!$K$13)</f>
        <v>#VALUE!</v>
      </c>
      <c r="C9" s="10">
        <f>IF([1]Silver!M11=0, "", ([1]Silver!M11-[1]Silver!$M$13)/[1]Silver!$M$13)</f>
        <v>9.8458198691609516E-2</v>
      </c>
      <c r="D9" s="10">
        <f>IF([1]Silver!AJ11=0, "", ([1]Silver!AJ11-[1]Silver!$AJ$13)/[1]Silver!$AJ$13)</f>
        <v>-0.9016158995129151</v>
      </c>
      <c r="E9" s="10" t="e">
        <f>IF([1]Silver!BG11=0, "", ([1]Silver!BG11-[1]Silver!$BG$13)/[1]Silver!$BG$13)</f>
        <v>#DIV/0!</v>
      </c>
      <c r="F9" s="10">
        <f>[1]Silver!K11/'[1]Silver PNAVs'!G2-1</f>
        <v>0.29929552750460098</v>
      </c>
    </row>
    <row r="10" spans="1:6" ht="13.8" x14ac:dyDescent="0.25">
      <c r="A10" s="9" t="s">
        <v>12</v>
      </c>
      <c r="B10" s="10" t="e">
        <f>IF([1]Silver!K12=0, "", ([1]Silver!K12-[1]Silver!$K$13)/[1]Silver!$K$13)</f>
        <v>#VALUE!</v>
      </c>
      <c r="C10" s="10">
        <f>IF([1]Silver!M12=0, "", ([1]Silver!M12-[1]Silver!$M$13)/[1]Silver!$M$13)</f>
        <v>-0.47704156567846095</v>
      </c>
      <c r="D10" s="10">
        <f>IF([1]Silver!AJ12=0, "", ([1]Silver!AJ12-[1]Silver!$AJ$13)/[1]Silver!$AJ$13)</f>
        <v>-0.90999676733218526</v>
      </c>
      <c r="E10" s="10" t="e">
        <f>IF([1]Silver!BG12=0, "", ([1]Silver!BG12-[1]Silver!$BG$13)/[1]Silver!$BG$13)</f>
        <v>#DIV/0!</v>
      </c>
      <c r="F10" s="10" t="e">
        <f>[1]Silver!K12/'[1]Silver PNAVs'!H2-1</f>
        <v>#VALUE!</v>
      </c>
    </row>
    <row r="11" spans="1:6" ht="16.8" collapsed="1" x14ac:dyDescent="0.25">
      <c r="A11" s="6" t="s">
        <v>13</v>
      </c>
      <c r="B11" s="7"/>
      <c r="C11" s="7"/>
      <c r="D11" s="7"/>
      <c r="E11" s="7"/>
    </row>
    <row r="12" spans="1:6" ht="13.8" x14ac:dyDescent="0.25">
      <c r="A12" s="9" t="s">
        <v>14</v>
      </c>
      <c r="B12" s="10">
        <f>IF([1]Silver!K15=0, "", ([1]Silver!K15-[1]Silver!$K$19)/[1]Silver!$K$19)</f>
        <v>-0.50234627486155126</v>
      </c>
      <c r="C12" s="10">
        <f>IF([1]Silver!M15=0, "", ([1]Silver!M15-[1]Silver!$M$19)/[1]Silver!$M$19)</f>
        <v>-0.59763169013211959</v>
      </c>
      <c r="D12" s="10">
        <f>IF([1]Silver!AJ15=0, "", ([1]Silver!AJ15-[1]Silver!$AJ$19)/[1]Silver!$AJ$19)</f>
        <v>-0.48377350277290287</v>
      </c>
      <c r="E12" s="10">
        <f>IF([1]Silver!BG15=0, "", ([1]Silver!BG15-[1]Silver!$BG$19)/[1]Silver!$BG$19)</f>
        <v>-0.43896320593636684</v>
      </c>
      <c r="F12" s="10">
        <f>[1]Silver!K15/'[1]Silver PNAVs'!I2-1</f>
        <v>-0.28596250539277357</v>
      </c>
    </row>
    <row r="13" spans="1:6" ht="13.8" x14ac:dyDescent="0.25">
      <c r="A13" s="9" t="s">
        <v>15</v>
      </c>
      <c r="B13" s="10">
        <f>IF([1]Silver!K16=0, "", ([1]Silver!K16-[1]Silver!$K$19)/[1]Silver!$K$19)</f>
        <v>-0.13034972311963058</v>
      </c>
      <c r="C13" s="10">
        <f>IF([1]Silver!M16=0, "", ([1]Silver!M16-[1]Silver!$M$19)/[1]Silver!$M$19)</f>
        <v>-5.4985657619295802E-2</v>
      </c>
      <c r="D13" s="10">
        <f>IF([1]Silver!AJ16=0, "", ([1]Silver!AJ16-[1]Silver!$AJ$19)/[1]Silver!$AJ$19)</f>
        <v>0.79568118175944502</v>
      </c>
      <c r="E13" s="10">
        <f>IF([1]Silver!BG16=0, "", ([1]Silver!BG16-[1]Silver!$BG$19)/[1]Silver!$BG$19)</f>
        <v>-6.5865855652909769E-2</v>
      </c>
      <c r="F13" s="10">
        <f>[1]Silver!K16/'[1]Silver PNAVs'!J2-1</f>
        <v>0.14914421181830684</v>
      </c>
    </row>
    <row r="14" spans="1:6" ht="13.8" x14ac:dyDescent="0.25">
      <c r="A14" s="9" t="s">
        <v>16</v>
      </c>
      <c r="B14" s="10">
        <f>IF([1]Silver!K17=0, "", ([1]Silver!K17-[1]Silver!$K$19)/[1]Silver!$K$19)</f>
        <v>8.1001715710982844E-2</v>
      </c>
      <c r="C14" s="10">
        <f>IF([1]Silver!M17=0, "", ([1]Silver!M17-[1]Silver!$M$19)/[1]Silver!$M$19)</f>
        <v>-1.8746131693876452E-2</v>
      </c>
      <c r="D14" s="10">
        <f>IF([1]Silver!AJ17=0, "", ([1]Silver!AJ17-[1]Silver!$AJ$19)/[1]Silver!$AJ$19)</f>
        <v>9.9564347288499389E-2</v>
      </c>
      <c r="E14" s="10">
        <f>IF([1]Silver!BG17=0, "", ([1]Silver!BG17-[1]Silver!$BG$19)/[1]Silver!$BG$19)</f>
        <v>0.21500665819202092</v>
      </c>
      <c r="F14" s="10">
        <f>[1]Silver!K17/'[1]Silver PNAVs'!K2-1</f>
        <v>0.54050164019823255</v>
      </c>
    </row>
    <row r="15" spans="1:6" ht="13.8" x14ac:dyDescent="0.25">
      <c r="A15" s="11" t="s">
        <v>17</v>
      </c>
      <c r="B15" s="10">
        <f>IF([1]Silver!K18=0, "", ([1]Silver!K18-[1]Silver!$K$19)/[1]Silver!$K$19)</f>
        <v>0.55169428227019934</v>
      </c>
      <c r="C15" s="10">
        <f>IF([1]Silver!M18=0, "", ([1]Silver!M18-[1]Silver!$M$19)/[1]Silver!$M$19)</f>
        <v>0.67136347944529118</v>
      </c>
      <c r="D15" s="10">
        <f>IF([1]Silver!AJ18=0, "", ([1]Silver!AJ18-[1]Silver!$AJ$19)/[1]Silver!$AJ$19)</f>
        <v>-0.41147202627504165</v>
      </c>
      <c r="E15" s="10">
        <f>IF([1]Silver!BG18=0, "", ([1]Silver!BG18-[1]Silver!$BG$19)/[1]Silver!$BG$19)</f>
        <v>0.2898224033972554</v>
      </c>
      <c r="F15" s="10">
        <f>[1]Silver!K18/'[1]Silver PNAVs'!L2-1</f>
        <v>0.8310056240162198</v>
      </c>
    </row>
    <row r="17" spans="1:2" x14ac:dyDescent="0.25">
      <c r="A17" s="12"/>
      <c r="B17" s="12"/>
    </row>
    <row r="18" spans="1:2" x14ac:dyDescent="0.25">
      <c r="A18" s="12"/>
      <c r="B18" s="12"/>
    </row>
    <row r="19" spans="1:2" x14ac:dyDescent="0.25">
      <c r="A19" s="12"/>
      <c r="B19" s="12"/>
    </row>
    <row r="20" spans="1:2" x14ac:dyDescent="0.25">
      <c r="A20" s="12"/>
      <c r="B20" s="12"/>
    </row>
    <row r="21" spans="1:2" x14ac:dyDescent="0.25">
      <c r="A21" s="12"/>
      <c r="B21" s="12"/>
    </row>
    <row r="22" spans="1:2" x14ac:dyDescent="0.25">
      <c r="A22" s="12"/>
      <c r="B22" s="12"/>
    </row>
    <row r="23" spans="1:2" x14ac:dyDescent="0.25">
      <c r="A23" s="12"/>
      <c r="B23" s="12"/>
    </row>
  </sheetData>
  <conditionalFormatting sqref="B4:B10 B12:B15">
    <cfRule type="expression" dxfId="11" priority="8">
      <formula>$B4&gt;=$B$1</formula>
    </cfRule>
    <cfRule type="expression" dxfId="10" priority="12">
      <formula>$B4&lt;=-$B$1</formula>
    </cfRule>
  </conditionalFormatting>
  <conditionalFormatting sqref="C4:C10 C12:C15">
    <cfRule type="expression" dxfId="9" priority="7">
      <formula>$C4&gt;=$C$1</formula>
    </cfRule>
    <cfRule type="expression" dxfId="8" priority="11">
      <formula>$C4&lt;=-$C$1</formula>
    </cfRule>
  </conditionalFormatting>
  <conditionalFormatting sqref="D4:D10 D12:D15">
    <cfRule type="expression" dxfId="7" priority="6">
      <formula>$D4&gt;=$D$1</formula>
    </cfRule>
    <cfRule type="expression" dxfId="6" priority="10">
      <formula>$D4&lt;=-$D$1</formula>
    </cfRule>
  </conditionalFormatting>
  <conditionalFormatting sqref="E4:E10 E12:E15">
    <cfRule type="expression" dxfId="5" priority="5">
      <formula>$E4&gt;=$E$1</formula>
    </cfRule>
    <cfRule type="expression" dxfId="4" priority="9">
      <formula>$E4&lt;=-$E$1</formula>
    </cfRule>
  </conditionalFormatting>
  <conditionalFormatting sqref="F4:F10">
    <cfRule type="expression" dxfId="3" priority="3">
      <formula>$F4&gt;=$F$1</formula>
    </cfRule>
    <cfRule type="expression" dxfId="2" priority="4">
      <formula>$F4&lt;=-$F$1</formula>
    </cfRule>
  </conditionalFormatting>
  <conditionalFormatting sqref="F12:F15">
    <cfRule type="expression" dxfId="1" priority="1">
      <formula>$F12&gt;=$F$1</formula>
    </cfRule>
    <cfRule type="expression" dxfId="0" priority="2">
      <formula>$F12&lt;=-$F$1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Silver Colour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SU</dc:creator>
  <cp:lastModifiedBy>H SU</cp:lastModifiedBy>
  <dcterms:created xsi:type="dcterms:W3CDTF">2026-02-20T13:11:36Z</dcterms:created>
  <dcterms:modified xsi:type="dcterms:W3CDTF">2026-02-20T13:11:37Z</dcterms:modified>
</cp:coreProperties>
</file>