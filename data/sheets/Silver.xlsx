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888A8A73-B845-4167-9F9F-B47249F8F7D0}" xr6:coauthVersionLast="47" xr6:coauthVersionMax="47" xr10:uidLastSave="{00000000-0000-0000-0000-000000000000}"/>
  <bookViews>
    <workbookView xWindow="-108" yWindow="-108" windowWidth="23256" windowHeight="12456" xr2:uid="{E579155B-6784-45B4-8BA0-836608E59BB4}"/>
  </bookViews>
  <sheets>
    <sheet name="Silver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O19" i="1" l="1"/>
  <c r="BN19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D18" i="1"/>
  <c r="BC18" i="1"/>
  <c r="BB18" i="1"/>
  <c r="BA18" i="1"/>
  <c r="BF18" i="1" s="1"/>
  <c r="AZ18" i="1"/>
  <c r="AY18" i="1"/>
  <c r="AX18" i="1"/>
  <c r="AW18" i="1"/>
  <c r="AV18" i="1"/>
  <c r="AU18" i="1"/>
  <c r="BE18" i="1" s="1"/>
  <c r="AT18" i="1"/>
  <c r="AS18" i="1"/>
  <c r="AR18" i="1"/>
  <c r="AQ18" i="1"/>
  <c r="AP18" i="1"/>
  <c r="AO18" i="1"/>
  <c r="AH18" i="1"/>
  <c r="AG18" i="1"/>
  <c r="AF18" i="1"/>
  <c r="AE18" i="1"/>
  <c r="AK18" i="1" s="1"/>
  <c r="AD18" i="1"/>
  <c r="AJ18" i="1" s="1"/>
  <c r="AM18" i="1" s="1"/>
  <c r="AC18" i="1"/>
  <c r="AI18" i="1" s="1"/>
  <c r="AB18" i="1"/>
  <c r="AA18" i="1"/>
  <c r="Z18" i="1"/>
  <c r="Y18" i="1"/>
  <c r="X18" i="1"/>
  <c r="X19" i="1" s="1"/>
  <c r="W18" i="1"/>
  <c r="W19" i="1" s="1"/>
  <c r="V18" i="1" a="1"/>
  <c r="V18" i="1" s="1"/>
  <c r="U18" i="1" a="1"/>
  <c r="U18" i="1" s="1"/>
  <c r="T18" i="1" a="1"/>
  <c r="T18" i="1" s="1"/>
  <c r="S18" i="1" a="1"/>
  <c r="S18" i="1" s="1"/>
  <c r="R18" i="1" a="1"/>
  <c r="R18" i="1" s="1"/>
  <c r="N18" i="1" a="1"/>
  <c r="N18" i="1" s="1"/>
  <c r="M18" i="1"/>
  <c r="M18" i="1" a="1"/>
  <c r="L18" i="1"/>
  <c r="L18" i="1" a="1"/>
  <c r="K18" i="1" a="1"/>
  <c r="K18" i="1" s="1"/>
  <c r="G18" i="1"/>
  <c r="Q18" i="1" s="1"/>
  <c r="F18" i="1"/>
  <c r="AL18" i="1" s="1"/>
  <c r="C18" i="1"/>
  <c r="B18" i="1"/>
  <c r="A18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C17" i="1"/>
  <c r="BB17" i="1"/>
  <c r="BA17" i="1"/>
  <c r="AZ17" i="1"/>
  <c r="AY17" i="1"/>
  <c r="AX17" i="1"/>
  <c r="AW17" i="1"/>
  <c r="AV17" i="1"/>
  <c r="AU17" i="1"/>
  <c r="BE17" i="1" s="1"/>
  <c r="BH17" i="1" s="1"/>
  <c r="AT17" i="1"/>
  <c r="AS17" i="1"/>
  <c r="AR17" i="1"/>
  <c r="AQ17" i="1"/>
  <c r="AP17" i="1"/>
  <c r="BD17" i="1" s="1"/>
  <c r="AO17" i="1"/>
  <c r="AJ17" i="1"/>
  <c r="AM17" i="1" s="1"/>
  <c r="AH17" i="1"/>
  <c r="AG17" i="1"/>
  <c r="AF17" i="1"/>
  <c r="AE17" i="1"/>
  <c r="AD17" i="1"/>
  <c r="AC17" i="1"/>
  <c r="AI17" i="1" s="1"/>
  <c r="AL17" i="1" s="1"/>
  <c r="AB17" i="1"/>
  <c r="AK17" i="1" s="1"/>
  <c r="AA17" i="1"/>
  <c r="Z17" i="1"/>
  <c r="Y17" i="1"/>
  <c r="X17" i="1"/>
  <c r="W17" i="1"/>
  <c r="V17" i="1" a="1"/>
  <c r="V17" i="1" s="1"/>
  <c r="U17" i="1"/>
  <c r="U17" i="1" a="1"/>
  <c r="T17" i="1"/>
  <c r="T17" i="1" a="1"/>
  <c r="S17" i="1" a="1"/>
  <c r="S17" i="1" s="1"/>
  <c r="R17" i="1" a="1"/>
  <c r="R17" i="1" s="1"/>
  <c r="Q17" i="1"/>
  <c r="O17" i="1"/>
  <c r="N17" i="1" a="1"/>
  <c r="N17" i="1" s="1"/>
  <c r="M17" i="1" a="1"/>
  <c r="M17" i="1" s="1"/>
  <c r="L17" i="1" a="1"/>
  <c r="L17" i="1" s="1"/>
  <c r="K17" i="1" a="1"/>
  <c r="K17" i="1" s="1"/>
  <c r="G17" i="1"/>
  <c r="P17" i="1" s="1"/>
  <c r="F17" i="1"/>
  <c r="C17" i="1"/>
  <c r="B17" i="1"/>
  <c r="A17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BD16" i="1" s="1"/>
  <c r="AO16" i="1"/>
  <c r="AH16" i="1"/>
  <c r="AG16" i="1"/>
  <c r="AF16" i="1"/>
  <c r="AE16" i="1"/>
  <c r="AK16" i="1" s="1"/>
  <c r="AD16" i="1"/>
  <c r="AC16" i="1"/>
  <c r="AB16" i="1"/>
  <c r="AA16" i="1"/>
  <c r="AJ16" i="1" s="1"/>
  <c r="AM16" i="1" s="1"/>
  <c r="Z16" i="1"/>
  <c r="AI16" i="1" s="1"/>
  <c r="Y16" i="1"/>
  <c r="Y19" i="1" s="1"/>
  <c r="X16" i="1"/>
  <c r="W16" i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N16" i="1"/>
  <c r="N16" i="1" a="1"/>
  <c r="M16" i="1"/>
  <c r="M16" i="1" a="1"/>
  <c r="L16" i="1" a="1"/>
  <c r="L16" i="1" s="1"/>
  <c r="K16" i="1" a="1"/>
  <c r="K16" i="1" s="1"/>
  <c r="G16" i="1"/>
  <c r="Q16" i="1" s="1"/>
  <c r="F16" i="1"/>
  <c r="AN16" i="1" s="1"/>
  <c r="C16" i="1"/>
  <c r="B16" i="1"/>
  <c r="A16" i="1"/>
  <c r="BU15" i="1"/>
  <c r="BU19" i="1" s="1"/>
  <c r="BT15" i="1"/>
  <c r="BT19" i="1" s="1"/>
  <c r="BS15" i="1"/>
  <c r="BS19" i="1" s="1"/>
  <c r="BR15" i="1"/>
  <c r="BR19" i="1" s="1"/>
  <c r="BQ15" i="1"/>
  <c r="BQ19" i="1" s="1"/>
  <c r="BP15" i="1"/>
  <c r="BP19" i="1" s="1"/>
  <c r="BO15" i="1"/>
  <c r="BN15" i="1"/>
  <c r="BM15" i="1"/>
  <c r="BM19" i="1" s="1"/>
  <c r="BL15" i="1"/>
  <c r="BL19" i="1" s="1"/>
  <c r="BK15" i="1"/>
  <c r="BK19" i="1" s="1"/>
  <c r="BJ15" i="1"/>
  <c r="BJ19" i="1" s="1"/>
  <c r="BD15" i="1"/>
  <c r="BC15" i="1"/>
  <c r="BB15" i="1"/>
  <c r="BA15" i="1"/>
  <c r="AZ15" i="1"/>
  <c r="BF15" i="1" s="1"/>
  <c r="AY15" i="1"/>
  <c r="AX15" i="1"/>
  <c r="AW15" i="1"/>
  <c r="AV15" i="1"/>
  <c r="AU15" i="1"/>
  <c r="BE15" i="1" s="1"/>
  <c r="AT15" i="1"/>
  <c r="AS15" i="1"/>
  <c r="AR15" i="1"/>
  <c r="AQ15" i="1"/>
  <c r="AP15" i="1"/>
  <c r="AO15" i="1"/>
  <c r="AH15" i="1"/>
  <c r="AG15" i="1"/>
  <c r="AF15" i="1"/>
  <c r="AE15" i="1"/>
  <c r="AK15" i="1" s="1"/>
  <c r="AK19" i="1" s="1"/>
  <c r="AD15" i="1"/>
  <c r="AJ15" i="1" s="1"/>
  <c r="AC15" i="1"/>
  <c r="AB15" i="1"/>
  <c r="AA15" i="1"/>
  <c r="Z15" i="1"/>
  <c r="AI15" i="1" s="1"/>
  <c r="Y15" i="1"/>
  <c r="X15" i="1"/>
  <c r="W15" i="1"/>
  <c r="V15" i="1"/>
  <c r="V15" i="1" a="1"/>
  <c r="U15" i="1"/>
  <c r="U15" i="1" a="1"/>
  <c r="T15" i="1" a="1"/>
  <c r="T15" i="1" s="1"/>
  <c r="T19" i="1" s="1"/>
  <c r="S15" i="1" a="1"/>
  <c r="S15" i="1" s="1"/>
  <c r="S19" i="1" s="1"/>
  <c r="R15" i="1"/>
  <c r="R19" i="1" s="1"/>
  <c r="R15" i="1" a="1"/>
  <c r="Q15" i="1"/>
  <c r="N15" i="1" a="1"/>
  <c r="N15" i="1" s="1"/>
  <c r="N19" i="1" s="1"/>
  <c r="M15" i="1" a="1"/>
  <c r="M15" i="1" s="1"/>
  <c r="M19" i="1" s="1"/>
  <c r="L15" i="1" a="1"/>
  <c r="L15" i="1" s="1"/>
  <c r="L19" i="1" s="1"/>
  <c r="K15" i="1" a="1"/>
  <c r="K15" i="1" s="1"/>
  <c r="K19" i="1" s="1"/>
  <c r="G15" i="1"/>
  <c r="P15" i="1" s="1"/>
  <c r="F15" i="1"/>
  <c r="C15" i="1"/>
  <c r="B15" i="1"/>
  <c r="A15" i="1"/>
  <c r="BP13" i="1"/>
  <c r="BO13" i="1"/>
  <c r="K13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D12" i="1"/>
  <c r="BF12" i="1" s="1"/>
  <c r="BC12" i="1"/>
  <c r="BB12" i="1"/>
  <c r="BA12" i="1"/>
  <c r="AZ12" i="1"/>
  <c r="AY12" i="1"/>
  <c r="AX12" i="1"/>
  <c r="AW12" i="1"/>
  <c r="AV12" i="1"/>
  <c r="BE12" i="1" s="1"/>
  <c r="AU12" i="1"/>
  <c r="AT12" i="1"/>
  <c r="AS12" i="1"/>
  <c r="AR12" i="1"/>
  <c r="AQ12" i="1"/>
  <c r="AP12" i="1"/>
  <c r="AO12" i="1"/>
  <c r="AH12" i="1"/>
  <c r="AG12" i="1"/>
  <c r="AF12" i="1"/>
  <c r="AE12" i="1"/>
  <c r="AD12" i="1"/>
  <c r="AJ12" i="1" s="1"/>
  <c r="AC12" i="1"/>
  <c r="AB12" i="1"/>
  <c r="AK12" i="1" s="1"/>
  <c r="AA12" i="1"/>
  <c r="Z12" i="1"/>
  <c r="AI12" i="1" s="1"/>
  <c r="Y12" i="1"/>
  <c r="X12" i="1"/>
  <c r="X13" i="1" s="1"/>
  <c r="W12" i="1"/>
  <c r="V12" i="1"/>
  <c r="V12" i="1" a="1"/>
  <c r="U12" i="1" a="1"/>
  <c r="U12" i="1" s="1"/>
  <c r="T12" i="1" a="1"/>
  <c r="T12" i="1" s="1"/>
  <c r="S12" i="1"/>
  <c r="S12" i="1" a="1"/>
  <c r="R12" i="1"/>
  <c r="R12" i="1" a="1"/>
  <c r="N12" i="1" a="1"/>
  <c r="N12" i="1" s="1"/>
  <c r="M12" i="1" a="1"/>
  <c r="M12" i="1" s="1"/>
  <c r="L12" i="1"/>
  <c r="L12" i="1" a="1"/>
  <c r="K12" i="1" a="1"/>
  <c r="K12" i="1" s="1"/>
  <c r="G12" i="1"/>
  <c r="Q12" i="1" s="1"/>
  <c r="F12" i="1"/>
  <c r="AM12" i="1" s="1"/>
  <c r="C12" i="1"/>
  <c r="B12" i="1"/>
  <c r="A12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C11" i="1"/>
  <c r="BB11" i="1"/>
  <c r="BA11" i="1"/>
  <c r="AZ11" i="1"/>
  <c r="AY11" i="1"/>
  <c r="AX11" i="1"/>
  <c r="AW11" i="1"/>
  <c r="AV11" i="1"/>
  <c r="AU11" i="1"/>
  <c r="BE11" i="1" s="1"/>
  <c r="AT11" i="1"/>
  <c r="AS11" i="1"/>
  <c r="AR11" i="1"/>
  <c r="AQ11" i="1"/>
  <c r="BD11" i="1" s="1"/>
  <c r="BG11" i="1" s="1"/>
  <c r="AP11" i="1"/>
  <c r="AO11" i="1"/>
  <c r="AK11" i="1"/>
  <c r="AH11" i="1"/>
  <c r="AG11" i="1"/>
  <c r="AF11" i="1"/>
  <c r="AE11" i="1"/>
  <c r="AD11" i="1"/>
  <c r="AJ11" i="1" s="1"/>
  <c r="AM11" i="1" s="1"/>
  <c r="AC11" i="1"/>
  <c r="AI11" i="1" s="1"/>
  <c r="AL11" i="1" s="1"/>
  <c r="AB11" i="1"/>
  <c r="AA11" i="1"/>
  <c r="Z11" i="1"/>
  <c r="Y11" i="1"/>
  <c r="X11" i="1"/>
  <c r="W11" i="1"/>
  <c r="V11" i="1" a="1"/>
  <c r="V11" i="1" s="1"/>
  <c r="U11" i="1" a="1"/>
  <c r="U11" i="1" s="1"/>
  <c r="T11" i="1"/>
  <c r="T11" i="1" a="1"/>
  <c r="S11" i="1" a="1"/>
  <c r="S11" i="1" s="1"/>
  <c r="R11" i="1" a="1"/>
  <c r="R11" i="1" s="1"/>
  <c r="P11" i="1"/>
  <c r="N11" i="1" a="1"/>
  <c r="N11" i="1" s="1"/>
  <c r="M11" i="1" a="1"/>
  <c r="M11" i="1" s="1"/>
  <c r="L11" i="1"/>
  <c r="L11" i="1" a="1"/>
  <c r="K11" i="1"/>
  <c r="K11" i="1" a="1"/>
  <c r="G11" i="1"/>
  <c r="Q11" i="1" s="1"/>
  <c r="F11" i="1"/>
  <c r="C11" i="1"/>
  <c r="B11" i="1"/>
  <c r="A11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BD10" i="1" s="1"/>
  <c r="AO10" i="1"/>
  <c r="AH10" i="1"/>
  <c r="AG10" i="1"/>
  <c r="AF10" i="1"/>
  <c r="AE10" i="1"/>
  <c r="AD10" i="1"/>
  <c r="AC10" i="1"/>
  <c r="AB10" i="1"/>
  <c r="AK10" i="1" s="1"/>
  <c r="AA10" i="1"/>
  <c r="AJ10" i="1" s="1"/>
  <c r="Z10" i="1"/>
  <c r="AI10" i="1" s="1"/>
  <c r="Y10" i="1"/>
  <c r="X10" i="1"/>
  <c r="W10" i="1"/>
  <c r="V10" i="1" a="1"/>
  <c r="V10" i="1" s="1"/>
  <c r="U10" i="1" a="1"/>
  <c r="U10" i="1" s="1"/>
  <c r="T10" i="1"/>
  <c r="T10" i="1" a="1"/>
  <c r="S10" i="1"/>
  <c r="S10" i="1" a="1"/>
  <c r="R10" i="1" a="1"/>
  <c r="R10" i="1" s="1"/>
  <c r="Q10" i="1"/>
  <c r="P10" i="1"/>
  <c r="O10" i="1"/>
  <c r="N10" i="1" a="1"/>
  <c r="N10" i="1" s="1"/>
  <c r="M10" i="1"/>
  <c r="M10" i="1" a="1"/>
  <c r="L10" i="1" a="1"/>
  <c r="L10" i="1" s="1"/>
  <c r="K10" i="1" a="1"/>
  <c r="K10" i="1" s="1"/>
  <c r="G10" i="1"/>
  <c r="F10" i="1"/>
  <c r="C10" i="1"/>
  <c r="B10" i="1"/>
  <c r="A10" i="1"/>
  <c r="BU9" i="1"/>
  <c r="BT9" i="1"/>
  <c r="BS9" i="1"/>
  <c r="BR9" i="1"/>
  <c r="BQ9" i="1"/>
  <c r="BP9" i="1"/>
  <c r="BO9" i="1"/>
  <c r="BN9" i="1"/>
  <c r="BM9" i="1"/>
  <c r="BL9" i="1"/>
  <c r="BK9" i="1"/>
  <c r="BJ9" i="1"/>
  <c r="BD9" i="1"/>
  <c r="BC9" i="1"/>
  <c r="BB9" i="1"/>
  <c r="BA9" i="1"/>
  <c r="BF9" i="1" s="1"/>
  <c r="AZ9" i="1"/>
  <c r="AY9" i="1"/>
  <c r="AX9" i="1"/>
  <c r="AW9" i="1"/>
  <c r="AV9" i="1"/>
  <c r="AU9" i="1"/>
  <c r="BE9" i="1" s="1"/>
  <c r="AT9" i="1"/>
  <c r="AS9" i="1"/>
  <c r="AR9" i="1"/>
  <c r="AQ9" i="1"/>
  <c r="AP9" i="1"/>
  <c r="AO9" i="1"/>
  <c r="AH9" i="1"/>
  <c r="AG9" i="1"/>
  <c r="AJ9" i="1" s="1"/>
  <c r="AM9" i="1" s="1"/>
  <c r="AF9" i="1"/>
  <c r="AE9" i="1"/>
  <c r="AK9" i="1" s="1"/>
  <c r="AD9" i="1"/>
  <c r="AC9" i="1"/>
  <c r="AI9" i="1" s="1"/>
  <c r="AB9" i="1"/>
  <c r="AA9" i="1"/>
  <c r="Z9" i="1"/>
  <c r="Y9" i="1"/>
  <c r="X9" i="1"/>
  <c r="W9" i="1"/>
  <c r="V9" i="1" a="1"/>
  <c r="V9" i="1" s="1"/>
  <c r="U9" i="1" a="1"/>
  <c r="U9" i="1" s="1"/>
  <c r="T9" i="1" a="1"/>
  <c r="T9" i="1" s="1"/>
  <c r="S9" i="1" a="1"/>
  <c r="S9" i="1" s="1"/>
  <c r="R9" i="1" a="1"/>
  <c r="R9" i="1" s="1"/>
  <c r="N9" i="1" a="1"/>
  <c r="N9" i="1" s="1"/>
  <c r="M9" i="1"/>
  <c r="M9" i="1" a="1"/>
  <c r="L9" i="1"/>
  <c r="L9" i="1" a="1"/>
  <c r="K9" i="1" a="1"/>
  <c r="K9" i="1" s="1"/>
  <c r="G9" i="1"/>
  <c r="Q9" i="1" s="1"/>
  <c r="F9" i="1"/>
  <c r="AL9" i="1" s="1"/>
  <c r="C9" i="1"/>
  <c r="B9" i="1"/>
  <c r="A9" i="1"/>
  <c r="BU8" i="1"/>
  <c r="BT8" i="1"/>
  <c r="BS8" i="1"/>
  <c r="BR8" i="1"/>
  <c r="BQ8" i="1"/>
  <c r="BP8" i="1"/>
  <c r="BO8" i="1"/>
  <c r="BN8" i="1"/>
  <c r="BM8" i="1"/>
  <c r="BL8" i="1"/>
  <c r="BK8" i="1"/>
  <c r="BJ8" i="1"/>
  <c r="BC8" i="1"/>
  <c r="BB8" i="1"/>
  <c r="BA8" i="1"/>
  <c r="AZ8" i="1"/>
  <c r="BF8" i="1" s="1"/>
  <c r="BI8" i="1" s="1"/>
  <c r="AY8" i="1"/>
  <c r="AX8" i="1"/>
  <c r="AW8" i="1"/>
  <c r="AV8" i="1"/>
  <c r="AU8" i="1"/>
  <c r="BE8" i="1" s="1"/>
  <c r="BH8" i="1" s="1"/>
  <c r="AT8" i="1"/>
  <c r="AS8" i="1"/>
  <c r="AR8" i="1"/>
  <c r="AQ8" i="1"/>
  <c r="AP8" i="1"/>
  <c r="BD8" i="1" s="1"/>
  <c r="AO8" i="1"/>
  <c r="AJ8" i="1"/>
  <c r="AM8" i="1" s="1"/>
  <c r="AH8" i="1"/>
  <c r="AG8" i="1"/>
  <c r="AF8" i="1"/>
  <c r="AE8" i="1"/>
  <c r="AD8" i="1"/>
  <c r="AC8" i="1"/>
  <c r="AI8" i="1" s="1"/>
  <c r="AL8" i="1" s="1"/>
  <c r="AB8" i="1"/>
  <c r="AK8" i="1" s="1"/>
  <c r="AA8" i="1"/>
  <c r="Z8" i="1"/>
  <c r="Y8" i="1"/>
  <c r="X8" i="1"/>
  <c r="W8" i="1"/>
  <c r="V8" i="1" a="1"/>
  <c r="V8" i="1" s="1"/>
  <c r="U8" i="1"/>
  <c r="U8" i="1" a="1"/>
  <c r="T8" i="1"/>
  <c r="T8" i="1" a="1"/>
  <c r="S8" i="1" a="1"/>
  <c r="S8" i="1" s="1"/>
  <c r="R8" i="1" a="1"/>
  <c r="R8" i="1" s="1"/>
  <c r="Q8" i="1"/>
  <c r="O8" i="1"/>
  <c r="N8" i="1" a="1"/>
  <c r="N8" i="1" s="1"/>
  <c r="M8" i="1" a="1"/>
  <c r="M8" i="1" s="1"/>
  <c r="L8" i="1" a="1"/>
  <c r="L8" i="1" s="1"/>
  <c r="K8" i="1" a="1"/>
  <c r="K8" i="1" s="1"/>
  <c r="G8" i="1"/>
  <c r="P8" i="1" s="1"/>
  <c r="F8" i="1"/>
  <c r="BG8" i="1" s="1"/>
  <c r="C8" i="1"/>
  <c r="B8" i="1"/>
  <c r="A8" i="1"/>
  <c r="BU7" i="1"/>
  <c r="BT7" i="1"/>
  <c r="BS7" i="1"/>
  <c r="BR7" i="1"/>
  <c r="BQ7" i="1"/>
  <c r="BP7" i="1"/>
  <c r="BO7" i="1"/>
  <c r="BN7" i="1"/>
  <c r="BM7" i="1"/>
  <c r="BL7" i="1"/>
  <c r="BK7" i="1"/>
  <c r="BJ7" i="1"/>
  <c r="BC7" i="1"/>
  <c r="BB7" i="1"/>
  <c r="BA7" i="1"/>
  <c r="AZ7" i="1"/>
  <c r="AY7" i="1"/>
  <c r="AX7" i="1"/>
  <c r="AW7" i="1"/>
  <c r="BE7" i="1" s="1"/>
  <c r="BH7" i="1" s="1"/>
  <c r="AV7" i="1"/>
  <c r="AU7" i="1"/>
  <c r="AT7" i="1"/>
  <c r="AS7" i="1"/>
  <c r="AR7" i="1"/>
  <c r="AQ7" i="1"/>
  <c r="AP7" i="1"/>
  <c r="BD7" i="1" s="1"/>
  <c r="AO7" i="1"/>
  <c r="AH7" i="1"/>
  <c r="AG7" i="1"/>
  <c r="AF7" i="1"/>
  <c r="AE7" i="1"/>
  <c r="AK7" i="1" s="1"/>
  <c r="AD7" i="1"/>
  <c r="AC7" i="1"/>
  <c r="AB7" i="1"/>
  <c r="AA7" i="1"/>
  <c r="AJ7" i="1" s="1"/>
  <c r="AM7" i="1" s="1"/>
  <c r="Z7" i="1"/>
  <c r="AI7" i="1" s="1"/>
  <c r="Y7" i="1"/>
  <c r="Y13" i="1" s="1"/>
  <c r="X7" i="1"/>
  <c r="W7" i="1"/>
  <c r="V7" i="1" a="1"/>
  <c r="V7" i="1" s="1"/>
  <c r="U7" i="1" a="1"/>
  <c r="U7" i="1" s="1"/>
  <c r="T7" i="1" a="1"/>
  <c r="T7" i="1" s="1"/>
  <c r="S7" i="1" a="1"/>
  <c r="S7" i="1" s="1"/>
  <c r="R7" i="1" a="1"/>
  <c r="R7" i="1" s="1"/>
  <c r="N7" i="1"/>
  <c r="N7" i="1" a="1"/>
  <c r="M7" i="1"/>
  <c r="M7" i="1" a="1"/>
  <c r="L7" i="1" a="1"/>
  <c r="L7" i="1" s="1"/>
  <c r="K7" i="1" a="1"/>
  <c r="K7" i="1" s="1"/>
  <c r="G7" i="1"/>
  <c r="O7" i="1" s="1"/>
  <c r="F7" i="1"/>
  <c r="C7" i="1"/>
  <c r="B7" i="1"/>
  <c r="A7" i="1"/>
  <c r="BU6" i="1"/>
  <c r="BU13" i="1" s="1"/>
  <c r="BT6" i="1"/>
  <c r="BT13" i="1" s="1"/>
  <c r="BS6" i="1"/>
  <c r="BS13" i="1" s="1"/>
  <c r="BR6" i="1"/>
  <c r="BR13" i="1" s="1"/>
  <c r="BQ6" i="1"/>
  <c r="BQ13" i="1" s="1"/>
  <c r="BP6" i="1"/>
  <c r="BO6" i="1"/>
  <c r="BN6" i="1"/>
  <c r="BN13" i="1" s="1"/>
  <c r="BM6" i="1"/>
  <c r="BM13" i="1" s="1"/>
  <c r="BL6" i="1"/>
  <c r="BL13" i="1" s="1"/>
  <c r="BK6" i="1"/>
  <c r="BK13" i="1" s="1"/>
  <c r="BJ6" i="1"/>
  <c r="BJ13" i="1" s="1"/>
  <c r="BD6" i="1"/>
  <c r="BC6" i="1"/>
  <c r="BB6" i="1"/>
  <c r="BA6" i="1"/>
  <c r="AZ6" i="1"/>
  <c r="BF6" i="1" s="1"/>
  <c r="AY6" i="1"/>
  <c r="AX6" i="1"/>
  <c r="AW6" i="1"/>
  <c r="AV6" i="1"/>
  <c r="AU6" i="1"/>
  <c r="BE6" i="1" s="1"/>
  <c r="AT6" i="1"/>
  <c r="AS6" i="1"/>
  <c r="AR6" i="1"/>
  <c r="AQ6" i="1"/>
  <c r="AP6" i="1"/>
  <c r="AO6" i="1"/>
  <c r="AH6" i="1"/>
  <c r="AG6" i="1"/>
  <c r="AF6" i="1"/>
  <c r="AE6" i="1"/>
  <c r="AK6" i="1" s="1"/>
  <c r="AK13" i="1" s="1"/>
  <c r="AD6" i="1"/>
  <c r="AJ6" i="1" s="1"/>
  <c r="AC6" i="1"/>
  <c r="AI6" i="1" s="1"/>
  <c r="AB6" i="1"/>
  <c r="AA6" i="1"/>
  <c r="Z6" i="1"/>
  <c r="Y6" i="1"/>
  <c r="X6" i="1"/>
  <c r="W6" i="1"/>
  <c r="W13" i="1" s="1"/>
  <c r="V6" i="1"/>
  <c r="V6" i="1" a="1"/>
  <c r="U6" i="1"/>
  <c r="U6" i="1" a="1"/>
  <c r="T6" i="1" a="1"/>
  <c r="T6" i="1" s="1"/>
  <c r="T13" i="1" s="1"/>
  <c r="S6" i="1" a="1"/>
  <c r="S6" i="1" s="1"/>
  <c r="S13" i="1" s="1"/>
  <c r="R6" i="1"/>
  <c r="R13" i="1" s="1"/>
  <c r="R6" i="1" a="1"/>
  <c r="Q6" i="1"/>
  <c r="N6" i="1" a="1"/>
  <c r="N6" i="1" s="1"/>
  <c r="N13" i="1" s="1"/>
  <c r="M6" i="1" a="1"/>
  <c r="M6" i="1" s="1"/>
  <c r="M13" i="1" s="1"/>
  <c r="L6" i="1" a="1"/>
  <c r="L6" i="1" s="1"/>
  <c r="L13" i="1" s="1"/>
  <c r="K6" i="1"/>
  <c r="K6" i="1" a="1"/>
  <c r="G6" i="1"/>
  <c r="P6" i="1" s="1"/>
  <c r="F6" i="1"/>
  <c r="BI6" i="1" s="1"/>
  <c r="BI13" i="1" s="1"/>
  <c r="C6" i="1"/>
  <c r="B6" i="1"/>
  <c r="A6" i="1"/>
  <c r="AI19" i="1" l="1"/>
  <c r="AL15" i="1"/>
  <c r="BE16" i="1"/>
  <c r="BH16" i="1" s="1"/>
  <c r="BF16" i="1"/>
  <c r="BI16" i="1" s="1"/>
  <c r="BG16" i="1"/>
  <c r="AN7" i="1"/>
  <c r="BG10" i="1"/>
  <c r="BF10" i="1"/>
  <c r="AN10" i="1"/>
  <c r="AM15" i="1"/>
  <c r="AM19" i="1" s="1"/>
  <c r="AJ19" i="1"/>
  <c r="BF7" i="1"/>
  <c r="BI7" i="1" s="1"/>
  <c r="BG7" i="1"/>
  <c r="BF11" i="1"/>
  <c r="BI11" i="1" s="1"/>
  <c r="AL6" i="1"/>
  <c r="AI13" i="1"/>
  <c r="BI15" i="1"/>
  <c r="BI19" i="1" s="1"/>
  <c r="BF17" i="1"/>
  <c r="BI17" i="1" s="1"/>
  <c r="Q13" i="1" a="1"/>
  <c r="Q13" i="1" s="1"/>
  <c r="Q19" i="1" s="1" a="1"/>
  <c r="Q19" i="1" s="1"/>
  <c r="AM6" i="1"/>
  <c r="AM13" i="1" s="1"/>
  <c r="AJ13" i="1"/>
  <c r="BE10" i="1"/>
  <c r="BH10" i="1" s="1"/>
  <c r="BH11" i="1"/>
  <c r="BG17" i="1"/>
  <c r="O16" i="1"/>
  <c r="AN18" i="1"/>
  <c r="AN6" i="1"/>
  <c r="P7" i="1"/>
  <c r="P13" i="1" s="1" a="1"/>
  <c r="P13" i="1" s="1"/>
  <c r="O12" i="1"/>
  <c r="AN15" i="1"/>
  <c r="AN19" i="1" s="1"/>
  <c r="P16" i="1"/>
  <c r="AN12" i="1"/>
  <c r="AN9" i="1"/>
  <c r="Q7" i="1"/>
  <c r="O9" i="1"/>
  <c r="BI10" i="1"/>
  <c r="AN11" i="1"/>
  <c r="P12" i="1"/>
  <c r="BG12" i="1"/>
  <c r="O18" i="1"/>
  <c r="O6" i="1"/>
  <c r="AN8" i="1"/>
  <c r="P9" i="1"/>
  <c r="BG9" i="1"/>
  <c r="AL10" i="1"/>
  <c r="BH12" i="1"/>
  <c r="O15" i="1"/>
  <c r="AN17" i="1"/>
  <c r="P18" i="1"/>
  <c r="BG18" i="1"/>
  <c r="BG6" i="1"/>
  <c r="BG13" i="1" s="1"/>
  <c r="AL7" i="1"/>
  <c r="BH9" i="1"/>
  <c r="AM10" i="1"/>
  <c r="O11" i="1"/>
  <c r="BI12" i="1"/>
  <c r="BG15" i="1"/>
  <c r="BG19" i="1" s="1"/>
  <c r="AL16" i="1"/>
  <c r="BH18" i="1"/>
  <c r="BH6" i="1"/>
  <c r="BH13" i="1" s="1"/>
  <c r="BI9" i="1"/>
  <c r="AL12" i="1"/>
  <c r="BH15" i="1"/>
  <c r="BH19" i="1" s="1"/>
  <c r="BI18" i="1"/>
  <c r="P19" i="1" l="1" a="1"/>
  <c r="P19" i="1" s="1"/>
  <c r="AN13" i="1"/>
  <c r="O13" i="1" a="1"/>
  <c r="O13" i="1" s="1"/>
  <c r="O19" i="1" s="1" a="1"/>
  <c r="O19" i="1" s="1"/>
  <c r="AL19" i="1"/>
  <c r="AL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<sst xmlns="http://schemas.openxmlformats.org/spreadsheetml/2006/main" count="204" uniqueCount="130">
  <si>
    <t>Last Earnings Date</t>
  </si>
  <si>
    <t>Exp. Next Earnings Date (BBG)</t>
  </si>
  <si>
    <t>Confirmed / Estimated Date (BBG)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</si>
  <si>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</si>
  <si>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</si>
  <si>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</si>
  <si>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</si>
  <si>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</si>
  <si>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</si>
  <si>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</si>
  <si>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</si>
  <si>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</si>
  <si>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</si>
  <si>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Production guidance Ag (koz)</t>
  </si>
  <si>
    <t>Consensus</t>
  </si>
  <si>
    <t>Production Ag equ consensus (koz)</t>
  </si>
  <si>
    <t>EV/Production Ag equ ($/oz)</t>
  </si>
  <si>
    <t>Attributable Reserves</t>
  </si>
  <si>
    <t>Attributable M&amp;I Resources</t>
  </si>
  <si>
    <t>Attributable Total Resources</t>
  </si>
  <si>
    <t>Ag equ resources (koz)</t>
  </si>
  <si>
    <t>EV/Metrics Ag equ ($/oz)</t>
  </si>
  <si>
    <t>AISC Reported ($/oz)</t>
  </si>
  <si>
    <t>AISC Guidance ($/oz)</t>
  </si>
  <si>
    <t>Cash Costs Reported ($/oz)</t>
  </si>
  <si>
    <t>Cash Cost Guidance ($/oz)</t>
  </si>
  <si>
    <t>Model (Y/N)</t>
  </si>
  <si>
    <t>Priority?</t>
  </si>
  <si>
    <t>Stock of Interest</t>
  </si>
  <si>
    <t>Comment</t>
  </si>
  <si>
    <t>Bloomberg
Ticker</t>
  </si>
  <si>
    <t>Ticker</t>
  </si>
  <si>
    <t>FY2024</t>
  </si>
  <si>
    <t>FY2025</t>
  </si>
  <si>
    <t>FY2026</t>
  </si>
  <si>
    <t>2024Y</t>
  </si>
  <si>
    <t>2025Y</t>
  </si>
  <si>
    <t>2026Y</t>
  </si>
  <si>
    <t>Gold</t>
  </si>
  <si>
    <t>Silver</t>
  </si>
  <si>
    <t>Copper</t>
  </si>
  <si>
    <t>Zinc</t>
  </si>
  <si>
    <t>Lead</t>
  </si>
  <si>
    <t>Reserves</t>
  </si>
  <si>
    <t>M&amp;I</t>
  </si>
  <si>
    <t>M,I&amp;I</t>
  </si>
  <si>
    <t>2021Y</t>
  </si>
  <si>
    <t>2022Y</t>
  </si>
  <si>
    <t>2023Y</t>
  </si>
  <si>
    <t>SNL_EARNINGS_RELEASE_DATE</t>
  </si>
  <si>
    <t>EXPECTED_REPORT_DT</t>
  </si>
  <si>
    <t>EXPECTED_REPORT_TYP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</si>
  <si>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</si>
  <si>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</si>
  <si>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</si>
  <si>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</si>
  <si>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</si>
  <si>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</si>
  <si>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</si>
  <si>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SNL_ATTRIBUTABLE_PRODUCTION_PROJECTION_HIGH_OZ</t>
  </si>
  <si>
    <t>SNL_ATTRIBUTABLE_RESV_OZ</t>
  </si>
  <si>
    <t>SNL_ATTRIBUTABLE_RESV_TONNES</t>
  </si>
  <si>
    <t>SNL_ATTRIBUTABLE_M_AND_I_RESRC_OZ</t>
  </si>
  <si>
    <t>SNL_ATTRIBUTABLE_M_AND_I_RESRC_TONNES</t>
  </si>
  <si>
    <t>SNL_ATTRIBUTABLE_TOTAL_RESRC_OZ</t>
  </si>
  <si>
    <t>SNL_ATTRIBUTABLE_TOTAL_RESRC_TONNES</t>
  </si>
  <si>
    <t>SNL_ALL_IN_SUSTAINING_COST_OZ</t>
  </si>
  <si>
    <t>SNL_PROJ_ALL_IN_SUSTAINING_COST_HIGH_OZ</t>
  </si>
  <si>
    <t>SNL_CASH_COST_OZ</t>
  </si>
  <si>
    <t>SNL_PROJ_CASH_COST_HIGH_OZ</t>
  </si>
  <si>
    <t>FQ0</t>
  </si>
  <si>
    <t>FH0</t>
  </si>
  <si>
    <t>SNL_ATTRIBUTABLE_PRODUCTION_PROJECTION_LOW_OZ</t>
  </si>
  <si>
    <t>SP_GOLD_PRODUCTION_EST</t>
  </si>
  <si>
    <t>SP_SILVER_PRODUCTION_EST</t>
  </si>
  <si>
    <t>SP_COPPER_PRODUCTION_EST</t>
  </si>
  <si>
    <t>MRQ</t>
  </si>
  <si>
    <t>SNL_PROJ_ALL_IN_SUSTAINING_COST_LOW_OZ</t>
  </si>
  <si>
    <t>SNL_PROJ_CASH_COST_LOW_OZ</t>
  </si>
  <si>
    <t>Senior Producers</t>
  </si>
  <si>
    <t>15/05/2025</t>
  </si>
  <si>
    <t>Estimated</t>
  </si>
  <si>
    <t>Aya Gold &amp; Silver</t>
  </si>
  <si>
    <t>AYA CN Equity</t>
  </si>
  <si>
    <t>TSX:AYA</t>
  </si>
  <si>
    <t>N</t>
  </si>
  <si>
    <t>YES</t>
  </si>
  <si>
    <t>08/05/2025</t>
  </si>
  <si>
    <t>First Majestic Silver</t>
  </si>
  <si>
    <t>AG CN Equity</t>
  </si>
  <si>
    <t>TSX:AG</t>
  </si>
  <si>
    <t>13/05/2025</t>
  </si>
  <si>
    <t>Confirmed</t>
  </si>
  <si>
    <t>Endeavour Silver</t>
  </si>
  <si>
    <t>EDR CN Equity</t>
  </si>
  <si>
    <t>TSX:EDR</t>
  </si>
  <si>
    <t>NO</t>
  </si>
  <si>
    <t>22/05/2025</t>
  </si>
  <si>
    <t>Silvercorp Metals</t>
  </si>
  <si>
    <t>SVM CN Equity</t>
  </si>
  <si>
    <t>TSX:SVM</t>
  </si>
  <si>
    <t>14/05/2025</t>
  </si>
  <si>
    <t>MAG Silver</t>
  </si>
  <si>
    <t>MAG CN Equity</t>
  </si>
  <si>
    <t>TSX:MAG</t>
  </si>
  <si>
    <t>GoGold Resources</t>
  </si>
  <si>
    <t>GGD CN Equity</t>
  </si>
  <si>
    <t>TSX:GGD</t>
  </si>
  <si>
    <t>10/09/2025</t>
  </si>
  <si>
    <t>Adriatic Metals</t>
  </si>
  <si>
    <t>ADT AU Equity</t>
  </si>
  <si>
    <t>ASX:ADT</t>
  </si>
  <si>
    <t>Y</t>
  </si>
  <si>
    <t>Average</t>
  </si>
  <si>
    <t>Silver Index Companies</t>
  </si>
  <si>
    <t>07/05/2025</t>
  </si>
  <si>
    <t>Fortuna Mining</t>
  </si>
  <si>
    <t>FVI CN Equity</t>
  </si>
  <si>
    <t>TSX:FVI</t>
  </si>
  <si>
    <t>Pan American Silver</t>
  </si>
  <si>
    <t>PAAS CN Equity</t>
  </si>
  <si>
    <t>TSX:PAAS</t>
  </si>
  <si>
    <t>Coeur Mining</t>
  </si>
  <si>
    <t>CDE US Equity</t>
  </si>
  <si>
    <t>NYSE:CDE</t>
  </si>
  <si>
    <t>01/05/2025</t>
  </si>
  <si>
    <t>Tentative</t>
  </si>
  <si>
    <t>Hecla Mining</t>
  </si>
  <si>
    <t>HL US Equity</t>
  </si>
  <si>
    <t>NYSE:HL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</si>
</sst>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1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sz val="7"/>
      <color rgb="FF525252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4" borderId="6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164" fontId="0" fillId="5" borderId="16" xfId="0" applyNumberForma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9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4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10" xfId="1" applyNumberFormat="1" applyFont="1" applyBorder="1" applyAlignment="1">
      <alignment horizontal="center" vertical="top"/>
    </xf>
    <xf numFmtId="165" fontId="0" fillId="0" borderId="11" xfId="1" applyNumberFormat="1" applyFont="1" applyBorder="1" applyAlignment="1">
      <alignment horizontal="center" vertical="top"/>
    </xf>
    <xf numFmtId="9" fontId="0" fillId="0" borderId="0" xfId="1" applyFon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3" fontId="0" fillId="0" borderId="1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3" xfId="0" applyNumberFormat="1" applyBorder="1" applyAlignment="1">
      <alignment horizontal="center" vertical="top"/>
    </xf>
    <xf numFmtId="3" fontId="0" fillId="0" borderId="10" xfId="0" applyNumberFormat="1" applyBorder="1" applyAlignment="1">
      <alignment horizontal="center" vertical="top"/>
    </xf>
    <xf numFmtId="3" fontId="0" fillId="0" borderId="11" xfId="0" applyNumberFormat="1" applyBorder="1" applyAlignment="1">
      <alignment horizontal="center" vertical="top"/>
    </xf>
    <xf numFmtId="166" fontId="0" fillId="0" borderId="1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 vertical="top"/>
    </xf>
    <xf numFmtId="3" fontId="0" fillId="0" borderId="6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6" xfId="0" applyNumberFormat="1" applyBorder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0" fillId="0" borderId="14" xfId="0" applyNumberFormat="1" applyBorder="1" applyAlignment="1">
      <alignment horizontal="center" vertical="top"/>
    </xf>
    <xf numFmtId="166" fontId="0" fillId="0" borderId="6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7" xfId="0" applyNumberFormat="1" applyBorder="1" applyAlignment="1">
      <alignment horizontal="center" vertical="top"/>
    </xf>
    <xf numFmtId="3" fontId="0" fillId="0" borderId="8" xfId="0" applyNumberFormat="1" applyBorder="1" applyAlignment="1">
      <alignment horizontal="center" vertical="top"/>
    </xf>
    <xf numFmtId="3" fontId="0" fillId="0" borderId="9" xfId="0" applyNumberFormat="1" applyBorder="1" applyAlignment="1">
      <alignment horizontal="center" vertical="top"/>
    </xf>
    <xf numFmtId="0" fontId="0" fillId="6" borderId="15" xfId="0" applyFill="1" applyBorder="1" applyAlignment="1">
      <alignment horizontal="center" vertical="top"/>
    </xf>
    <xf numFmtId="0" fontId="1" fillId="7" borderId="3" xfId="0" applyFont="1" applyFill="1" applyBorder="1" applyAlignment="1">
      <alignment horizontal="right" vertical="top"/>
    </xf>
    <xf numFmtId="2" fontId="1" fillId="7" borderId="16" xfId="0" applyNumberFormat="1" applyFont="1" applyFill="1" applyBorder="1" applyAlignment="1">
      <alignment horizontal="center" vertical="top"/>
    </xf>
    <xf numFmtId="164" fontId="1" fillId="7" borderId="2" xfId="0" applyNumberFormat="1" applyFont="1" applyFill="1" applyBorder="1" applyAlignment="1">
      <alignment horizontal="center" vertical="top"/>
    </xf>
    <xf numFmtId="164" fontId="1" fillId="7" borderId="3" xfId="0" applyNumberFormat="1" applyFont="1" applyFill="1" applyBorder="1" applyAlignment="1">
      <alignment horizontal="center" vertical="top"/>
    </xf>
    <xf numFmtId="164" fontId="1" fillId="7" borderId="4" xfId="0" applyNumberFormat="1" applyFont="1" applyFill="1" applyBorder="1" applyAlignment="1">
      <alignment horizontal="center" vertical="top"/>
    </xf>
    <xf numFmtId="165" fontId="1" fillId="7" borderId="3" xfId="1" applyNumberFormat="1" applyFont="1" applyFill="1" applyBorder="1" applyAlignment="1">
      <alignment horizontal="center" vertical="top"/>
    </xf>
    <xf numFmtId="9" fontId="1" fillId="7" borderId="3" xfId="1" applyFont="1" applyFill="1" applyBorder="1" applyAlignment="1">
      <alignment horizontal="center" vertical="top"/>
    </xf>
    <xf numFmtId="3" fontId="1" fillId="7" borderId="3" xfId="0" applyNumberFormat="1" applyFont="1" applyFill="1" applyBorder="1" applyAlignment="1">
      <alignment horizontal="center" vertical="top"/>
    </xf>
    <xf numFmtId="3" fontId="1" fillId="7" borderId="2" xfId="0" applyNumberFormat="1" applyFont="1" applyFill="1" applyBorder="1" applyAlignment="1">
      <alignment horizontal="center" vertical="top"/>
    </xf>
    <xf numFmtId="3" fontId="1" fillId="7" borderId="4" xfId="0" applyNumberFormat="1" applyFont="1" applyFill="1" applyBorder="1" applyAlignment="1">
      <alignment horizontal="center" vertical="top"/>
    </xf>
    <xf numFmtId="3" fontId="1" fillId="7" borderId="8" xfId="0" applyNumberFormat="1" applyFont="1" applyFill="1" applyBorder="1" applyAlignment="1">
      <alignment horizontal="center" vertical="top"/>
    </xf>
    <xf numFmtId="166" fontId="1" fillId="7" borderId="2" xfId="0" applyNumberFormat="1" applyFont="1" applyFill="1" applyBorder="1" applyAlignment="1">
      <alignment horizontal="center" vertical="top"/>
    </xf>
    <xf numFmtId="166" fontId="1" fillId="7" borderId="3" xfId="0" applyNumberFormat="1" applyFont="1" applyFill="1" applyBorder="1" applyAlignment="1">
      <alignment horizontal="center" vertical="top"/>
    </xf>
    <xf numFmtId="166" fontId="1" fillId="7" borderId="4" xfId="0" applyNumberFormat="1" applyFont="1" applyFill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9" fontId="0" fillId="5" borderId="3" xfId="1" applyFont="1" applyFill="1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4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1493-B80D-4968-A79F-CA531C82A1FE}">
  <dimension ref="A1:BZ77"/>
  <sheetViews>
    <sheetView showGridLines="0" tabSelected="1" zoomScale="90" zoomScaleNormal="100" workbookViewId="0">
      <pane xSplit="8" ySplit="5" topLeftCell="Y6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I2678" sqref="I2678"/>
    </sheetView>
  </sheetViews>
  <sheetFormatPr defaultRowHeight="13.2" outlineLevelRow="1" outlineLevelCol="2" x14ac:dyDescent="0.25"/>
  <cols>
    <col min="1" max="1" width="10.109375" style="2" hidden="1" customWidth="1" outlineLevel="2"/>
    <col min="2" max="5" width="12.77734375" style="2" hidden="1" customWidth="1" outlineLevel="2"/>
    <col min="6" max="6" width="9.6640625" style="2" hidden="1" customWidth="1" outlineLevel="1" collapsed="1"/>
    <col min="7" max="7" width="9.6640625" style="2" hidden="1" customWidth="1" outlineLevel="1"/>
    <col min="8" max="8" width="22" style="2" bestFit="1" customWidth="1" collapsed="1"/>
    <col min="9" max="9" width="19.6640625" style="2" hidden="1" customWidth="1" outlineLevel="1"/>
    <col min="10" max="10" width="11.109375" style="2" bestFit="1" customWidth="1" collapsed="1"/>
    <col min="11" max="11" width="11.33203125" style="2" customWidth="1"/>
    <col min="12" max="12" width="8.6640625" style="2" customWidth="1"/>
    <col min="13" max="13" width="8" style="2" customWidth="1"/>
    <col min="14" max="15" width="8.77734375" style="2" customWidth="1"/>
    <col min="16" max="16" width="8.77734375" style="2" bestFit="1" customWidth="1"/>
    <col min="17" max="17" width="9" style="2" customWidth="1"/>
    <col min="18" max="18" width="8.77734375" style="2" customWidth="1"/>
    <col min="19" max="19" width="8.6640625" style="2" customWidth="1"/>
    <col min="20" max="20" width="8.77734375" style="2" customWidth="1"/>
    <col min="21" max="22" width="10.33203125" style="2" customWidth="1"/>
    <col min="23" max="24" width="8.88671875" style="2"/>
    <col min="25" max="25" width="9.77734375" style="2" customWidth="1"/>
    <col min="26" max="34" width="8.77734375" style="2" hidden="1" customWidth="1" outlineLevel="1"/>
    <col min="35" max="35" width="8.6640625" style="2" customWidth="1" collapsed="1"/>
    <col min="36" max="37" width="9.77734375" style="2" customWidth="1"/>
    <col min="38" max="39" width="6.77734375" style="2" bestFit="1" customWidth="1"/>
    <col min="40" max="40" width="8.6640625" style="2" customWidth="1"/>
    <col min="41" max="41" width="8.33203125" style="2" hidden="1" customWidth="1" outlineLevel="1"/>
    <col min="42" max="42" width="9" style="2" hidden="1" customWidth="1" outlineLevel="1"/>
    <col min="43" max="43" width="8.33203125" style="2" hidden="1" customWidth="1" outlineLevel="1"/>
    <col min="44" max="44" width="9.33203125" style="2" hidden="1" customWidth="1" outlineLevel="1"/>
    <col min="45" max="49" width="7.77734375" style="2" hidden="1" customWidth="1" outlineLevel="1"/>
    <col min="50" max="54" width="10.33203125" style="2" hidden="1" customWidth="1" outlineLevel="1"/>
    <col min="55" max="55" width="11.109375" style="2" hidden="1" customWidth="1" outlineLevel="1"/>
    <col min="56" max="58" width="8.77734375" style="2" hidden="1" customWidth="1" outlineLevel="1"/>
    <col min="59" max="59" width="8.88671875" style="2" collapsed="1"/>
    <col min="60" max="60" width="5" style="2" bestFit="1" customWidth="1"/>
    <col min="61" max="61" width="6.109375" style="2" bestFit="1" customWidth="1"/>
    <col min="62" max="64" width="7.109375" style="2" customWidth="1"/>
    <col min="65" max="66" width="7.33203125" style="2" customWidth="1"/>
    <col min="67" max="67" width="8.33203125" style="2" customWidth="1"/>
    <col min="68" max="70" width="7.109375" style="2" customWidth="1"/>
    <col min="71" max="71" width="7.33203125" style="2" customWidth="1"/>
    <col min="72" max="72" width="10.77734375" style="2" customWidth="1"/>
    <col min="73" max="73" width="8.33203125" style="2" customWidth="1"/>
    <col min="74" max="74" width="8.88671875" style="2"/>
    <col min="75" max="75" width="11.33203125" style="2" bestFit="1" customWidth="1"/>
    <col min="76" max="76" width="11.33203125" style="2" customWidth="1"/>
    <col min="77" max="77" width="11.33203125" style="2" bestFit="1" customWidth="1"/>
    <col min="78" max="16384" width="8.88671875" style="2"/>
  </cols>
  <sheetData>
    <row r="1" spans="1:78" ht="26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3" t="s">
        <v>7</v>
      </c>
      <c r="L1" s="4" t="s">
        <v>8</v>
      </c>
      <c r="M1" s="5"/>
      <c r="N1" s="6"/>
      <c r="O1" s="4" t="s">
        <v>9</v>
      </c>
      <c r="P1" s="5"/>
      <c r="Q1" s="6"/>
      <c r="R1" s="4" t="s">
        <v>10</v>
      </c>
      <c r="S1" s="5"/>
      <c r="T1" s="6"/>
      <c r="U1" s="7" t="s">
        <v>11</v>
      </c>
      <c r="V1" s="8" t="s">
        <v>12</v>
      </c>
      <c r="W1" s="4" t="s">
        <v>13</v>
      </c>
      <c r="X1" s="5"/>
      <c r="Y1" s="5"/>
      <c r="Z1" s="9" t="s">
        <v>14</v>
      </c>
      <c r="AA1" s="10"/>
      <c r="AB1" s="10"/>
      <c r="AC1" s="10"/>
      <c r="AD1" s="10"/>
      <c r="AE1" s="10"/>
      <c r="AF1" s="10"/>
      <c r="AG1" s="10"/>
      <c r="AH1" s="10"/>
      <c r="AI1" s="4" t="s">
        <v>15</v>
      </c>
      <c r="AJ1" s="5"/>
      <c r="AK1" s="5"/>
      <c r="AL1" s="4" t="s">
        <v>16</v>
      </c>
      <c r="AM1" s="5"/>
      <c r="AN1" s="6"/>
      <c r="AO1" s="11" t="s">
        <v>17</v>
      </c>
      <c r="AP1" s="12"/>
      <c r="AQ1" s="12"/>
      <c r="AR1" s="12"/>
      <c r="AS1" s="12"/>
      <c r="AT1" s="11" t="s">
        <v>18</v>
      </c>
      <c r="AU1" s="12"/>
      <c r="AV1" s="12"/>
      <c r="AW1" s="12"/>
      <c r="AX1" s="12"/>
      <c r="AY1" s="11" t="s">
        <v>19</v>
      </c>
      <c r="AZ1" s="12"/>
      <c r="BA1" s="12"/>
      <c r="BB1" s="12"/>
      <c r="BC1" s="12"/>
      <c r="BD1" s="13" t="s">
        <v>20</v>
      </c>
      <c r="BF1" s="14"/>
      <c r="BG1" s="4" t="s">
        <v>21</v>
      </c>
      <c r="BH1" s="5"/>
      <c r="BI1" s="6"/>
      <c r="BJ1" s="15" t="s">
        <v>22</v>
      </c>
      <c r="BK1" s="16"/>
      <c r="BL1" s="16"/>
      <c r="BM1" s="17"/>
      <c r="BN1" s="5" t="s">
        <v>23</v>
      </c>
      <c r="BO1" s="6"/>
      <c r="BP1" s="4" t="s">
        <v>24</v>
      </c>
      <c r="BQ1" s="5"/>
      <c r="BR1" s="5"/>
      <c r="BS1" s="5" t="s">
        <v>25</v>
      </c>
      <c r="BT1" s="5"/>
      <c r="BU1" s="6"/>
      <c r="BW1" s="18" t="s">
        <v>26</v>
      </c>
      <c r="BX1" s="18" t="s">
        <v>27</v>
      </c>
      <c r="BY1" s="18" t="s">
        <v>28</v>
      </c>
      <c r="BZ1" s="18" t="s">
        <v>29</v>
      </c>
    </row>
    <row r="2" spans="1:78" ht="27" customHeight="1" x14ac:dyDescent="0.25">
      <c r="A2" s="1"/>
      <c r="B2" s="1"/>
      <c r="C2" s="1"/>
      <c r="D2" s="1"/>
      <c r="E2" s="1"/>
      <c r="F2" s="1"/>
      <c r="G2" s="1"/>
      <c r="I2" s="19" t="s">
        <v>30</v>
      </c>
      <c r="J2" s="20" t="s">
        <v>31</v>
      </c>
      <c r="K2" s="3"/>
      <c r="L2" s="21" t="s">
        <v>32</v>
      </c>
      <c r="M2" s="22" t="s">
        <v>33</v>
      </c>
      <c r="N2" s="23" t="s">
        <v>34</v>
      </c>
      <c r="O2" s="21" t="s">
        <v>32</v>
      </c>
      <c r="P2" s="22" t="s">
        <v>33</v>
      </c>
      <c r="Q2" s="22" t="s">
        <v>34</v>
      </c>
      <c r="R2" s="21" t="s">
        <v>32</v>
      </c>
      <c r="S2" s="22" t="s">
        <v>33</v>
      </c>
      <c r="T2" s="23" t="s">
        <v>34</v>
      </c>
      <c r="U2" s="21" t="s">
        <v>32</v>
      </c>
      <c r="V2" s="24"/>
      <c r="W2" s="25" t="s">
        <v>35</v>
      </c>
      <c r="X2" s="26" t="s">
        <v>36</v>
      </c>
      <c r="Y2" s="27" t="s">
        <v>37</v>
      </c>
      <c r="Z2" s="26" t="s">
        <v>32</v>
      </c>
      <c r="AA2" s="26" t="s">
        <v>33</v>
      </c>
      <c r="AB2" s="26" t="s">
        <v>34</v>
      </c>
      <c r="AC2" s="26" t="s">
        <v>32</v>
      </c>
      <c r="AD2" s="26" t="s">
        <v>33</v>
      </c>
      <c r="AE2" s="26" t="s">
        <v>34</v>
      </c>
      <c r="AF2" s="26" t="s">
        <v>32</v>
      </c>
      <c r="AG2" s="26" t="s">
        <v>33</v>
      </c>
      <c r="AH2" s="26" t="s">
        <v>34</v>
      </c>
      <c r="AI2" s="25" t="s">
        <v>35</v>
      </c>
      <c r="AJ2" s="26" t="s">
        <v>36</v>
      </c>
      <c r="AK2" s="26" t="s">
        <v>37</v>
      </c>
      <c r="AL2" s="28" t="s">
        <v>35</v>
      </c>
      <c r="AM2" s="26" t="s">
        <v>36</v>
      </c>
      <c r="AN2" s="29" t="s">
        <v>37</v>
      </c>
      <c r="AO2" s="26" t="s">
        <v>38</v>
      </c>
      <c r="AP2" s="26" t="s">
        <v>39</v>
      </c>
      <c r="AQ2" s="26" t="s">
        <v>40</v>
      </c>
      <c r="AR2" s="26" t="s">
        <v>41</v>
      </c>
      <c r="AS2" s="26" t="s">
        <v>42</v>
      </c>
      <c r="AT2" s="26" t="s">
        <v>38</v>
      </c>
      <c r="AU2" s="26" t="s">
        <v>39</v>
      </c>
      <c r="AV2" s="26" t="s">
        <v>40</v>
      </c>
      <c r="AW2" s="26" t="s">
        <v>41</v>
      </c>
      <c r="AX2" s="26" t="s">
        <v>42</v>
      </c>
      <c r="AY2" s="26" t="s">
        <v>38</v>
      </c>
      <c r="AZ2" s="26" t="s">
        <v>39</v>
      </c>
      <c r="BA2" s="26" t="s">
        <v>40</v>
      </c>
      <c r="BB2" s="26" t="s">
        <v>41</v>
      </c>
      <c r="BC2" s="26" t="s">
        <v>42</v>
      </c>
      <c r="BD2" s="14" t="s">
        <v>43</v>
      </c>
      <c r="BE2" s="14" t="s">
        <v>44</v>
      </c>
      <c r="BF2" s="14" t="s">
        <v>45</v>
      </c>
      <c r="BG2" s="30" t="s">
        <v>43</v>
      </c>
      <c r="BH2" s="31" t="s">
        <v>44</v>
      </c>
      <c r="BI2" s="32" t="s">
        <v>45</v>
      </c>
      <c r="BJ2" s="25" t="s">
        <v>46</v>
      </c>
      <c r="BK2" s="33" t="s">
        <v>47</v>
      </c>
      <c r="BL2" s="33" t="s">
        <v>48</v>
      </c>
      <c r="BM2" s="27" t="s">
        <v>35</v>
      </c>
      <c r="BN2" s="26" t="s">
        <v>36</v>
      </c>
      <c r="BO2" s="29" t="s">
        <v>37</v>
      </c>
      <c r="BP2" s="26" t="s">
        <v>46</v>
      </c>
      <c r="BQ2" s="26" t="s">
        <v>47</v>
      </c>
      <c r="BR2" s="33" t="s">
        <v>48</v>
      </c>
      <c r="BS2" s="26" t="s">
        <v>35</v>
      </c>
      <c r="BT2" s="26" t="s">
        <v>36</v>
      </c>
      <c r="BU2" s="29" t="s">
        <v>37</v>
      </c>
      <c r="BW2" s="34"/>
      <c r="BX2" s="34"/>
      <c r="BY2" s="34"/>
      <c r="BZ2" s="34"/>
    </row>
    <row r="3" spans="1:78" hidden="1" outlineLevel="1" x14ac:dyDescent="0.25">
      <c r="A3" s="35" t="s">
        <v>49</v>
      </c>
      <c r="B3" s="36" t="s">
        <v>50</v>
      </c>
      <c r="C3" s="36" t="s">
        <v>51</v>
      </c>
      <c r="D3" s="36"/>
      <c r="E3" s="36"/>
      <c r="J3" s="20"/>
      <c r="K3" s="35" t="s">
        <v>52</v>
      </c>
      <c r="L3" s="37" t="s">
        <v>53</v>
      </c>
      <c r="O3" s="36" t="s">
        <v>54</v>
      </c>
      <c r="P3" s="36" t="s">
        <v>55</v>
      </c>
      <c r="Q3" s="36"/>
      <c r="R3" s="37" t="s">
        <v>56</v>
      </c>
      <c r="U3" s="38" t="s">
        <v>57</v>
      </c>
      <c r="V3" s="38" t="s">
        <v>58</v>
      </c>
      <c r="W3" s="37" t="s">
        <v>59</v>
      </c>
      <c r="AL3" s="39"/>
      <c r="AN3" s="40"/>
      <c r="AO3" s="41" t="s">
        <v>60</v>
      </c>
      <c r="AP3" s="42"/>
      <c r="AQ3" s="42"/>
      <c r="AR3" s="42" t="s">
        <v>61</v>
      </c>
      <c r="AS3" s="42"/>
      <c r="AT3" s="42" t="s">
        <v>62</v>
      </c>
      <c r="AU3" s="42"/>
      <c r="AV3" s="42"/>
      <c r="AW3" s="42" t="s">
        <v>63</v>
      </c>
      <c r="AX3" s="42"/>
      <c r="AY3" s="42" t="s">
        <v>64</v>
      </c>
      <c r="AZ3" s="42"/>
      <c r="BA3" s="42"/>
      <c r="BB3" s="42" t="s">
        <v>65</v>
      </c>
      <c r="BC3" s="42"/>
      <c r="BD3" s="42"/>
      <c r="BE3" s="42"/>
      <c r="BF3" s="42"/>
      <c r="BG3" s="41"/>
      <c r="BH3" s="42"/>
      <c r="BI3" s="43"/>
      <c r="BJ3" s="37" t="s">
        <v>66</v>
      </c>
      <c r="BM3" s="36" t="s">
        <v>67</v>
      </c>
      <c r="BO3" s="40"/>
      <c r="BP3" s="37" t="s">
        <v>68</v>
      </c>
      <c r="BS3" s="36" t="s">
        <v>69</v>
      </c>
      <c r="BU3" s="40"/>
      <c r="BW3" s="34"/>
      <c r="BX3" s="34"/>
      <c r="BY3" s="34"/>
      <c r="BZ3" s="34"/>
    </row>
    <row r="4" spans="1:78" hidden="1" outlineLevel="1" x14ac:dyDescent="0.25">
      <c r="J4" s="20"/>
      <c r="K4" s="35"/>
      <c r="L4" s="37"/>
      <c r="O4" s="36"/>
      <c r="P4" s="36"/>
      <c r="Q4" s="36"/>
      <c r="R4" s="37"/>
      <c r="U4" s="38" t="s">
        <v>70</v>
      </c>
      <c r="V4" s="38" t="s">
        <v>71</v>
      </c>
      <c r="W4" s="37" t="s">
        <v>72</v>
      </c>
      <c r="Z4" s="44" t="s">
        <v>73</v>
      </c>
      <c r="AC4" s="44" t="s">
        <v>74</v>
      </c>
      <c r="AD4" s="14"/>
      <c r="AE4" s="14"/>
      <c r="AF4" s="44" t="s">
        <v>75</v>
      </c>
      <c r="AL4" s="45"/>
      <c r="AM4" s="46"/>
      <c r="AN4" s="47"/>
      <c r="AO4" s="41" t="s">
        <v>76</v>
      </c>
      <c r="BG4" s="45"/>
      <c r="BH4" s="46"/>
      <c r="BI4" s="47"/>
      <c r="BJ4" s="36"/>
      <c r="BM4" s="36" t="s">
        <v>77</v>
      </c>
      <c r="BO4" s="40"/>
      <c r="BP4" s="36"/>
      <c r="BS4" s="36" t="s">
        <v>78</v>
      </c>
      <c r="BU4" s="40"/>
      <c r="BW4" s="34"/>
      <c r="BX4" s="34"/>
      <c r="BY4" s="34"/>
      <c r="BZ4" s="34"/>
    </row>
    <row r="5" spans="1:78" ht="16.8" collapsed="1" x14ac:dyDescent="0.25">
      <c r="H5" s="48" t="s">
        <v>79</v>
      </c>
      <c r="I5" s="48"/>
      <c r="J5" s="49"/>
      <c r="K5" s="50"/>
      <c r="L5" s="51"/>
      <c r="M5" s="52"/>
      <c r="N5" s="52"/>
      <c r="O5" s="52"/>
      <c r="P5" s="52"/>
      <c r="Q5" s="52"/>
      <c r="R5" s="51"/>
      <c r="S5" s="52"/>
      <c r="T5" s="52"/>
      <c r="U5" s="52"/>
      <c r="V5" s="52"/>
      <c r="W5" s="52"/>
      <c r="X5" s="52"/>
      <c r="Y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3"/>
      <c r="BJ5" s="52"/>
      <c r="BK5" s="52"/>
      <c r="BL5" s="52"/>
      <c r="BM5" s="53"/>
      <c r="BN5" s="52"/>
      <c r="BO5" s="53"/>
      <c r="BP5" s="52"/>
      <c r="BQ5" s="52"/>
      <c r="BR5" s="52"/>
      <c r="BS5" s="52"/>
      <c r="BT5" s="52"/>
      <c r="BU5" s="53"/>
      <c r="BW5" s="34"/>
      <c r="BX5" s="34"/>
      <c r="BY5" s="34"/>
      <c r="BZ5" s="34"/>
    </row>
    <row r="6" spans="1:78" ht="13.8" x14ac:dyDescent="0.25">
      <c r="A6" s="54" t="e">
        <f ca="1">_xll.SNL.Clients.Office.Excel.Functions.SPG($J6, A$3)</f>
        <v>#NAME?</v>
      </c>
      <c r="B6" s="54" t="e">
        <f ca="1">_xll.BDP($I6,B$3)</f>
        <v>#NAME?</v>
      </c>
      <c r="C6" s="54" t="e">
        <f ca="1">_xll.BDP($I6,C$3)</f>
        <v>#NAME?</v>
      </c>
      <c r="D6" s="55" t="s">
        <v>80</v>
      </c>
      <c r="E6" s="55" t="s">
        <v>81</v>
      </c>
      <c r="F6" s="56" t="e">
        <f ca="1">_xll.SNL.Clients.Office.Excel.Functions.SPG($J6, "IQ_TEV", "Options: Curr=USD")</f>
        <v>#NAME?</v>
      </c>
      <c r="G6" s="56" t="e">
        <f ca="1">_xll.SNL.Clients.Office.Excel.Functions.SPG($J6, "SP_MARKETCAP", "Options: Curr=USD")</f>
        <v>#NAME?</v>
      </c>
      <c r="H6" s="57" t="s">
        <v>82</v>
      </c>
      <c r="I6" s="14" t="s">
        <v>83</v>
      </c>
      <c r="J6" s="14" t="s">
        <v>84</v>
      </c>
      <c r="K6" s="58" t="e" cm="1">
        <f t="array" aca="1" ref="K6" ca="1">_xll.SNL.Clients.Office.Excel.Functions.SPG($J6, $K$3)/100</f>
        <v>#NAME?</v>
      </c>
      <c r="L6" s="59" t="e" cm="1">
        <f t="array" aca="1" ref="L6" ca="1">_xll.SNL.Clients.Office.Excel.Functions.SPG($J6, "SP_PCFPS_FWD",L$2)</f>
        <v>#NAME?</v>
      </c>
      <c r="M6" s="60" t="e" cm="1">
        <f t="array" aca="1" ref="M6" ca="1">_xll.SNL.Clients.Office.Excel.Functions.SPG($J6, "SP_PCFPS_FWD",M$2)</f>
        <v>#NAME?</v>
      </c>
      <c r="N6" s="61" t="e" cm="1">
        <f t="array" aca="1" ref="N6" ca="1">_xll.SNL.Clients.Office.Excel.Functions.SPG($J6, "SP_PCFPS_FWD",N$2)</f>
        <v>#NAME?</v>
      </c>
      <c r="O6" s="62" t="e">
        <f ca="1">_xll.SNL.Clients.Office.Excel.Functions.SPG($J6, "SP_FCF_EST",O$2, "Options: Curr=USD")/1000/$G6</f>
        <v>#NAME?</v>
      </c>
      <c r="P6" s="63" t="e">
        <f ca="1">_xll.SNL.Clients.Office.Excel.Functions.SPG($J6, "SP_FCF_EST",P$2, "Options: Curr=USD")/1000/$G6</f>
        <v>#NAME?</v>
      </c>
      <c r="Q6" s="64" t="e">
        <f ca="1">_xll.SNL.Clients.Office.Excel.Functions.SPG($J6, "SP_FCF_EST",Q$2, "Options: Curr=USD")/1000/$G6</f>
        <v>#NAME?</v>
      </c>
      <c r="R6" s="59" t="e" cm="1">
        <f t="array" aca="1" ref="R6" ca="1">_xll.SNL.Clients.Office.Excel.Functions.SPG($J6, "SP_PE_FWD",R$2)</f>
        <v>#NAME?</v>
      </c>
      <c r="S6" s="60" t="e" cm="1">
        <f t="array" aca="1" ref="S6" ca="1">_xll.SNL.Clients.Office.Excel.Functions.SPG($J6, "SP_PE_FWD",S$2)</f>
        <v>#NAME?</v>
      </c>
      <c r="T6" s="61" t="e" cm="1">
        <f t="array" aca="1" ref="T6" ca="1">_xll.SNL.Clients.Office.Excel.Functions.SPG($J6, "SP_PE_FWD",T$2)</f>
        <v>#NAME?</v>
      </c>
      <c r="U6" s="65" t="e" cm="1">
        <f t="array" aca="1" ref="U6" ca="1">IF((_xll.SNL.Clients.Office.Excel.Functions.SPG($J6,$U$3,U$4,"Options: Curr=USD") / _xll.SNL.Clients.Office.Excel.Functions.SPG($J6,"SP_EBITDA_EST",U$2,"Options: Curr=USD")) &lt; 0, "NM", (_xll.SNL.Clients.Office.Excel.Functions.SPG($J6,$U$3,U$4,"Options: Curr=USD") / _xll.SNL.Clients.Office.Excel.Functions.SPG($J6,"SP_EBITDA_EST",U$2,"Options: Curr=USD")))</f>
        <v>#NAME?</v>
      </c>
      <c r="V6" s="66" t="e" cm="1">
        <f t="array" aca="1" ref="V6" ca="1">_xll.SNL.Clients.Office.Excel.Functions.SPG($J6, $V$3,V$4)</f>
        <v>#NAME?</v>
      </c>
      <c r="W6" s="67" t="str">
        <f ca="1">IFERROR(0.001*AVERAGE(_xll.SNL.Clients.Office.Excel.Functions.SPG($J6,$W$4,"Ag",W$2),_xll.SNL.Clients.Office.Excel.Functions.SPG($J6,$W$3,"Ag",W$2)),"NA")</f>
        <v>NA</v>
      </c>
      <c r="X6" s="68" t="str">
        <f ca="1">IFERROR(0.001*AVERAGE(_xll.SNL.Clients.Office.Excel.Functions.SPG($J6,$W$4,"Ag",X$2),_xll.SNL.Clients.Office.Excel.Functions.SPG($J6,$W$3,"Ag",X$2)),"NA")</f>
        <v>NA</v>
      </c>
      <c r="Y6" s="69" t="str">
        <f ca="1">IFERROR(0.001*AVERAGE(_xll.SNL.Clients.Office.Excel.Functions.SPG($J6,$W$4,"Ag",Y$2),_xll.SNL.Clients.Office.Excel.Functions.SPG($J6,$W$3,"Ag",Y$2)),"NA")</f>
        <v>NA</v>
      </c>
      <c r="Z6" s="68" t="e">
        <f ca="1" xml:space="preserve"> IF(ISNUMBER(SEARCH("na",_xll.SNL.Clients.Office.Excel.Functions.SPG($J6, $Z$4, Z$2))), 0,_xll.SNL.Clients.Office.Excel.Functions.SPG($J6, $Z$4, Z$2))</f>
        <v>#NAME?</v>
      </c>
      <c r="AA6" s="68" t="e">
        <f ca="1" xml:space="preserve"> IF(ISNUMBER(SEARCH("na",_xll.SNL.Clients.Office.Excel.Functions.SPG($J6, $Z$4, AA$2))), 0,_xll.SNL.Clients.Office.Excel.Functions.SPG($J6, $Z$4, AA$2))</f>
        <v>#NAME?</v>
      </c>
      <c r="AB6" s="68" t="e">
        <f ca="1" xml:space="preserve"> IF(ISNUMBER(SEARCH("na",_xll.SNL.Clients.Office.Excel.Functions.SPG($J6, $Z$4, AB$2))), 0,_xll.SNL.Clients.Office.Excel.Functions.SPG($J6, $Z$4, AB$2))</f>
        <v>#NAME?</v>
      </c>
      <c r="AC6" s="68" t="e">
        <f ca="1" xml:space="preserve"> IF(ISNUMBER(SEARCH("na",_xll.SNL.Clients.Office.Excel.Functions.SPG($J6, $AC$4, AC$2))), 0,_xll.SNL.Clients.Office.Excel.Functions.SPG($J6, $AC$4, AC$2))</f>
        <v>#NAME?</v>
      </c>
      <c r="AD6" s="68" t="e">
        <f ca="1" xml:space="preserve"> IF(ISNUMBER(SEARCH("na",_xll.SNL.Clients.Office.Excel.Functions.SPG($J6, $AC$4, AD$2))), 0,_xll.SNL.Clients.Office.Excel.Functions.SPG($J6, $AC$4, AD$2))</f>
        <v>#NAME?</v>
      </c>
      <c r="AE6" s="68" t="e">
        <f ca="1" xml:space="preserve"> IF(ISNUMBER(SEARCH("na",_xll.SNL.Clients.Office.Excel.Functions.SPG($J6, $AC$4, AE$2))), 0,_xll.SNL.Clients.Office.Excel.Functions.SPG($J6, $AC$4, AE$2))</f>
        <v>#NAME?</v>
      </c>
      <c r="AF6" s="68" t="e">
        <f ca="1" xml:space="preserve"> IF(ISNUMBER(SEARCH("na",_xll.SNL.Clients.Office.Excel.Functions.SPG($J6, $AF$4, AF$2))), 0,_xll.SNL.Clients.Office.Excel.Functions.SPG($J6, $AF$4, AF$2))</f>
        <v>#NAME?</v>
      </c>
      <c r="AG6" s="68" t="e">
        <f ca="1" xml:space="preserve"> IF(ISNUMBER(SEARCH("na",_xll.SNL.Clients.Office.Excel.Functions.SPG($J6, $AF$4, AG$2))), 0,_xll.SNL.Clients.Office.Excel.Functions.SPG($J6, $AF$4, AG$2))</f>
        <v>#NAME?</v>
      </c>
      <c r="AH6" s="68" t="e">
        <f ca="1" xml:space="preserve"> IF(ISNUMBER(SEARCH("na",_xll.SNL.Clients.Office.Excel.Functions.SPG($J6, $AF$4, AH$2))), 0,_xll.SNL.Clients.Office.Excel.Functions.SPG($J6, $AF$4, AH$2))</f>
        <v>#NAME?</v>
      </c>
      <c r="AI6" s="68" t="e">
        <f t="shared" ref="AI6:AK11" ca="1" si="0">AC6+Z6*auprice/agprice+AF6*cuprice/agprice</f>
        <v>#NAME?</v>
      </c>
      <c r="AJ6" s="68" t="e">
        <f t="shared" ca="1" si="0"/>
        <v>#NAME?</v>
      </c>
      <c r="AK6" s="68" t="e">
        <f t="shared" ca="1" si="0"/>
        <v>#NAME?</v>
      </c>
      <c r="AL6" s="70" t="str">
        <f t="shared" ref="AL6:AN12" ca="1" si="1">IFERROR($F6/AI6*1000,"NA")</f>
        <v>NA</v>
      </c>
      <c r="AM6" s="71" t="str">
        <f t="shared" ca="1" si="1"/>
        <v>NA</v>
      </c>
      <c r="AN6" s="72" t="str">
        <f t="shared" ca="1" si="1"/>
        <v>NA</v>
      </c>
      <c r="AO6" s="68">
        <f ca="1">IFERROR(_xll.SNL.Clients.Office.Excel.Functions.SPG($J6, $AO$3, AO$2,$AO$4)/1000,0)</f>
        <v>0</v>
      </c>
      <c r="AP6" s="68">
        <f ca="1">IFERROR(_xll.SNL.Clients.Office.Excel.Functions.SPG($J6, $AO$3, AP$2,$AO$4)/1000,0)</f>
        <v>0</v>
      </c>
      <c r="AQ6" s="68">
        <f ca="1">IFERROR(_xll.SNL.Clients.Office.Excel.Functions.SPG($J6, $AR$3, AQ$2,$AO$4)/1000,0)</f>
        <v>0</v>
      </c>
      <c r="AR6" s="68">
        <f ca="1">IFERROR(_xll.SNL.Clients.Office.Excel.Functions.SPG($J6, $AR$3, AR$2,$AO$4)/1000,0)</f>
        <v>0</v>
      </c>
      <c r="AS6" s="68">
        <f ca="1">IFERROR(_xll.SNL.Clients.Office.Excel.Functions.SPG($J6, $AR$3, AS$2,$AO$4)/1000,0)</f>
        <v>0</v>
      </c>
      <c r="AT6" s="68">
        <f ca="1">IFERROR(_xll.SNL.Clients.Office.Excel.Functions.SPG($J6, $AT$3, AT$2,$AO$4)/1000,0)</f>
        <v>0</v>
      </c>
      <c r="AU6" s="68">
        <f ca="1">IFERROR(_xll.SNL.Clients.Office.Excel.Functions.SPG($J6, $AT$3, AU$2,$AO$4)/1000,0)</f>
        <v>0</v>
      </c>
      <c r="AV6" s="68">
        <f ca="1">IFERROR(_xll.SNL.Clients.Office.Excel.Functions.SPG($J6, $AW$3, AV$2,$AO$4)/1000,0)</f>
        <v>0</v>
      </c>
      <c r="AW6" s="68">
        <f ca="1">IFERROR(_xll.SNL.Clients.Office.Excel.Functions.SPG($J6, $AW$3, AW$2,$AO$4)/1000,0)</f>
        <v>0</v>
      </c>
      <c r="AX6" s="68">
        <f ca="1">IFERROR(_xll.SNL.Clients.Office.Excel.Functions.SPG($J6, $AW$3, AX$2,$AO$4)/1000,0)</f>
        <v>0</v>
      </c>
      <c r="AY6" s="68">
        <f ca="1">IFERROR(_xll.SNL.Clients.Office.Excel.Functions.SPG($J6, $AY$3, AY$2,$AO$4)/1000,0)</f>
        <v>0</v>
      </c>
      <c r="AZ6" s="68">
        <f ca="1">IFERROR(_xll.SNL.Clients.Office.Excel.Functions.SPG($J6, $AY$3, AZ$2,$AO$4)/1000,0)</f>
        <v>0</v>
      </c>
      <c r="BA6" s="68">
        <f ca="1">IFERROR(_xll.SNL.Clients.Office.Excel.Functions.SPG($J6, $BB$3, BA$2,$AO$4)/1000,0)</f>
        <v>0</v>
      </c>
      <c r="BB6" s="68">
        <f ca="1">IFERROR(_xll.SNL.Clients.Office.Excel.Functions.SPG($J6, $BB$3, BB$2,$AO$4)/1000,0)</f>
        <v>0</v>
      </c>
      <c r="BC6" s="68">
        <f ca="1">IFERROR(_xll.SNL.Clients.Office.Excel.Functions.SPG($J6, $BB$3, BC$2,$AO$4)/1000,0)</f>
        <v>0</v>
      </c>
      <c r="BD6" s="68">
        <f t="shared" ref="BD6:BD11" ca="1" si="2">AP6+AO6*auprice/agprice+AQ6*cuprice/agprice+AR6*znprice/agprice+AS6*pbprice/agprice</f>
        <v>0</v>
      </c>
      <c r="BE6" s="68">
        <f t="shared" ref="BE6:BE11" ca="1" si="3">AU6+AT6*auprice/agprice+AV6*cuprice/agprice+AW6*znprice/agprice+AX6*pbprice/agprice+BD6</f>
        <v>0</v>
      </c>
      <c r="BF6" s="68">
        <f t="shared" ref="BF6:BF11" ca="1" si="4">AZ6+AY6*auprice/agprice+BA6*cuprice/agprice+BB6*znprice/agprice+BC6*pbprice/agprice+BD6</f>
        <v>0</v>
      </c>
      <c r="BG6" s="73" t="e">
        <f t="shared" ref="BG6:BI12" ca="1" si="5">$F6*1000/BD6</f>
        <v>#NAME?</v>
      </c>
      <c r="BH6" s="74" t="e">
        <f t="shared" ca="1" si="5"/>
        <v>#NAME?</v>
      </c>
      <c r="BI6" s="75" t="e">
        <f t="shared" ca="1" si="5"/>
        <v>#NAME?</v>
      </c>
      <c r="BJ6" s="74" t="e">
        <f ca="1">_xll.SNL.Clients.Office.Excel.Functions.SPG($J6, $BJ$3, BJ$2, "Ag", "Options:Curr=USD")</f>
        <v>#NAME?</v>
      </c>
      <c r="BK6" s="74" t="e">
        <f ca="1">_xll.SNL.Clients.Office.Excel.Functions.SPG($J6, $BJ$3, BK$2, "Ag", "Options:Curr=USD")</f>
        <v>#NAME?</v>
      </c>
      <c r="BL6" s="76" t="e">
        <f ca="1">_xll.SNL.Clients.Office.Excel.Functions.SPG($J6, $BJ$3, BL$2, "Ag", "Options:Curr=USD")</f>
        <v>#NAME?</v>
      </c>
      <c r="BM6" s="75" t="e">
        <f ca="1">_xll.SNL.Clients.Office.Excel.Functions.SPG($J6, $BJ$3, BM$2, "Ag", "Options:Curr=USD")</f>
        <v>#NAME?</v>
      </c>
      <c r="BN6" s="74" t="str">
        <f ca="1">IFERROR(AVERAGE(_xll.SNL.Clients.Office.Excel.Functions.SPG($J6,$BM$4,"Ag",BN$2),_xll.SNL.Clients.Office.Excel.Functions.SPG($J6,$BM$3,"Ag",BN$2)),"NA")</f>
        <v>NA</v>
      </c>
      <c r="BO6" s="75" t="str">
        <f ca="1">IFERROR(AVERAGE(_xll.SNL.Clients.Office.Excel.Functions.SPG($J6,$BM$4,"Ag",BO$2),_xll.SNL.Clients.Office.Excel.Functions.SPG($J6,$BM$3,"Ag",BO$2)),"NA")</f>
        <v>NA</v>
      </c>
      <c r="BP6" s="74" t="e">
        <f ca="1">_xll.SNL.Clients.Office.Excel.Functions.SPG($J6, $BP$3, BP$2, "Ag", "Options:Curr=USD")</f>
        <v>#NAME?</v>
      </c>
      <c r="BQ6" s="74" t="e">
        <f ca="1">_xll.SNL.Clients.Office.Excel.Functions.SPG($J6, $BP$3, BQ$2, "Ag", "Options:Curr=USD")</f>
        <v>#NAME?</v>
      </c>
      <c r="BR6" s="75" t="e">
        <f ca="1">_xll.SNL.Clients.Office.Excel.Functions.SPG($J6, $BP$3, BR$2, "Ag", "Options:Curr=USD")</f>
        <v>#NAME?</v>
      </c>
      <c r="BS6" s="74" t="str">
        <f ca="1">IFERROR(AVERAGE(_xll.SNL.Clients.Office.Excel.Functions.SPG($J6,$BS$4,"Ag",BS$2, "Options:Curr=USD"),_xll.SNL.Clients.Office.Excel.Functions.SPG($J6,$BS$3,"Ag",BS$2, "Options:Curr=USD")),"NA")</f>
        <v>NA</v>
      </c>
      <c r="BT6" s="74" t="str">
        <f ca="1">IFERROR(AVERAGE(_xll.SNL.Clients.Office.Excel.Functions.SPG($J6,$BS$4,"Ag",BT$2),_xll.SNL.Clients.Office.Excel.Functions.SPG($J6,$BS$3,"Ag",BT$2)),"NA")</f>
        <v>NA</v>
      </c>
      <c r="BU6" s="75" t="str">
        <f ca="1">IFERROR(AVERAGE(_xll.SNL.Clients.Office.Excel.Functions.SPG($J6,$BS$4,"Ag",BU$2),_xll.SNL.Clients.Office.Excel.Functions.SPG($J6,$BS$3,"Ag",BU$2)),"NA")</f>
        <v>NA</v>
      </c>
      <c r="BW6" s="77" t="s">
        <v>85</v>
      </c>
      <c r="BX6" s="77"/>
      <c r="BY6" s="34" t="s">
        <v>86</v>
      </c>
      <c r="BZ6" s="34"/>
    </row>
    <row r="7" spans="1:78" ht="13.8" x14ac:dyDescent="0.25">
      <c r="A7" s="54" t="e">
        <f ca="1">_xll.SNL.Clients.Office.Excel.Functions.SPG($J7, A$3)</f>
        <v>#NAME?</v>
      </c>
      <c r="B7" s="54" t="e">
        <f ca="1">_xll.BDP($I7,B$3)</f>
        <v>#NAME?</v>
      </c>
      <c r="C7" s="54" t="e">
        <f ca="1">_xll.BDP($I7,C$3)</f>
        <v>#NAME?</v>
      </c>
      <c r="D7" s="55" t="s">
        <v>87</v>
      </c>
      <c r="E7" s="55" t="s">
        <v>81</v>
      </c>
      <c r="F7" s="56" t="e">
        <f ca="1">_xll.SNL.Clients.Office.Excel.Functions.SPG($J7, "IQ_TEV", "Options: Curr=USD")</f>
        <v>#NAME?</v>
      </c>
      <c r="G7" s="56" t="e">
        <f ca="1">_xll.SNL.Clients.Office.Excel.Functions.SPG($J7, "SP_MARKETCAP", "Options: Curr=USD")</f>
        <v>#NAME?</v>
      </c>
      <c r="H7" s="57" t="s">
        <v>88</v>
      </c>
      <c r="I7" s="14" t="s">
        <v>89</v>
      </c>
      <c r="J7" s="14" t="s">
        <v>90</v>
      </c>
      <c r="K7" s="58" t="e" cm="1">
        <f t="array" aca="1" ref="K7" ca="1">_xll.SNL.Clients.Office.Excel.Functions.SPG($J7, $K$3)/100</f>
        <v>#NAME?</v>
      </c>
      <c r="L7" s="59" t="e" cm="1">
        <f t="array" aca="1" ref="L7" ca="1">_xll.SNL.Clients.Office.Excel.Functions.SPG($J7, "SP_PCFPS_FWD",L$2)</f>
        <v>#NAME?</v>
      </c>
      <c r="M7" s="60" t="e" cm="1">
        <f t="array" aca="1" ref="M7" ca="1">_xll.SNL.Clients.Office.Excel.Functions.SPG($J7, "SP_PCFPS_FWD",M$2)</f>
        <v>#NAME?</v>
      </c>
      <c r="N7" s="61" t="e" cm="1">
        <f t="array" aca="1" ref="N7" ca="1">_xll.SNL.Clients.Office.Excel.Functions.SPG($J7, "SP_PCFPS_FWD",N$2)</f>
        <v>#NAME?</v>
      </c>
      <c r="O7" s="62" t="e">
        <f ca="1">_xll.SNL.Clients.Office.Excel.Functions.SPG($J7, "SP_FCF_EST",O$2, "Options: Curr=USD")/1000/$G7</f>
        <v>#NAME?</v>
      </c>
      <c r="P7" s="62" t="e">
        <f ca="1">_xll.SNL.Clients.Office.Excel.Functions.SPG($J7, "SP_FCF_EST",P$2, "Options: Curr=USD")/1000/$G7</f>
        <v>#NAME?</v>
      </c>
      <c r="Q7" s="62" t="e">
        <f ca="1">_xll.SNL.Clients.Office.Excel.Functions.SPG($J7, "SP_FCF_EST",Q$2, "Options: Curr=USD")/1000/$G7</f>
        <v>#NAME?</v>
      </c>
      <c r="R7" s="59" t="e" cm="1">
        <f t="array" aca="1" ref="R7" ca="1">_xll.SNL.Clients.Office.Excel.Functions.SPG($J7, "SP_PE_FWD",R$2)</f>
        <v>#NAME?</v>
      </c>
      <c r="S7" s="60" t="e" cm="1">
        <f t="array" aca="1" ref="S7" ca="1">_xll.SNL.Clients.Office.Excel.Functions.SPG($J7, "SP_PE_FWD",S$2)</f>
        <v>#NAME?</v>
      </c>
      <c r="T7" s="61" t="e" cm="1">
        <f t="array" aca="1" ref="T7" ca="1">_xll.SNL.Clients.Office.Excel.Functions.SPG($J7, "SP_PE_FWD",T$2)</f>
        <v>#NAME?</v>
      </c>
      <c r="U7" s="65" t="e" cm="1">
        <f t="array" aca="1" ref="U7" ca="1">IF((_xll.SNL.Clients.Office.Excel.Functions.SPG($J7,$U$3,U$4,"Options: Curr=USD") / _xll.SNL.Clients.Office.Excel.Functions.SPG($J7,"SP_EBITDA_EST",U$2,"Options: Curr=USD")) &lt; 0, "NM", (_xll.SNL.Clients.Office.Excel.Functions.SPG($J7,$U$3,U$4,"Options: Curr=USD") / _xll.SNL.Clients.Office.Excel.Functions.SPG($J7,"SP_EBITDA_EST",U$2,"Options: Curr=USD")))</f>
        <v>#NAME?</v>
      </c>
      <c r="V7" s="66" t="e" cm="1">
        <f t="array" aca="1" ref="V7" ca="1">_xll.SNL.Clients.Office.Excel.Functions.SPG($J7, $V$3,V$4)</f>
        <v>#NAME?</v>
      </c>
      <c r="W7" s="78" t="str">
        <f ca="1">IFERROR(0.001*AVERAGE(_xll.SNL.Clients.Office.Excel.Functions.SPG($J7,$W$4,"Ag",W$2),_xll.SNL.Clients.Office.Excel.Functions.SPG($J7,$W$3,"Ag",W$2)),"NA")</f>
        <v>NA</v>
      </c>
      <c r="X7" s="68" t="str">
        <f ca="1">IFERROR(0.001*AVERAGE(_xll.SNL.Clients.Office.Excel.Functions.SPG($J7,$W$4,"Ag",X$2),_xll.SNL.Clients.Office.Excel.Functions.SPG($J7,$W$3,"Ag",X$2)),"NA")</f>
        <v>NA</v>
      </c>
      <c r="Y7" s="79" t="str">
        <f ca="1">IFERROR(0.001*AVERAGE(_xll.SNL.Clients.Office.Excel.Functions.SPG($J7,$W$4,"Ag",Y$2),_xll.SNL.Clients.Office.Excel.Functions.SPG($J7,$W$3,"Ag",Y$2)),"NA")</f>
        <v>NA</v>
      </c>
      <c r="Z7" s="68" t="e">
        <f ca="1" xml:space="preserve"> IF(ISNUMBER(SEARCH("na",_xll.SNL.Clients.Office.Excel.Functions.SPG($J7, $Z$4, Z$2))), 0,_xll.SNL.Clients.Office.Excel.Functions.SPG($J7, $Z$4, Z$2))</f>
        <v>#NAME?</v>
      </c>
      <c r="AA7" s="68" t="e">
        <f ca="1" xml:space="preserve"> IF(ISNUMBER(SEARCH("na",_xll.SNL.Clients.Office.Excel.Functions.SPG($J7, $Z$4, AA$2))), 0,_xll.SNL.Clients.Office.Excel.Functions.SPG($J7, $Z$4, AA$2))</f>
        <v>#NAME?</v>
      </c>
      <c r="AB7" s="68" t="e">
        <f ca="1" xml:space="preserve"> IF(ISNUMBER(SEARCH("na",_xll.SNL.Clients.Office.Excel.Functions.SPG($J7, $Z$4, AB$2))), 0,_xll.SNL.Clients.Office.Excel.Functions.SPG($J7, $Z$4, AB$2))</f>
        <v>#NAME?</v>
      </c>
      <c r="AC7" s="68" t="e">
        <f ca="1" xml:space="preserve"> IF(ISNUMBER(SEARCH("na",_xll.SNL.Clients.Office.Excel.Functions.SPG($J7, $AC$4, AC$2))), 0,_xll.SNL.Clients.Office.Excel.Functions.SPG($J7, $AC$4, AC$2))</f>
        <v>#NAME?</v>
      </c>
      <c r="AD7" s="68" t="e">
        <f ca="1" xml:space="preserve"> IF(ISNUMBER(SEARCH("na",_xll.SNL.Clients.Office.Excel.Functions.SPG($J7, $AC$4, AD$2))), 0,_xll.SNL.Clients.Office.Excel.Functions.SPG($J7, $AC$4, AD$2))</f>
        <v>#NAME?</v>
      </c>
      <c r="AE7" s="68" t="e">
        <f ca="1" xml:space="preserve"> IF(ISNUMBER(SEARCH("na",_xll.SNL.Clients.Office.Excel.Functions.SPG($J7, $AC$4, AE$2))), 0,_xll.SNL.Clients.Office.Excel.Functions.SPG($J7, $AC$4, AE$2))</f>
        <v>#NAME?</v>
      </c>
      <c r="AF7" s="68" t="e">
        <f ca="1" xml:space="preserve"> IF(ISNUMBER(SEARCH("na",_xll.SNL.Clients.Office.Excel.Functions.SPG($J7, $AF$4, AF$2))), 0,_xll.SNL.Clients.Office.Excel.Functions.SPG($J7, $AF$4, AF$2))</f>
        <v>#NAME?</v>
      </c>
      <c r="AG7" s="68" t="e">
        <f ca="1" xml:space="preserve"> IF(ISNUMBER(SEARCH("na",_xll.SNL.Clients.Office.Excel.Functions.SPG($J7, $AF$4, AG$2))), 0,_xll.SNL.Clients.Office.Excel.Functions.SPG($J7, $AF$4, AG$2))</f>
        <v>#NAME?</v>
      </c>
      <c r="AH7" s="68" t="e">
        <f ca="1" xml:space="preserve"> IF(ISNUMBER(SEARCH("na",_xll.SNL.Clients.Office.Excel.Functions.SPG($J7, $AF$4, AH$2))), 0,_xll.SNL.Clients.Office.Excel.Functions.SPG($J7, $AF$4, AH$2))</f>
        <v>#NAME?</v>
      </c>
      <c r="AI7" s="68" t="e">
        <f t="shared" ref="AI7:AK12" ca="1" si="6">AC7+Z7*auprice/agprice+AF7*cuprice/agprice</f>
        <v>#NAME?</v>
      </c>
      <c r="AJ7" s="68" t="e">
        <f t="shared" ca="1" si="6"/>
        <v>#NAME?</v>
      </c>
      <c r="AK7" s="68" t="e">
        <f t="shared" ca="1" si="6"/>
        <v>#NAME?</v>
      </c>
      <c r="AL7" s="80" t="str">
        <f t="shared" ca="1" si="1"/>
        <v>NA</v>
      </c>
      <c r="AM7" s="81" t="str">
        <f t="shared" ca="1" si="1"/>
        <v>NA</v>
      </c>
      <c r="AN7" s="82" t="str">
        <f t="shared" ca="1" si="1"/>
        <v>NA</v>
      </c>
      <c r="AO7" s="68">
        <f ca="1">IFERROR(_xll.SNL.Clients.Office.Excel.Functions.SPG($J7, $AO$3, AO$2,$AO$4)/1000,0)</f>
        <v>0</v>
      </c>
      <c r="AP7" s="68">
        <f ca="1">IFERROR(_xll.SNL.Clients.Office.Excel.Functions.SPG($J7, $AO$3, AP$2,$AO$4)/1000,0)</f>
        <v>0</v>
      </c>
      <c r="AQ7" s="68">
        <f ca="1">IFERROR(_xll.SNL.Clients.Office.Excel.Functions.SPG($J7, $AR$3, AQ$2,$AO$4)/1000,0)</f>
        <v>0</v>
      </c>
      <c r="AR7" s="68">
        <f ca="1">IFERROR(_xll.SNL.Clients.Office.Excel.Functions.SPG($J7, $AR$3, AR$2,$AO$4)/1000,0)</f>
        <v>0</v>
      </c>
      <c r="AS7" s="68">
        <f ca="1">IFERROR(_xll.SNL.Clients.Office.Excel.Functions.SPG($J7, $AR$3, AS$2,$AO$4)/1000,0)</f>
        <v>0</v>
      </c>
      <c r="AT7" s="68">
        <f ca="1">IFERROR(_xll.SNL.Clients.Office.Excel.Functions.SPG($J7, $AT$3, AT$2,$AO$4)/1000,0)</f>
        <v>0</v>
      </c>
      <c r="AU7" s="68">
        <f ca="1">IFERROR(_xll.SNL.Clients.Office.Excel.Functions.SPG($J7, $AT$3, AU$2,$AO$4)/1000,0)</f>
        <v>0</v>
      </c>
      <c r="AV7" s="68">
        <f ca="1">IFERROR(_xll.SNL.Clients.Office.Excel.Functions.SPG($J7, $AW$3, AV$2,$AO$4)/1000,0)</f>
        <v>0</v>
      </c>
      <c r="AW7" s="68">
        <f ca="1">IFERROR(_xll.SNL.Clients.Office.Excel.Functions.SPG($J7, $AW$3, AW$2,$AO$4)/1000,0)</f>
        <v>0</v>
      </c>
      <c r="AX7" s="68">
        <f ca="1">IFERROR(_xll.SNL.Clients.Office.Excel.Functions.SPG($J7, $AW$3, AX$2,$AO$4)/1000,0)</f>
        <v>0</v>
      </c>
      <c r="AY7" s="68">
        <f ca="1">IFERROR(_xll.SNL.Clients.Office.Excel.Functions.SPG($J7, $AY$3, AY$2,$AO$4)/1000,0)</f>
        <v>0</v>
      </c>
      <c r="AZ7" s="68">
        <f ca="1">IFERROR(_xll.SNL.Clients.Office.Excel.Functions.SPG($J7, $AY$3, AZ$2,$AO$4)/1000,0)</f>
        <v>0</v>
      </c>
      <c r="BA7" s="68">
        <f ca="1">IFERROR(_xll.SNL.Clients.Office.Excel.Functions.SPG($J7, $BB$3, BA$2,$AO$4)/1000,0)</f>
        <v>0</v>
      </c>
      <c r="BB7" s="68">
        <f ca="1">IFERROR(_xll.SNL.Clients.Office.Excel.Functions.SPG($J7, $BB$3, BB$2,$AO$4)/1000,0)</f>
        <v>0</v>
      </c>
      <c r="BC7" s="68">
        <f ca="1">IFERROR(_xll.SNL.Clients.Office.Excel.Functions.SPG($J7, $BB$3, BC$2,$AO$4)/1000,0)</f>
        <v>0</v>
      </c>
      <c r="BD7" s="68">
        <f t="shared" ref="BD7:BD12" ca="1" si="7">AP7+AO7*auprice/agprice+AQ7*cuprice/agprice+AR7*znprice/agprice+AS7*pbprice/agprice</f>
        <v>0</v>
      </c>
      <c r="BE7" s="68">
        <f t="shared" ref="BE7:BE12" ca="1" si="8">AU7+AT7*auprice/agprice+AV7*cuprice/agprice+AW7*znprice/agprice+AX7*pbprice/agprice+BD7</f>
        <v>0</v>
      </c>
      <c r="BF7" s="68">
        <f t="shared" ref="BF7:BF12" ca="1" si="9">AZ7+AY7*auprice/agprice+BA7*cuprice/agprice+BB7*znprice/agprice+BC7*pbprice/agprice+BD7</f>
        <v>0</v>
      </c>
      <c r="BG7" s="83" t="e">
        <f t="shared" ca="1" si="5"/>
        <v>#NAME?</v>
      </c>
      <c r="BH7" s="74" t="e">
        <f t="shared" ca="1" si="5"/>
        <v>#NAME?</v>
      </c>
      <c r="BI7" s="84" t="e">
        <f t="shared" ca="1" si="5"/>
        <v>#NAME?</v>
      </c>
      <c r="BJ7" s="74" t="e">
        <f ca="1">_xll.SNL.Clients.Office.Excel.Functions.SPG($J7, $BJ$3, BJ$2, "Ag", "Options:Curr=USD")</f>
        <v>#NAME?</v>
      </c>
      <c r="BK7" s="74" t="e">
        <f ca="1">_xll.SNL.Clients.Office.Excel.Functions.SPG($J7, $BJ$3, BK$2, "Ag", "Options:Curr=USD")</f>
        <v>#NAME?</v>
      </c>
      <c r="BL7" s="74" t="e">
        <f ca="1">_xll.SNL.Clients.Office.Excel.Functions.SPG($J7, $BJ$3, BL$2, "Ag", "Options:Curr=USD")</f>
        <v>#NAME?</v>
      </c>
      <c r="BM7" s="84" t="e">
        <f ca="1">_xll.SNL.Clients.Office.Excel.Functions.SPG($J7, $BJ$3, BM$2, "Ag", "Options:Curr=USD")</f>
        <v>#NAME?</v>
      </c>
      <c r="BN7" s="74" t="str">
        <f ca="1">IFERROR(AVERAGE(_xll.SNL.Clients.Office.Excel.Functions.SPG($J7,$BM$4,"Ag",BN$2),_xll.SNL.Clients.Office.Excel.Functions.SPG($J7,$BM$3,"Ag",BN$2)),"NA")</f>
        <v>NA</v>
      </c>
      <c r="BO7" s="84" t="str">
        <f ca="1">IFERROR(AVERAGE(_xll.SNL.Clients.Office.Excel.Functions.SPG($J7,$BM$4,"Ag",BO$2),_xll.SNL.Clients.Office.Excel.Functions.SPG($J7,$BM$3,"Ag",BO$2)),"NA")</f>
        <v>NA</v>
      </c>
      <c r="BP7" s="74" t="e">
        <f ca="1">_xll.SNL.Clients.Office.Excel.Functions.SPG($J7, $BP$3, BP$2, "Ag", "Options:Curr=USD")</f>
        <v>#NAME?</v>
      </c>
      <c r="BQ7" s="74" t="e">
        <f ca="1">_xll.SNL.Clients.Office.Excel.Functions.SPG($J7, $BP$3, BQ$2, "Ag", "Options:Curr=USD")</f>
        <v>#NAME?</v>
      </c>
      <c r="BR7" s="84" t="e">
        <f ca="1">_xll.SNL.Clients.Office.Excel.Functions.SPG($J7, $BP$3, BR$2, "Ag", "Options:Curr=USD")</f>
        <v>#NAME?</v>
      </c>
      <c r="BS7" s="74" t="str">
        <f ca="1">IFERROR(AVERAGE(_xll.SNL.Clients.Office.Excel.Functions.SPG($J7,$BS$4,"Ag",BS$2, "Options:Curr=USD"),_xll.SNL.Clients.Office.Excel.Functions.SPG($J7,$BS$3,"Ag",BS$2, "Options:Curr=USD")),"NA")</f>
        <v>NA</v>
      </c>
      <c r="BT7" s="74" t="str">
        <f ca="1">IFERROR(AVERAGE(_xll.SNL.Clients.Office.Excel.Functions.SPG($J7,$BS$4,"Ag",BT$2, "Options:Curr=USD"),_xll.SNL.Clients.Office.Excel.Functions.SPG($J7,$BS$3,"Ag",BT$2, "Options:Curr=USD")),"NA")</f>
        <v>NA</v>
      </c>
      <c r="BU7" s="84" t="str">
        <f ca="1">IFERROR(AVERAGE(_xll.SNL.Clients.Office.Excel.Functions.SPG($J7,$BS$4,"Ag",BU$2, "Options:Curr=USD"),_xll.SNL.Clients.Office.Excel.Functions.SPG($J7,$BS$3,"Ag",BU$2, "Options:Curr=USD")),"NA")</f>
        <v>NA</v>
      </c>
      <c r="BW7" s="77" t="s">
        <v>85</v>
      </c>
      <c r="BX7" s="77"/>
      <c r="BY7" s="34" t="s">
        <v>86</v>
      </c>
      <c r="BZ7" s="34"/>
    </row>
    <row r="8" spans="1:78" ht="13.8" x14ac:dyDescent="0.25">
      <c r="A8" s="54" t="e">
        <f ca="1">_xll.SNL.Clients.Office.Excel.Functions.SPG($J8, A$3)</f>
        <v>#NAME?</v>
      </c>
      <c r="B8" s="54" t="e">
        <f ca="1">_xll.BDP($I8,B$3)</f>
        <v>#NAME?</v>
      </c>
      <c r="C8" s="54" t="e">
        <f ca="1">_xll.BDP($I8,C$3)</f>
        <v>#NAME?</v>
      </c>
      <c r="D8" s="55" t="s">
        <v>91</v>
      </c>
      <c r="E8" s="55" t="s">
        <v>92</v>
      </c>
      <c r="F8" s="56" t="e">
        <f ca="1">_xll.SNL.Clients.Office.Excel.Functions.SPG($J8, "IQ_TEV", "Options: Curr=USD")</f>
        <v>#NAME?</v>
      </c>
      <c r="G8" s="56" t="e">
        <f ca="1">_xll.SNL.Clients.Office.Excel.Functions.SPG($J8, "SP_MARKETCAP", "Options: Curr=USD")</f>
        <v>#NAME?</v>
      </c>
      <c r="H8" s="57" t="s">
        <v>93</v>
      </c>
      <c r="I8" s="14" t="s">
        <v>94</v>
      </c>
      <c r="J8" s="14" t="s">
        <v>95</v>
      </c>
      <c r="K8" s="58" t="e" cm="1">
        <f t="array" aca="1" ref="K8" ca="1">_xll.SNL.Clients.Office.Excel.Functions.SPG($J8, $K$3)/100</f>
        <v>#NAME?</v>
      </c>
      <c r="L8" s="59" t="e" cm="1">
        <f t="array" aca="1" ref="L8" ca="1">_xll.SNL.Clients.Office.Excel.Functions.SPG($J8, "SP_PCFPS_FWD",L$2)</f>
        <v>#NAME?</v>
      </c>
      <c r="M8" s="60" t="e" cm="1">
        <f t="array" aca="1" ref="M8" ca="1">_xll.SNL.Clients.Office.Excel.Functions.SPG($J8, "SP_PCFPS_FWD",M$2)</f>
        <v>#NAME?</v>
      </c>
      <c r="N8" s="61" t="e" cm="1">
        <f t="array" aca="1" ref="N8" ca="1">_xll.SNL.Clients.Office.Excel.Functions.SPG($J8, "SP_PCFPS_FWD",N$2)</f>
        <v>#NAME?</v>
      </c>
      <c r="O8" s="62" t="e">
        <f ca="1">_xll.SNL.Clients.Office.Excel.Functions.SPG($J8, "SP_FCF_EST",O$2, "Options: Curr=USD")/1000/$G8</f>
        <v>#NAME?</v>
      </c>
      <c r="P8" s="62" t="e">
        <f ca="1">_xll.SNL.Clients.Office.Excel.Functions.SPG($J8, "SP_FCF_EST",P$2, "Options: Curr=USD")/1000/$G8</f>
        <v>#NAME?</v>
      </c>
      <c r="Q8" s="62" t="e">
        <f ca="1">_xll.SNL.Clients.Office.Excel.Functions.SPG($J8, "SP_FCF_EST",Q$2, "Options: Curr=USD")/1000/$G8</f>
        <v>#NAME?</v>
      </c>
      <c r="R8" s="59" t="e" cm="1">
        <f t="array" aca="1" ref="R8" ca="1">_xll.SNL.Clients.Office.Excel.Functions.SPG($J8, "SP_PE_FWD",R$2)</f>
        <v>#NAME?</v>
      </c>
      <c r="S8" s="60" t="e" cm="1">
        <f t="array" aca="1" ref="S8" ca="1">_xll.SNL.Clients.Office.Excel.Functions.SPG($J8, "SP_PE_FWD",S$2)</f>
        <v>#NAME?</v>
      </c>
      <c r="T8" s="61" t="e" cm="1">
        <f t="array" aca="1" ref="T8" ca="1">_xll.SNL.Clients.Office.Excel.Functions.SPG($J8, "SP_PE_FWD",T$2)</f>
        <v>#NAME?</v>
      </c>
      <c r="U8" s="65" t="e" cm="1">
        <f t="array" aca="1" ref="U8" ca="1">IF((_xll.SNL.Clients.Office.Excel.Functions.SPG($J8,$U$3,U$4,"Options: Curr=USD") / _xll.SNL.Clients.Office.Excel.Functions.SPG($J8,"SP_EBITDA_EST",U$2,"Options: Curr=USD")) &lt; 0, "NM", (_xll.SNL.Clients.Office.Excel.Functions.SPG($J8,$U$3,U$4,"Options: Curr=USD") / _xll.SNL.Clients.Office.Excel.Functions.SPG($J8,"SP_EBITDA_EST",U$2,"Options: Curr=USD")))</f>
        <v>#NAME?</v>
      </c>
      <c r="V8" s="66" t="e" cm="1">
        <f t="array" aca="1" ref="V8" ca="1">_xll.SNL.Clients.Office.Excel.Functions.SPG($J8, $V$3,V$4)</f>
        <v>#NAME?</v>
      </c>
      <c r="W8" s="78" t="str">
        <f ca="1">IFERROR(0.001*AVERAGE(_xll.SNL.Clients.Office.Excel.Functions.SPG($J8,$W$4,"Ag",W$2),_xll.SNL.Clients.Office.Excel.Functions.SPG($J8,$W$3,"Ag",W$2)),"NA")</f>
        <v>NA</v>
      </c>
      <c r="X8" s="68" t="str">
        <f ca="1">IFERROR(0.001*AVERAGE(_xll.SNL.Clients.Office.Excel.Functions.SPG($J8,$W$4,"Ag",X$2),_xll.SNL.Clients.Office.Excel.Functions.SPG($J8,$W$3,"Ag",X$2)),"NA")</f>
        <v>NA</v>
      </c>
      <c r="Y8" s="79" t="str">
        <f ca="1">IFERROR(0.001*AVERAGE(_xll.SNL.Clients.Office.Excel.Functions.SPG($J8,$W$4,"Ag",Y$2),_xll.SNL.Clients.Office.Excel.Functions.SPG($J8,$W$3,"Ag",Y$2)),"NA")</f>
        <v>NA</v>
      </c>
      <c r="Z8" s="68" t="e">
        <f ca="1" xml:space="preserve"> IF(ISNUMBER(SEARCH("na",_xll.SNL.Clients.Office.Excel.Functions.SPG($J8, $Z$4, Z$2))), 0,_xll.SNL.Clients.Office.Excel.Functions.SPG($J8, $Z$4, Z$2))</f>
        <v>#NAME?</v>
      </c>
      <c r="AA8" s="68" t="e">
        <f ca="1" xml:space="preserve"> IF(ISNUMBER(SEARCH("na",_xll.SNL.Clients.Office.Excel.Functions.SPG($J8, $Z$4, AA$2))), 0,_xll.SNL.Clients.Office.Excel.Functions.SPG($J8, $Z$4, AA$2))</f>
        <v>#NAME?</v>
      </c>
      <c r="AB8" s="68" t="e">
        <f ca="1" xml:space="preserve"> IF(ISNUMBER(SEARCH("na",_xll.SNL.Clients.Office.Excel.Functions.SPG($J8, $Z$4, AB$2))), 0,_xll.SNL.Clients.Office.Excel.Functions.SPG($J8, $Z$4, AB$2))</f>
        <v>#NAME?</v>
      </c>
      <c r="AC8" s="68" t="e">
        <f ca="1" xml:space="preserve"> IF(ISNUMBER(SEARCH("na",_xll.SNL.Clients.Office.Excel.Functions.SPG($J8, $AC$4, AC$2))), 0,_xll.SNL.Clients.Office.Excel.Functions.SPG($J8, $AC$4, AC$2))</f>
        <v>#NAME?</v>
      </c>
      <c r="AD8" s="68" t="e">
        <f ca="1" xml:space="preserve"> IF(ISNUMBER(SEARCH("na",_xll.SNL.Clients.Office.Excel.Functions.SPG($J8, $AC$4, AD$2))), 0,_xll.SNL.Clients.Office.Excel.Functions.SPG($J8, $AC$4, AD$2))</f>
        <v>#NAME?</v>
      </c>
      <c r="AE8" s="68" t="e">
        <f ca="1" xml:space="preserve"> IF(ISNUMBER(SEARCH("na",_xll.SNL.Clients.Office.Excel.Functions.SPG($J8, $AC$4, AE$2))), 0,_xll.SNL.Clients.Office.Excel.Functions.SPG($J8, $AC$4, AE$2))</f>
        <v>#NAME?</v>
      </c>
      <c r="AF8" s="68" t="e">
        <f ca="1" xml:space="preserve"> IF(ISNUMBER(SEARCH("na",_xll.SNL.Clients.Office.Excel.Functions.SPG($J8, $AF$4, AF$2))), 0,_xll.SNL.Clients.Office.Excel.Functions.SPG($J8, $AF$4, AF$2))</f>
        <v>#NAME?</v>
      </c>
      <c r="AG8" s="68" t="e">
        <f ca="1" xml:space="preserve"> IF(ISNUMBER(SEARCH("na",_xll.SNL.Clients.Office.Excel.Functions.SPG($J8, $AF$4, AG$2))), 0,_xll.SNL.Clients.Office.Excel.Functions.SPG($J8, $AF$4, AG$2))</f>
        <v>#NAME?</v>
      </c>
      <c r="AH8" s="68" t="e">
        <f ca="1" xml:space="preserve"> IF(ISNUMBER(SEARCH("na",_xll.SNL.Clients.Office.Excel.Functions.SPG($J8, $AF$4, AH$2))), 0,_xll.SNL.Clients.Office.Excel.Functions.SPG($J8, $AF$4, AH$2))</f>
        <v>#NAME?</v>
      </c>
      <c r="AI8" s="68" t="e">
        <f t="shared" ref="AI8:AK13" ca="1" si="10">AC8+Z8*auprice/agprice+AF8*cuprice/agprice</f>
        <v>#NAME?</v>
      </c>
      <c r="AJ8" s="68" t="e">
        <f t="shared" ca="1" si="10"/>
        <v>#NAME?</v>
      </c>
      <c r="AK8" s="68" t="e">
        <f t="shared" ca="1" si="10"/>
        <v>#NAME?</v>
      </c>
      <c r="AL8" s="80" t="str">
        <f t="shared" ca="1" si="1"/>
        <v>NA</v>
      </c>
      <c r="AM8" s="81" t="str">
        <f t="shared" ca="1" si="1"/>
        <v>NA</v>
      </c>
      <c r="AN8" s="82" t="str">
        <f t="shared" ca="1" si="1"/>
        <v>NA</v>
      </c>
      <c r="AO8" s="68">
        <f ca="1">IFERROR(_xll.SNL.Clients.Office.Excel.Functions.SPG($J8, $AO$3, AO$2,$AO$4)/1000,0)</f>
        <v>0</v>
      </c>
      <c r="AP8" s="68">
        <f ca="1">IFERROR(_xll.SNL.Clients.Office.Excel.Functions.SPG($J8, $AO$3, AP$2,$AO$4)/1000,0)</f>
        <v>0</v>
      </c>
      <c r="AQ8" s="68">
        <f ca="1">IFERROR(_xll.SNL.Clients.Office.Excel.Functions.SPG($J8, $AR$3, AQ$2,$AO$4)/1000,0)</f>
        <v>0</v>
      </c>
      <c r="AR8" s="68">
        <f ca="1">IFERROR(_xll.SNL.Clients.Office.Excel.Functions.SPG($J8, $AR$3, AR$2,$AO$4)/1000,0)</f>
        <v>0</v>
      </c>
      <c r="AS8" s="68">
        <f ca="1">IFERROR(_xll.SNL.Clients.Office.Excel.Functions.SPG($J8, $AR$3, AS$2,$AO$4)/1000,0)</f>
        <v>0</v>
      </c>
      <c r="AT8" s="68">
        <f ca="1">IFERROR(_xll.SNL.Clients.Office.Excel.Functions.SPG($J8, $AT$3, AT$2,$AO$4)/1000,0)</f>
        <v>0</v>
      </c>
      <c r="AU8" s="68">
        <f ca="1">IFERROR(_xll.SNL.Clients.Office.Excel.Functions.SPG($J8, $AT$3, AU$2,$AO$4)/1000,0)</f>
        <v>0</v>
      </c>
      <c r="AV8" s="68">
        <f ca="1">IFERROR(_xll.SNL.Clients.Office.Excel.Functions.SPG($J8, $AW$3, AV$2,$AO$4)/1000,0)</f>
        <v>0</v>
      </c>
      <c r="AW8" s="68">
        <f ca="1">IFERROR(_xll.SNL.Clients.Office.Excel.Functions.SPG($J8, $AW$3, AW$2,$AO$4)/1000,0)</f>
        <v>0</v>
      </c>
      <c r="AX8" s="68">
        <f ca="1">IFERROR(_xll.SNL.Clients.Office.Excel.Functions.SPG($J8, $AW$3, AX$2,$AO$4)/1000,0)</f>
        <v>0</v>
      </c>
      <c r="AY8" s="68">
        <f ca="1">IFERROR(_xll.SNL.Clients.Office.Excel.Functions.SPG($J8, $AY$3, AY$2,$AO$4)/1000,0)</f>
        <v>0</v>
      </c>
      <c r="AZ8" s="68">
        <f ca="1">IFERROR(_xll.SNL.Clients.Office.Excel.Functions.SPG($J8, $AY$3, AZ$2,$AO$4)/1000,0)</f>
        <v>0</v>
      </c>
      <c r="BA8" s="68">
        <f ca="1">IFERROR(_xll.SNL.Clients.Office.Excel.Functions.SPG($J8, $BB$3, BA$2,$AO$4)/1000,0)</f>
        <v>0</v>
      </c>
      <c r="BB8" s="68">
        <f ca="1">IFERROR(_xll.SNL.Clients.Office.Excel.Functions.SPG($J8, $BB$3, BB$2,$AO$4)/1000,0)</f>
        <v>0</v>
      </c>
      <c r="BC8" s="68">
        <f ca="1">IFERROR(_xll.SNL.Clients.Office.Excel.Functions.SPG($J8, $BB$3, BC$2,$AO$4)/1000,0)</f>
        <v>0</v>
      </c>
      <c r="BD8" s="68">
        <f t="shared" ref="BD8:BD13" ca="1" si="11">AP8+AO8*auprice/agprice+AQ8*cuprice/agprice+AR8*znprice/agprice+AS8*pbprice/agprice</f>
        <v>0</v>
      </c>
      <c r="BE8" s="68">
        <f t="shared" ref="BE8:BE13" ca="1" si="12">AU8+AT8*auprice/agprice+AV8*cuprice/agprice+AW8*znprice/agprice+AX8*pbprice/agprice+BD8</f>
        <v>0</v>
      </c>
      <c r="BF8" s="68">
        <f t="shared" ref="BF8:BF13" ca="1" si="13">AZ8+AY8*auprice/agprice+BA8*cuprice/agprice+BB8*znprice/agprice+BC8*pbprice/agprice+BD8</f>
        <v>0</v>
      </c>
      <c r="BG8" s="83" t="e">
        <f t="shared" ca="1" si="5"/>
        <v>#NAME?</v>
      </c>
      <c r="BH8" s="74" t="e">
        <f t="shared" ca="1" si="5"/>
        <v>#NAME?</v>
      </c>
      <c r="BI8" s="84" t="e">
        <f t="shared" ca="1" si="5"/>
        <v>#NAME?</v>
      </c>
      <c r="BJ8" s="74" t="e">
        <f ca="1">_xll.SNL.Clients.Office.Excel.Functions.SPG($J8, $BJ$3, BJ$2, "Ag", "Options:Curr=USD")</f>
        <v>#NAME?</v>
      </c>
      <c r="BK8" s="74" t="e">
        <f ca="1">_xll.SNL.Clients.Office.Excel.Functions.SPG($J8, $BJ$3, BK$2, "Ag", "Options:Curr=USD")</f>
        <v>#NAME?</v>
      </c>
      <c r="BL8" s="74" t="e">
        <f ca="1">_xll.SNL.Clients.Office.Excel.Functions.SPG($J8, $BJ$3, BL$2, "Ag", "Options:Curr=USD")</f>
        <v>#NAME?</v>
      </c>
      <c r="BM8" s="84" t="e">
        <f ca="1">_xll.SNL.Clients.Office.Excel.Functions.SPG($J8, $BJ$3, BM$2, "Ag", "Options:Curr=USD")</f>
        <v>#NAME?</v>
      </c>
      <c r="BN8" s="74" t="str">
        <f ca="1">IFERROR(AVERAGE(_xll.SNL.Clients.Office.Excel.Functions.SPG($J8,$BM$4,"Ag",BN$2),_xll.SNL.Clients.Office.Excel.Functions.SPG($J8,$BM$3,"Ag",BN$2)),"NA")</f>
        <v>NA</v>
      </c>
      <c r="BO8" s="84" t="str">
        <f ca="1">IFERROR(AVERAGE(_xll.SNL.Clients.Office.Excel.Functions.SPG($J8,$BM$4,"Ag",BO$2),_xll.SNL.Clients.Office.Excel.Functions.SPG($J8,$BM$3,"Ag",BO$2)),"NA")</f>
        <v>NA</v>
      </c>
      <c r="BP8" s="74" t="e">
        <f ca="1">_xll.SNL.Clients.Office.Excel.Functions.SPG($J8, $BP$3, BP$2, "Ag", "Options:Curr=USD")</f>
        <v>#NAME?</v>
      </c>
      <c r="BQ8" s="74" t="e">
        <f ca="1">_xll.SNL.Clients.Office.Excel.Functions.SPG($J8, $BP$3, BQ$2, "Ag", "Options:Curr=USD")</f>
        <v>#NAME?</v>
      </c>
      <c r="BR8" s="84" t="e">
        <f ca="1">_xll.SNL.Clients.Office.Excel.Functions.SPG($J8, $BP$3, BR$2, "Ag", "Options:Curr=USD")</f>
        <v>#NAME?</v>
      </c>
      <c r="BS8" s="74" t="str">
        <f ca="1">IFERROR(AVERAGE(_xll.SNL.Clients.Office.Excel.Functions.SPG($J8,$BS$4,"Ag",BS$2, "Options:Curr=USD"),_xll.SNL.Clients.Office.Excel.Functions.SPG($J8,$BS$3,"Ag",BS$2, "Options:Curr=USD")),"NA")</f>
        <v>NA</v>
      </c>
      <c r="BT8" s="74" t="str">
        <f ca="1">IFERROR(AVERAGE(_xll.SNL.Clients.Office.Excel.Functions.SPG($J8,$BS$4,"Ag",BT$2, "Options:Curr=USD"),_xll.SNL.Clients.Office.Excel.Functions.SPG($J8,$BS$3,"Ag",BT$2, "Options:Curr=USD")),"NA")</f>
        <v>NA</v>
      </c>
      <c r="BU8" s="84" t="str">
        <f ca="1">IFERROR(AVERAGE(_xll.SNL.Clients.Office.Excel.Functions.SPG($J8,$BS$4,"Ag",BU$2, "Options:Curr=USD"),_xll.SNL.Clients.Office.Excel.Functions.SPG($J8,$BS$3,"Ag",BU$2, "Options:Curr=USD")),"NA")</f>
        <v>NA</v>
      </c>
      <c r="BW8" s="77" t="s">
        <v>85</v>
      </c>
      <c r="BX8" s="77"/>
      <c r="BY8" s="34" t="s">
        <v>96</v>
      </c>
      <c r="BZ8" s="34"/>
    </row>
    <row r="9" spans="1:78" ht="13.8" x14ac:dyDescent="0.25">
      <c r="A9" s="54" t="e">
        <f ca="1">_xll.SNL.Clients.Office.Excel.Functions.SPG($J9, A$3)</f>
        <v>#NAME?</v>
      </c>
      <c r="B9" s="54" t="e">
        <f ca="1">_xll.BDP($I9,B$3)</f>
        <v>#NAME?</v>
      </c>
      <c r="C9" s="54" t="e">
        <f ca="1">_xll.BDP($I9,C$3)</f>
        <v>#NAME?</v>
      </c>
      <c r="D9" s="55" t="s">
        <v>97</v>
      </c>
      <c r="E9" s="55" t="s">
        <v>92</v>
      </c>
      <c r="F9" s="56" t="e">
        <f ca="1">_xll.SNL.Clients.Office.Excel.Functions.SPG($J9, "IQ_TEV", "Options: Curr=USD")</f>
        <v>#NAME?</v>
      </c>
      <c r="G9" s="56" t="e">
        <f ca="1">_xll.SNL.Clients.Office.Excel.Functions.SPG($J9, "SP_MARKETCAP", "Options: Curr=USD")</f>
        <v>#NAME?</v>
      </c>
      <c r="H9" s="57" t="s">
        <v>98</v>
      </c>
      <c r="I9" s="14" t="s">
        <v>99</v>
      </c>
      <c r="J9" s="14" t="s">
        <v>100</v>
      </c>
      <c r="K9" s="58" t="e" cm="1">
        <f t="array" aca="1" ref="K9" ca="1">_xll.SNL.Clients.Office.Excel.Functions.SPG($J9, $K$3)/100</f>
        <v>#NAME?</v>
      </c>
      <c r="L9" s="59" t="e" cm="1">
        <f t="array" aca="1" ref="L9" ca="1">_xll.SNL.Clients.Office.Excel.Functions.SPG($J9, "SP_PCFPS_FWD",L$2)</f>
        <v>#NAME?</v>
      </c>
      <c r="M9" s="60" t="e" cm="1">
        <f t="array" aca="1" ref="M9" ca="1">_xll.SNL.Clients.Office.Excel.Functions.SPG($J9, "SP_PCFPS_FWD",M$2)</f>
        <v>#NAME?</v>
      </c>
      <c r="N9" s="61" t="e" cm="1">
        <f t="array" aca="1" ref="N9" ca="1">_xll.SNL.Clients.Office.Excel.Functions.SPG($J9, "SP_PCFPS_FWD",N$2)</f>
        <v>#NAME?</v>
      </c>
      <c r="O9" s="62" t="e">
        <f ca="1">_xll.SNL.Clients.Office.Excel.Functions.SPG($J9, "SP_FCF_EST",O$2, "Options: Curr=USD")/1000/$G9</f>
        <v>#NAME?</v>
      </c>
      <c r="P9" s="62" t="e">
        <f ca="1">_xll.SNL.Clients.Office.Excel.Functions.SPG($J9, "SP_FCF_EST",P$2, "Options: Curr=USD")/1000/$G9</f>
        <v>#NAME?</v>
      </c>
      <c r="Q9" s="62" t="e">
        <f ca="1">_xll.SNL.Clients.Office.Excel.Functions.SPG($J9, "SP_FCF_EST",Q$2, "Options: Curr=USD")/1000/$G9</f>
        <v>#NAME?</v>
      </c>
      <c r="R9" s="59" t="e" cm="1">
        <f t="array" aca="1" ref="R9" ca="1">_xll.SNL.Clients.Office.Excel.Functions.SPG($J9, "SP_PE_FWD",R$2)</f>
        <v>#NAME?</v>
      </c>
      <c r="S9" s="60" t="e" cm="1">
        <f t="array" aca="1" ref="S9" ca="1">_xll.SNL.Clients.Office.Excel.Functions.SPG($J9, "SP_PE_FWD",S$2)</f>
        <v>#NAME?</v>
      </c>
      <c r="T9" s="61" t="e" cm="1">
        <f t="array" aca="1" ref="T9" ca="1">_xll.SNL.Clients.Office.Excel.Functions.SPG($J9, "SP_PE_FWD",T$2)</f>
        <v>#NAME?</v>
      </c>
      <c r="U9" s="65" t="e" cm="1">
        <f t="array" aca="1" ref="U9" ca="1">IF((_xll.SNL.Clients.Office.Excel.Functions.SPG($J9,$U$3,U$4,"Options: Curr=USD") / _xll.SNL.Clients.Office.Excel.Functions.SPG($J9,"SP_EBITDA_EST",U$2,"Options: Curr=USD")) &lt; 0, "NM", (_xll.SNL.Clients.Office.Excel.Functions.SPG($J9,$U$3,U$4,"Options: Curr=USD") / _xll.SNL.Clients.Office.Excel.Functions.SPG($J9,"SP_EBITDA_EST",U$2,"Options: Curr=USD")))</f>
        <v>#NAME?</v>
      </c>
      <c r="V9" s="66" t="e" cm="1">
        <f t="array" aca="1" ref="V9" ca="1">_xll.SNL.Clients.Office.Excel.Functions.SPG($J9, $V$3,V$4)</f>
        <v>#NAME?</v>
      </c>
      <c r="W9" s="78" t="str">
        <f ca="1">IFERROR(0.001*AVERAGE(_xll.SNL.Clients.Office.Excel.Functions.SPG($J9,$W$4,"Ag",W$2),_xll.SNL.Clients.Office.Excel.Functions.SPG($J9,$W$3,"Ag",W$2)),"NA")</f>
        <v>NA</v>
      </c>
      <c r="X9" s="68" t="str">
        <f ca="1">IFERROR(0.001*AVERAGE(_xll.SNL.Clients.Office.Excel.Functions.SPG($J9,$W$4,"Ag",X$2),_xll.SNL.Clients.Office.Excel.Functions.SPG($J9,$W$3,"Ag",X$2)),"NA")</f>
        <v>NA</v>
      </c>
      <c r="Y9" s="79" t="str">
        <f ca="1">IFERROR(0.001*AVERAGE(_xll.SNL.Clients.Office.Excel.Functions.SPG($J9,$W$4,"Ag",Y$2),_xll.SNL.Clients.Office.Excel.Functions.SPG($J9,$W$3,"Ag",Y$2)),"NA")</f>
        <v>NA</v>
      </c>
      <c r="Z9" s="68" t="e">
        <f ca="1" xml:space="preserve"> IF(ISNUMBER(SEARCH("na",_xll.SNL.Clients.Office.Excel.Functions.SPG($J9, $Z$4, Z$2))), 0,_xll.SNL.Clients.Office.Excel.Functions.SPG($J9, $Z$4, Z$2))</f>
        <v>#NAME?</v>
      </c>
      <c r="AA9" s="68" t="e">
        <f ca="1" xml:space="preserve"> IF(ISNUMBER(SEARCH("na",_xll.SNL.Clients.Office.Excel.Functions.SPG($J9, $Z$4, AA$2))), 0,_xll.SNL.Clients.Office.Excel.Functions.SPG($J9, $Z$4, AA$2))</f>
        <v>#NAME?</v>
      </c>
      <c r="AB9" s="68" t="e">
        <f ca="1" xml:space="preserve"> IF(ISNUMBER(SEARCH("na",_xll.SNL.Clients.Office.Excel.Functions.SPG($J9, $Z$4, AB$2))), 0,_xll.SNL.Clients.Office.Excel.Functions.SPG($J9, $Z$4, AB$2))</f>
        <v>#NAME?</v>
      </c>
      <c r="AC9" s="68" t="e">
        <f ca="1" xml:space="preserve"> IF(ISNUMBER(SEARCH("na",_xll.SNL.Clients.Office.Excel.Functions.SPG($J9, $AC$4, AC$2))), 0,_xll.SNL.Clients.Office.Excel.Functions.SPG($J9, $AC$4, AC$2))</f>
        <v>#NAME?</v>
      </c>
      <c r="AD9" s="68" t="e">
        <f ca="1" xml:space="preserve"> IF(ISNUMBER(SEARCH("na",_xll.SNL.Clients.Office.Excel.Functions.SPG($J9, $AC$4, AD$2))), 0,_xll.SNL.Clients.Office.Excel.Functions.SPG($J9, $AC$4, AD$2))</f>
        <v>#NAME?</v>
      </c>
      <c r="AE9" s="68" t="e">
        <f ca="1" xml:space="preserve"> IF(ISNUMBER(SEARCH("na",_xll.SNL.Clients.Office.Excel.Functions.SPG($J9, $AC$4, AE$2))), 0,_xll.SNL.Clients.Office.Excel.Functions.SPG($J9, $AC$4, AE$2))</f>
        <v>#NAME?</v>
      </c>
      <c r="AF9" s="68" t="e">
        <f ca="1" xml:space="preserve"> IF(ISNUMBER(SEARCH("na",_xll.SNL.Clients.Office.Excel.Functions.SPG($J9, $AF$4, AF$2))), 0,_xll.SNL.Clients.Office.Excel.Functions.SPG($J9, $AF$4, AF$2))</f>
        <v>#NAME?</v>
      </c>
      <c r="AG9" s="68" t="e">
        <f ca="1" xml:space="preserve"> IF(ISNUMBER(SEARCH("na",_xll.SNL.Clients.Office.Excel.Functions.SPG($J9, $AF$4, AG$2))), 0,_xll.SNL.Clients.Office.Excel.Functions.SPG($J9, $AF$4, AG$2))</f>
        <v>#NAME?</v>
      </c>
      <c r="AH9" s="68" t="e">
        <f ca="1" xml:space="preserve"> IF(ISNUMBER(SEARCH("na",_xll.SNL.Clients.Office.Excel.Functions.SPG($J9, $AF$4, AH$2))), 0,_xll.SNL.Clients.Office.Excel.Functions.SPG($J9, $AF$4, AH$2))</f>
        <v>#NAME?</v>
      </c>
      <c r="AI9" s="68" t="e">
        <f t="shared" ref="AI9:AK14" ca="1" si="14">AC9+Z9*auprice/agprice+AF9*cuprice/agprice</f>
        <v>#NAME?</v>
      </c>
      <c r="AJ9" s="68" t="e">
        <f t="shared" ca="1" si="14"/>
        <v>#NAME?</v>
      </c>
      <c r="AK9" s="68" t="e">
        <f t="shared" ca="1" si="14"/>
        <v>#NAME?</v>
      </c>
      <c r="AL9" s="80" t="str">
        <f t="shared" ca="1" si="1"/>
        <v>NA</v>
      </c>
      <c r="AM9" s="81" t="str">
        <f t="shared" ca="1" si="1"/>
        <v>NA</v>
      </c>
      <c r="AN9" s="82" t="str">
        <f t="shared" ca="1" si="1"/>
        <v>NA</v>
      </c>
      <c r="AO9" s="68">
        <f ca="1">IFERROR(_xll.SNL.Clients.Office.Excel.Functions.SPG($J9, $AO$3, AO$2,$AO$4)/1000,0)</f>
        <v>0</v>
      </c>
      <c r="AP9" s="68">
        <f ca="1">IFERROR(_xll.SNL.Clients.Office.Excel.Functions.SPG($J9, $AO$3, AP$2,$AO$4)/1000,0)</f>
        <v>0</v>
      </c>
      <c r="AQ9" s="68">
        <f ca="1">IFERROR(_xll.SNL.Clients.Office.Excel.Functions.SPG($J9, $AR$3, AQ$2,$AO$4)/1000,0)</f>
        <v>0</v>
      </c>
      <c r="AR9" s="68">
        <f ca="1">IFERROR(_xll.SNL.Clients.Office.Excel.Functions.SPG($J9, $AR$3, AR$2,$AO$4)/1000,0)</f>
        <v>0</v>
      </c>
      <c r="AS9" s="68">
        <f ca="1">IFERROR(_xll.SNL.Clients.Office.Excel.Functions.SPG($J9, $AR$3, AS$2,$AO$4)/1000,0)</f>
        <v>0</v>
      </c>
      <c r="AT9" s="68">
        <f ca="1">IFERROR(_xll.SNL.Clients.Office.Excel.Functions.SPG($J9, $AT$3, AT$2,$AO$4)/1000,0)</f>
        <v>0</v>
      </c>
      <c r="AU9" s="68">
        <f ca="1">IFERROR(_xll.SNL.Clients.Office.Excel.Functions.SPG($J9, $AT$3, AU$2,$AO$4)/1000,0)</f>
        <v>0</v>
      </c>
      <c r="AV9" s="68">
        <f ca="1">IFERROR(_xll.SNL.Clients.Office.Excel.Functions.SPG($J9, $AW$3, AV$2,$AO$4)/1000,0)</f>
        <v>0</v>
      </c>
      <c r="AW9" s="68">
        <f ca="1">IFERROR(_xll.SNL.Clients.Office.Excel.Functions.SPG($J9, $AW$3, AW$2,$AO$4)/1000,0)</f>
        <v>0</v>
      </c>
      <c r="AX9" s="68">
        <f ca="1">IFERROR(_xll.SNL.Clients.Office.Excel.Functions.SPG($J9, $AW$3, AX$2,$AO$4)/1000,0)</f>
        <v>0</v>
      </c>
      <c r="AY9" s="68">
        <f ca="1">IFERROR(_xll.SNL.Clients.Office.Excel.Functions.SPG($J9, $AY$3, AY$2,$AO$4)/1000,0)</f>
        <v>0</v>
      </c>
      <c r="AZ9" s="68">
        <f ca="1">IFERROR(_xll.SNL.Clients.Office.Excel.Functions.SPG($J9, $AY$3, AZ$2,$AO$4)/1000,0)</f>
        <v>0</v>
      </c>
      <c r="BA9" s="68">
        <f ca="1">IFERROR(_xll.SNL.Clients.Office.Excel.Functions.SPG($J9, $BB$3, BA$2,$AO$4)/1000,0)</f>
        <v>0</v>
      </c>
      <c r="BB9" s="68">
        <f ca="1">IFERROR(_xll.SNL.Clients.Office.Excel.Functions.SPG($J9, $BB$3, BB$2,$AO$4)/1000,0)</f>
        <v>0</v>
      </c>
      <c r="BC9" s="68">
        <f ca="1">IFERROR(_xll.SNL.Clients.Office.Excel.Functions.SPG($J9, $BB$3, BC$2,$AO$4)/1000,0)</f>
        <v>0</v>
      </c>
      <c r="BD9" s="68">
        <f t="shared" ref="BD9:BD14" ca="1" si="15">AP9+AO9*auprice/agprice+AQ9*cuprice/agprice+AR9*znprice/agprice+AS9*pbprice/agprice</f>
        <v>0</v>
      </c>
      <c r="BE9" s="68">
        <f t="shared" ref="BE9:BE14" ca="1" si="16">AU9+AT9*auprice/agprice+AV9*cuprice/agprice+AW9*znprice/agprice+AX9*pbprice/agprice+BD9</f>
        <v>0</v>
      </c>
      <c r="BF9" s="68">
        <f t="shared" ref="BF9:BF14" ca="1" si="17">AZ9+AY9*auprice/agprice+BA9*cuprice/agprice+BB9*znprice/agprice+BC9*pbprice/agprice+BD9</f>
        <v>0</v>
      </c>
      <c r="BG9" s="83" t="e">
        <f t="shared" ca="1" si="5"/>
        <v>#NAME?</v>
      </c>
      <c r="BH9" s="74" t="e">
        <f t="shared" ca="1" si="5"/>
        <v>#NAME?</v>
      </c>
      <c r="BI9" s="84" t="e">
        <f t="shared" ca="1" si="5"/>
        <v>#NAME?</v>
      </c>
      <c r="BJ9" s="74" t="e">
        <f ca="1">_xll.SNL.Clients.Office.Excel.Functions.SPG($J9, $BJ$3, BJ$2, "Ag", "Options:Curr=USD")</f>
        <v>#NAME?</v>
      </c>
      <c r="BK9" s="74" t="e">
        <f ca="1">_xll.SNL.Clients.Office.Excel.Functions.SPG($J9, $BJ$3, BK$2, "Ag", "Options:Curr=USD")</f>
        <v>#NAME?</v>
      </c>
      <c r="BL9" s="74" t="e">
        <f ca="1">_xll.SNL.Clients.Office.Excel.Functions.SPG($J9, $BJ$3, BL$2, "Ag", "Options:Curr=USD")</f>
        <v>#NAME?</v>
      </c>
      <c r="BM9" s="84" t="e">
        <f ca="1">_xll.SNL.Clients.Office.Excel.Functions.SPG($J9, $BJ$3, BM$2, "Ag", "Options:Curr=USD")</f>
        <v>#NAME?</v>
      </c>
      <c r="BN9" s="74" t="str">
        <f ca="1">IFERROR(AVERAGE(_xll.SNL.Clients.Office.Excel.Functions.SPG($J9,$BM$4,"Ag",BN$2),_xll.SNL.Clients.Office.Excel.Functions.SPG($J9,$BM$3,"Ag",BN$2)),"NA")</f>
        <v>NA</v>
      </c>
      <c r="BO9" s="84" t="str">
        <f ca="1">IFERROR(AVERAGE(_xll.SNL.Clients.Office.Excel.Functions.SPG($J9,$BM$4,"Ag",BO$2),_xll.SNL.Clients.Office.Excel.Functions.SPG($J9,$BM$3,"Ag",BO$2)),"NA")</f>
        <v>NA</v>
      </c>
      <c r="BP9" s="74" t="e">
        <f ca="1">_xll.SNL.Clients.Office.Excel.Functions.SPG($J9, $BP$3, BP$2, "Ag", "Options:Curr=USD")</f>
        <v>#NAME?</v>
      </c>
      <c r="BQ9" s="74" t="e">
        <f ca="1">_xll.SNL.Clients.Office.Excel.Functions.SPG($J9, $BP$3, BQ$2, "Ag", "Options:Curr=USD")</f>
        <v>#NAME?</v>
      </c>
      <c r="BR9" s="84" t="e">
        <f ca="1">_xll.SNL.Clients.Office.Excel.Functions.SPG($J9, $BP$3, BR$2, "Ag", "Options:Curr=USD")</f>
        <v>#NAME?</v>
      </c>
      <c r="BS9" s="74" t="str">
        <f ca="1">IFERROR(AVERAGE(_xll.SNL.Clients.Office.Excel.Functions.SPG($J9,$BS$4,"Ag",BS$2, "Options:Curr=USD"),_xll.SNL.Clients.Office.Excel.Functions.SPG($J9,$BS$3,"Ag",BS$2, "Options:Curr=USD")),"NA")</f>
        <v>NA</v>
      </c>
      <c r="BT9" s="74" t="str">
        <f ca="1">IFERROR(AVERAGE(_xll.SNL.Clients.Office.Excel.Functions.SPG($J9,$BS$4,"Ag",BT$2, "Options:Curr=USD"),_xll.SNL.Clients.Office.Excel.Functions.SPG($J9,$BS$3,"Ag",BT$2, "Options:Curr=USD")),"NA")</f>
        <v>NA</v>
      </c>
      <c r="BU9" s="84" t="str">
        <f ca="1">IFERROR(AVERAGE(_xll.SNL.Clients.Office.Excel.Functions.SPG($J9,$BS$4,"Ag",BU$2, "Options:Curr=USD"),_xll.SNL.Clients.Office.Excel.Functions.SPG($J9,$BS$3,"Ag",BU$2, "Options:Curr=USD")),"NA")</f>
        <v>NA</v>
      </c>
      <c r="BW9" s="77" t="s">
        <v>85</v>
      </c>
      <c r="BX9" s="77"/>
      <c r="BY9" s="34" t="s">
        <v>86</v>
      </c>
      <c r="BZ9" s="34"/>
    </row>
    <row r="10" spans="1:78" ht="13.8" x14ac:dyDescent="0.25">
      <c r="A10" s="54" t="e">
        <f ca="1">_xll.SNL.Clients.Office.Excel.Functions.SPG($J10, A$3)</f>
        <v>#NAME?</v>
      </c>
      <c r="B10" s="54" t="e">
        <f ca="1">_xll.BDP($I10,B$3)</f>
        <v>#NAME?</v>
      </c>
      <c r="C10" s="54" t="e">
        <f ca="1">_xll.BDP($I10,C$3)</f>
        <v>#NAME?</v>
      </c>
      <c r="D10" s="55" t="s">
        <v>101</v>
      </c>
      <c r="E10" s="55" t="s">
        <v>81</v>
      </c>
      <c r="F10" s="56" t="e">
        <f ca="1">_xll.SNL.Clients.Office.Excel.Functions.SPG($J10, "IQ_TEV", "Options: Curr=USD")</f>
        <v>#NAME?</v>
      </c>
      <c r="G10" s="56" t="e">
        <f ca="1">_xll.SNL.Clients.Office.Excel.Functions.SPG($J10, "SP_MARKETCAP", "Options: Curr=USD")</f>
        <v>#NAME?</v>
      </c>
      <c r="H10" s="57" t="s">
        <v>102</v>
      </c>
      <c r="I10" s="14" t="s">
        <v>103</v>
      </c>
      <c r="J10" s="14" t="s">
        <v>104</v>
      </c>
      <c r="K10" s="58" t="e" cm="1">
        <f t="array" aca="1" ref="K10" ca="1">_xll.SNL.Clients.Office.Excel.Functions.SPG($J10, $K$3)/100</f>
        <v>#NAME?</v>
      </c>
      <c r="L10" s="59" t="e" cm="1">
        <f t="array" aca="1" ref="L10" ca="1">_xll.SNL.Clients.Office.Excel.Functions.SPG($J10, "SP_PCFPS_FWD",L$2)</f>
        <v>#NAME?</v>
      </c>
      <c r="M10" s="60" t="e" cm="1">
        <f t="array" aca="1" ref="M10" ca="1">_xll.SNL.Clients.Office.Excel.Functions.SPG($J10, "SP_PCFPS_FWD",M$2)</f>
        <v>#NAME?</v>
      </c>
      <c r="N10" s="61" t="e" cm="1">
        <f t="array" aca="1" ref="N10" ca="1">_xll.SNL.Clients.Office.Excel.Functions.SPG($J10, "SP_PCFPS_FWD",N$2)</f>
        <v>#NAME?</v>
      </c>
      <c r="O10" s="62" t="e">
        <f ca="1">_xll.SNL.Clients.Office.Excel.Functions.SPG($J10, "SP_FCF_EST",O$2, "Options: Curr=USD")/1000/$G10</f>
        <v>#NAME?</v>
      </c>
      <c r="P10" s="62" t="e">
        <f ca="1">_xll.SNL.Clients.Office.Excel.Functions.SPG($J10, "SP_FCF_EST",P$2, "Options: Curr=USD")/1000/$G10</f>
        <v>#NAME?</v>
      </c>
      <c r="Q10" s="62" t="e">
        <f ca="1">_xll.SNL.Clients.Office.Excel.Functions.SPG($J10, "SP_FCF_EST",Q$2, "Options: Curr=USD")/1000/$G10</f>
        <v>#NAME?</v>
      </c>
      <c r="R10" s="59" t="e" cm="1">
        <f t="array" aca="1" ref="R10" ca="1">_xll.SNL.Clients.Office.Excel.Functions.SPG($J10, "SP_PE_FWD",R$2)</f>
        <v>#NAME?</v>
      </c>
      <c r="S10" s="60" t="e" cm="1">
        <f t="array" aca="1" ref="S10" ca="1">_xll.SNL.Clients.Office.Excel.Functions.SPG($J10, "SP_PE_FWD",S$2)</f>
        <v>#NAME?</v>
      </c>
      <c r="T10" s="61" t="e" cm="1">
        <f t="array" aca="1" ref="T10" ca="1">_xll.SNL.Clients.Office.Excel.Functions.SPG($J10, "SP_PE_FWD",T$2)</f>
        <v>#NAME?</v>
      </c>
      <c r="U10" s="65" t="e" cm="1">
        <f t="array" aca="1" ref="U10" ca="1">IF((_xll.SNL.Clients.Office.Excel.Functions.SPG($J10,$U$3,U$4,"Options: Curr=USD") / _xll.SNL.Clients.Office.Excel.Functions.SPG($J10,"SP_EBITDA_EST",U$2,"Options: Curr=USD")) &lt; 0, "NM", (_xll.SNL.Clients.Office.Excel.Functions.SPG($J10,$U$3,U$4,"Options: Curr=USD") / _xll.SNL.Clients.Office.Excel.Functions.SPG($J10,"SP_EBITDA_EST",U$2,"Options: Curr=USD")))</f>
        <v>#NAME?</v>
      </c>
      <c r="V10" s="66" t="e" cm="1">
        <f t="array" aca="1" ref="V10" ca="1">_xll.SNL.Clients.Office.Excel.Functions.SPG($J10, $V$3,V$4)</f>
        <v>#NAME?</v>
      </c>
      <c r="W10" s="78" t="str">
        <f ca="1">IFERROR(0.001*AVERAGE(_xll.SNL.Clients.Office.Excel.Functions.SPG($J10,$W$4,"Ag",W$2),_xll.SNL.Clients.Office.Excel.Functions.SPG($J10,$W$3,"Ag",W$2)),"NA")</f>
        <v>NA</v>
      </c>
      <c r="X10" s="68" t="str">
        <f ca="1">IFERROR(0.001*AVERAGE(_xll.SNL.Clients.Office.Excel.Functions.SPG($J10,$W$4,"Ag",X$2),_xll.SNL.Clients.Office.Excel.Functions.SPG($J10,$W$3,"Ag",X$2)),"NA")</f>
        <v>NA</v>
      </c>
      <c r="Y10" s="79" t="str">
        <f ca="1">IFERROR(0.001*AVERAGE(_xll.SNL.Clients.Office.Excel.Functions.SPG($J10,$W$4,"Ag",Y$2),_xll.SNL.Clients.Office.Excel.Functions.SPG($J10,$W$3,"Ag",Y$2)),"NA")</f>
        <v>NA</v>
      </c>
      <c r="Z10" s="68" t="e">
        <f ca="1" xml:space="preserve"> IF(ISNUMBER(SEARCH("na",_xll.SNL.Clients.Office.Excel.Functions.SPG($J10, $Z$4, Z$2))), 0,_xll.SNL.Clients.Office.Excel.Functions.SPG($J10, $Z$4, Z$2))</f>
        <v>#NAME?</v>
      </c>
      <c r="AA10" s="68" t="e">
        <f ca="1" xml:space="preserve"> IF(ISNUMBER(SEARCH("na",_xll.SNL.Clients.Office.Excel.Functions.SPG($J10, $Z$4, AA$2))), 0,_xll.SNL.Clients.Office.Excel.Functions.SPG($J10, $Z$4, AA$2))</f>
        <v>#NAME?</v>
      </c>
      <c r="AB10" s="68" t="e">
        <f ca="1" xml:space="preserve"> IF(ISNUMBER(SEARCH("na",_xll.SNL.Clients.Office.Excel.Functions.SPG($J10, $Z$4, AB$2))), 0,_xll.SNL.Clients.Office.Excel.Functions.SPG($J10, $Z$4, AB$2))</f>
        <v>#NAME?</v>
      </c>
      <c r="AC10" s="68" t="e">
        <f ca="1" xml:space="preserve"> IF(ISNUMBER(SEARCH("na",_xll.SNL.Clients.Office.Excel.Functions.SPG($J10, $AC$4, AC$2))), 0,_xll.SNL.Clients.Office.Excel.Functions.SPG($J10, $AC$4, AC$2))</f>
        <v>#NAME?</v>
      </c>
      <c r="AD10" s="68" t="e">
        <f ca="1" xml:space="preserve"> IF(ISNUMBER(SEARCH("na",_xll.SNL.Clients.Office.Excel.Functions.SPG($J10, $AC$4, AD$2))), 0,_xll.SNL.Clients.Office.Excel.Functions.SPG($J10, $AC$4, AD$2))</f>
        <v>#NAME?</v>
      </c>
      <c r="AE10" s="68" t="e">
        <f ca="1" xml:space="preserve"> IF(ISNUMBER(SEARCH("na",_xll.SNL.Clients.Office.Excel.Functions.SPG($J10, $AC$4, AE$2))), 0,_xll.SNL.Clients.Office.Excel.Functions.SPG($J10, $AC$4, AE$2))</f>
        <v>#NAME?</v>
      </c>
      <c r="AF10" s="68" t="e">
        <f ca="1" xml:space="preserve"> IF(ISNUMBER(SEARCH("na",_xll.SNL.Clients.Office.Excel.Functions.SPG($J10, $AF$4, AF$2))), 0,_xll.SNL.Clients.Office.Excel.Functions.SPG($J10, $AF$4, AF$2))</f>
        <v>#NAME?</v>
      </c>
      <c r="AG10" s="68" t="e">
        <f ca="1" xml:space="preserve"> IF(ISNUMBER(SEARCH("na",_xll.SNL.Clients.Office.Excel.Functions.SPG($J10, $AF$4, AG$2))), 0,_xll.SNL.Clients.Office.Excel.Functions.SPG($J10, $AF$4, AG$2))</f>
        <v>#NAME?</v>
      </c>
      <c r="AH10" s="68" t="e">
        <f ca="1" xml:space="preserve"> IF(ISNUMBER(SEARCH("na",_xll.SNL.Clients.Office.Excel.Functions.SPG($J10, $AF$4, AH$2))), 0,_xll.SNL.Clients.Office.Excel.Functions.SPG($J10, $AF$4, AH$2))</f>
        <v>#NAME?</v>
      </c>
      <c r="AI10" s="68" t="e">
        <f t="shared" ref="AI10:AK15" ca="1" si="18">AC10+Z10*auprice/agprice+AF10*cuprice/agprice</f>
        <v>#NAME?</v>
      </c>
      <c r="AJ10" s="68" t="e">
        <f t="shared" ca="1" si="18"/>
        <v>#NAME?</v>
      </c>
      <c r="AK10" s="68" t="e">
        <f t="shared" ca="1" si="18"/>
        <v>#NAME?</v>
      </c>
      <c r="AL10" s="80" t="str">
        <f t="shared" ca="1" si="1"/>
        <v>NA</v>
      </c>
      <c r="AM10" s="81" t="str">
        <f t="shared" ca="1" si="1"/>
        <v>NA</v>
      </c>
      <c r="AN10" s="82" t="str">
        <f t="shared" ca="1" si="1"/>
        <v>NA</v>
      </c>
      <c r="AO10" s="68">
        <f ca="1">IFERROR(_xll.SNL.Clients.Office.Excel.Functions.SPG($J10, $AO$3, AO$2,$AO$4)/1000,0)</f>
        <v>0</v>
      </c>
      <c r="AP10" s="68">
        <f ca="1">IFERROR(_xll.SNL.Clients.Office.Excel.Functions.SPG($J10, $AO$3, AP$2,$AO$4)/1000,0)</f>
        <v>0</v>
      </c>
      <c r="AQ10" s="68">
        <f ca="1">IFERROR(_xll.SNL.Clients.Office.Excel.Functions.SPG($J10, $AR$3, AQ$2,$AO$4)/1000,0)</f>
        <v>0</v>
      </c>
      <c r="AR10" s="68">
        <f ca="1">IFERROR(_xll.SNL.Clients.Office.Excel.Functions.SPG($J10, $AR$3, AR$2,$AO$4)/1000,0)</f>
        <v>0</v>
      </c>
      <c r="AS10" s="68">
        <f ca="1">IFERROR(_xll.SNL.Clients.Office.Excel.Functions.SPG($J10, $AR$3, AS$2,$AO$4)/1000,0)</f>
        <v>0</v>
      </c>
      <c r="AT10" s="68">
        <f ca="1">IFERROR(_xll.SNL.Clients.Office.Excel.Functions.SPG($J10, $AT$3, AT$2,$AO$4)/1000,0)</f>
        <v>0</v>
      </c>
      <c r="AU10" s="68">
        <f ca="1">IFERROR(_xll.SNL.Clients.Office.Excel.Functions.SPG($J10, $AT$3, AU$2,$AO$4)/1000,0)</f>
        <v>0</v>
      </c>
      <c r="AV10" s="68">
        <f ca="1">IFERROR(_xll.SNL.Clients.Office.Excel.Functions.SPG($J10, $AW$3, AV$2,$AO$4)/1000,0)</f>
        <v>0</v>
      </c>
      <c r="AW10" s="68">
        <f ca="1">IFERROR(_xll.SNL.Clients.Office.Excel.Functions.SPG($J10, $AW$3, AW$2,$AO$4)/1000,0)</f>
        <v>0</v>
      </c>
      <c r="AX10" s="68">
        <f ca="1">IFERROR(_xll.SNL.Clients.Office.Excel.Functions.SPG($J10, $AW$3, AX$2,$AO$4)/1000,0)</f>
        <v>0</v>
      </c>
      <c r="AY10" s="68">
        <f ca="1">IFERROR(_xll.SNL.Clients.Office.Excel.Functions.SPG($J10, $AY$3, AY$2,$AO$4)/1000,0)</f>
        <v>0</v>
      </c>
      <c r="AZ10" s="68">
        <f ca="1">IFERROR(_xll.SNL.Clients.Office.Excel.Functions.SPG($J10, $AY$3, AZ$2,$AO$4)/1000,0)</f>
        <v>0</v>
      </c>
      <c r="BA10" s="68">
        <f ca="1">IFERROR(_xll.SNL.Clients.Office.Excel.Functions.SPG($J10, $BB$3, BA$2,$AO$4)/1000,0)</f>
        <v>0</v>
      </c>
      <c r="BB10" s="68">
        <f ca="1">IFERROR(_xll.SNL.Clients.Office.Excel.Functions.SPG($J10, $BB$3, BB$2,$AO$4)/1000,0)</f>
        <v>0</v>
      </c>
      <c r="BC10" s="68">
        <f ca="1">IFERROR(_xll.SNL.Clients.Office.Excel.Functions.SPG($J10, $BB$3, BC$2,$AO$4)/1000,0)</f>
        <v>0</v>
      </c>
      <c r="BD10" s="68">
        <f t="shared" ref="BD10:BD15" ca="1" si="19">AP10+AO10*auprice/agprice+AQ10*cuprice/agprice+AR10*znprice/agprice+AS10*pbprice/agprice</f>
        <v>0</v>
      </c>
      <c r="BE10" s="68">
        <f t="shared" ref="BE10:BE15" ca="1" si="20">AU10+AT10*auprice/agprice+AV10*cuprice/agprice+AW10*znprice/agprice+AX10*pbprice/agprice+BD10</f>
        <v>0</v>
      </c>
      <c r="BF10" s="68">
        <f t="shared" ref="BF10:BF15" ca="1" si="21">AZ10+AY10*auprice/agprice+BA10*cuprice/agprice+BB10*znprice/agprice+BC10*pbprice/agprice+BD10</f>
        <v>0</v>
      </c>
      <c r="BG10" s="83" t="e">
        <f t="shared" ca="1" si="5"/>
        <v>#NAME?</v>
      </c>
      <c r="BH10" s="74" t="e">
        <f t="shared" ca="1" si="5"/>
        <v>#NAME?</v>
      </c>
      <c r="BI10" s="84" t="e">
        <f t="shared" ca="1" si="5"/>
        <v>#NAME?</v>
      </c>
      <c r="BJ10" s="74" t="e">
        <f ca="1">_xll.SNL.Clients.Office.Excel.Functions.SPG($J10, $BJ$3, BJ$2, "Ag", "Options:Curr=USD")</f>
        <v>#NAME?</v>
      </c>
      <c r="BK10" s="74" t="e">
        <f ca="1">_xll.SNL.Clients.Office.Excel.Functions.SPG($J10, $BJ$3, BK$2, "Ag", "Options:Curr=USD")</f>
        <v>#NAME?</v>
      </c>
      <c r="BL10" s="74" t="e">
        <f ca="1">_xll.SNL.Clients.Office.Excel.Functions.SPG($J10, $BJ$3, BL$2, "Ag", "Options:Curr=USD")</f>
        <v>#NAME?</v>
      </c>
      <c r="BM10" s="84" t="e">
        <f ca="1">_xll.SNL.Clients.Office.Excel.Functions.SPG($J10, $BJ$3, BM$2, "Ag", "Options:Curr=USD")</f>
        <v>#NAME?</v>
      </c>
      <c r="BN10" s="74" t="str">
        <f ca="1">IFERROR(AVERAGE(_xll.SNL.Clients.Office.Excel.Functions.SPG($J10,$BM$4,"Ag",BN$2),_xll.SNL.Clients.Office.Excel.Functions.SPG($J10,$BM$3,"Ag",BN$2)),"NA")</f>
        <v>NA</v>
      </c>
      <c r="BO10" s="84" t="str">
        <f ca="1">IFERROR(AVERAGE(_xll.SNL.Clients.Office.Excel.Functions.SPG($J10,$BM$4,"Ag",BO$2),_xll.SNL.Clients.Office.Excel.Functions.SPG($J10,$BM$3,"Ag",BO$2)),"NA")</f>
        <v>NA</v>
      </c>
      <c r="BP10" s="74" t="e">
        <f ca="1">_xll.SNL.Clients.Office.Excel.Functions.SPG($J10, $BP$3, BP$2, "Ag", "Options:Curr=USD")</f>
        <v>#NAME?</v>
      </c>
      <c r="BQ10" s="74" t="e">
        <f ca="1">_xll.SNL.Clients.Office.Excel.Functions.SPG($J10, $BP$3, BQ$2, "Ag", "Options:Curr=USD")</f>
        <v>#NAME?</v>
      </c>
      <c r="BR10" s="84" t="e">
        <f ca="1">_xll.SNL.Clients.Office.Excel.Functions.SPG($J10, $BP$3, BR$2, "Ag", "Options:Curr=USD")</f>
        <v>#NAME?</v>
      </c>
      <c r="BS10" s="74" t="str">
        <f ca="1">IFERROR(AVERAGE(_xll.SNL.Clients.Office.Excel.Functions.SPG($J10,$BS$4,"Ag",BS$2, "Options:Curr=USD"),_xll.SNL.Clients.Office.Excel.Functions.SPG($J10,$BS$3,"Ag",BS$2, "Options:Curr=USD")),"NA")</f>
        <v>NA</v>
      </c>
      <c r="BT10" s="74" t="str">
        <f ca="1">IFERROR(AVERAGE(_xll.SNL.Clients.Office.Excel.Functions.SPG($J10,$BS$4,"Ag",BT$2, "Options:Curr=USD"),_xll.SNL.Clients.Office.Excel.Functions.SPG($J10,$BS$3,"Ag",BT$2, "Options:Curr=USD")),"NA")</f>
        <v>NA</v>
      </c>
      <c r="BU10" s="84" t="str">
        <f ca="1">IFERROR(AVERAGE(_xll.SNL.Clients.Office.Excel.Functions.SPG($J10,$BS$4,"Ag",BU$2, "Options:Curr=USD"),_xll.SNL.Clients.Office.Excel.Functions.SPG($J10,$BS$3,"Ag",BU$2, "Options:Curr=USD")),"NA")</f>
        <v>NA</v>
      </c>
      <c r="BW10" s="77" t="s">
        <v>85</v>
      </c>
      <c r="BX10" s="77"/>
      <c r="BY10" s="34" t="s">
        <v>96</v>
      </c>
      <c r="BZ10" s="34"/>
    </row>
    <row r="11" spans="1:78" ht="13.8" x14ac:dyDescent="0.25">
      <c r="A11" s="54" t="e">
        <f ca="1">_xll.SNL.Clients.Office.Excel.Functions.SPG($J11, A$3)</f>
        <v>#NAME?</v>
      </c>
      <c r="B11" s="54" t="e">
        <f ca="1">_xll.BDP($I11,B$3)</f>
        <v>#NAME?</v>
      </c>
      <c r="C11" s="54" t="e">
        <f ca="1">_xll.BDP($I11,C$3)</f>
        <v>#NAME?</v>
      </c>
      <c r="D11" s="55" t="s">
        <v>87</v>
      </c>
      <c r="E11" s="55" t="s">
        <v>81</v>
      </c>
      <c r="F11" s="56" t="e">
        <f ca="1">_xll.SNL.Clients.Office.Excel.Functions.SPG($J11, "IQ_TEV", "Options: Curr=USD")</f>
        <v>#NAME?</v>
      </c>
      <c r="G11" s="56" t="e">
        <f ca="1">_xll.SNL.Clients.Office.Excel.Functions.SPG($J11, "SP_MARKETCAP", "Options: Curr=USD")</f>
        <v>#NAME?</v>
      </c>
      <c r="H11" s="57" t="s">
        <v>105</v>
      </c>
      <c r="I11" s="14" t="s">
        <v>106</v>
      </c>
      <c r="J11" s="14" t="s">
        <v>107</v>
      </c>
      <c r="K11" s="58" t="e" cm="1">
        <f t="array" aca="1" ref="K11" ca="1">_xll.SNL.Clients.Office.Excel.Functions.SPG($J11, $K$3)/100</f>
        <v>#NAME?</v>
      </c>
      <c r="L11" s="59" t="e" cm="1">
        <f t="array" aca="1" ref="L11" ca="1">_xll.SNL.Clients.Office.Excel.Functions.SPG($J11, "SP_PCFPS_FWD",L$2)</f>
        <v>#NAME?</v>
      </c>
      <c r="M11" s="60" t="e" cm="1">
        <f t="array" aca="1" ref="M11" ca="1">_xll.SNL.Clients.Office.Excel.Functions.SPG($J11, "SP_PCFPS_FWD",M$2)</f>
        <v>#NAME?</v>
      </c>
      <c r="N11" s="61" t="e" cm="1">
        <f t="array" aca="1" ref="N11" ca="1">_xll.SNL.Clients.Office.Excel.Functions.SPG($J11, "SP_PCFPS_FWD",N$2)</f>
        <v>#NAME?</v>
      </c>
      <c r="O11" s="62" t="e">
        <f ca="1">_xll.SNL.Clients.Office.Excel.Functions.SPG($J11, "SP_FCF_EST",O$2, "Options: Curr=USD")/1000/$G11</f>
        <v>#NAME?</v>
      </c>
      <c r="P11" s="62" t="e">
        <f ca="1">_xll.SNL.Clients.Office.Excel.Functions.SPG($J11, "SP_FCF_EST",P$2, "Options: Curr=USD")/1000/$G11</f>
        <v>#NAME?</v>
      </c>
      <c r="Q11" s="62" t="e">
        <f ca="1">_xll.SNL.Clients.Office.Excel.Functions.SPG($J11, "SP_FCF_EST",Q$2, "Options: Curr=USD")/1000/$G11</f>
        <v>#NAME?</v>
      </c>
      <c r="R11" s="59" t="e" cm="1">
        <f t="array" aca="1" ref="R11" ca="1">_xll.SNL.Clients.Office.Excel.Functions.SPG($J11, "SP_PE_FWD",R$2)</f>
        <v>#NAME?</v>
      </c>
      <c r="S11" s="60" t="e" cm="1">
        <f t="array" aca="1" ref="S11" ca="1">_xll.SNL.Clients.Office.Excel.Functions.SPG($J11, "SP_PE_FWD",S$2)</f>
        <v>#NAME?</v>
      </c>
      <c r="T11" s="61" t="e" cm="1">
        <f t="array" aca="1" ref="T11" ca="1">_xll.SNL.Clients.Office.Excel.Functions.SPG($J11, "SP_PE_FWD",T$2)</f>
        <v>#NAME?</v>
      </c>
      <c r="U11" s="65" t="e" cm="1">
        <f t="array" aca="1" ref="U11" ca="1">IF((_xll.SNL.Clients.Office.Excel.Functions.SPG($J11,$U$3,U$4,"Options: Curr=USD") / _xll.SNL.Clients.Office.Excel.Functions.SPG($J11,"SP_EBITDA_EST",U$2,"Options: Curr=USD")) &lt; 0, "NM", (_xll.SNL.Clients.Office.Excel.Functions.SPG($J11,$U$3,U$4,"Options: Curr=USD") / _xll.SNL.Clients.Office.Excel.Functions.SPG($J11,"SP_EBITDA_EST",U$2,"Options: Curr=USD")))</f>
        <v>#NAME?</v>
      </c>
      <c r="V11" s="66" t="e" cm="1">
        <f t="array" aca="1" ref="V11" ca="1">_xll.SNL.Clients.Office.Excel.Functions.SPG($J11, $V$3,V$4)</f>
        <v>#NAME?</v>
      </c>
      <c r="W11" s="78" t="str">
        <f ca="1">IFERROR(0.001*AVERAGE(_xll.SNL.Clients.Office.Excel.Functions.SPG($J11,$W$4,"Ag",W$2),_xll.SNL.Clients.Office.Excel.Functions.SPG($J11,$W$3,"Ag",W$2)),"NA")</f>
        <v>NA</v>
      </c>
      <c r="X11" s="68" t="str">
        <f ca="1">IFERROR(0.001*AVERAGE(_xll.SNL.Clients.Office.Excel.Functions.SPG($J11,$W$4,"Ag",X$2),_xll.SNL.Clients.Office.Excel.Functions.SPG($J11,$W$3,"Ag",X$2)),"NA")</f>
        <v>NA</v>
      </c>
      <c r="Y11" s="79" t="str">
        <f ca="1">IFERROR(0.001*AVERAGE(_xll.SNL.Clients.Office.Excel.Functions.SPG($J11,$W$4,"Ag",Y$2),_xll.SNL.Clients.Office.Excel.Functions.SPG($J11,$W$3,"Ag",Y$2)),"NA")</f>
        <v>NA</v>
      </c>
      <c r="Z11" s="68" t="e">
        <f ca="1" xml:space="preserve"> IF(ISNUMBER(SEARCH("na",_xll.SNL.Clients.Office.Excel.Functions.SPG($J11, $Z$4, Z$2))), 0,_xll.SNL.Clients.Office.Excel.Functions.SPG($J11, $Z$4, Z$2))</f>
        <v>#NAME?</v>
      </c>
      <c r="AA11" s="68" t="e">
        <f ca="1" xml:space="preserve"> IF(ISNUMBER(SEARCH("na",_xll.SNL.Clients.Office.Excel.Functions.SPG($J11, $Z$4, AA$2))), 0,_xll.SNL.Clients.Office.Excel.Functions.SPG($J11, $Z$4, AA$2))</f>
        <v>#NAME?</v>
      </c>
      <c r="AB11" s="68" t="e">
        <f ca="1" xml:space="preserve"> IF(ISNUMBER(SEARCH("na",_xll.SNL.Clients.Office.Excel.Functions.SPG($J11, $Z$4, AB$2))), 0,_xll.SNL.Clients.Office.Excel.Functions.SPG($J11, $Z$4, AB$2))</f>
        <v>#NAME?</v>
      </c>
      <c r="AC11" s="68" t="e">
        <f ca="1" xml:space="preserve"> IF(ISNUMBER(SEARCH("na",_xll.SNL.Clients.Office.Excel.Functions.SPG($J11, $AC$4, AC$2))), 0,_xll.SNL.Clients.Office.Excel.Functions.SPG($J11, $AC$4, AC$2))</f>
        <v>#NAME?</v>
      </c>
      <c r="AD11" s="68" t="e">
        <f ca="1" xml:space="preserve"> IF(ISNUMBER(SEARCH("na",_xll.SNL.Clients.Office.Excel.Functions.SPG($J11, $AC$4, AD$2))), 0,_xll.SNL.Clients.Office.Excel.Functions.SPG($J11, $AC$4, AD$2))</f>
        <v>#NAME?</v>
      </c>
      <c r="AE11" s="68" t="e">
        <f ca="1" xml:space="preserve"> IF(ISNUMBER(SEARCH("na",_xll.SNL.Clients.Office.Excel.Functions.SPG($J11, $AC$4, AE$2))), 0,_xll.SNL.Clients.Office.Excel.Functions.SPG($J11, $AC$4, AE$2))</f>
        <v>#NAME?</v>
      </c>
      <c r="AF11" s="68" t="e">
        <f ca="1" xml:space="preserve"> IF(ISNUMBER(SEARCH("na",_xll.SNL.Clients.Office.Excel.Functions.SPG($J11, $AF$4, AF$2))), 0,_xll.SNL.Clients.Office.Excel.Functions.SPG($J11, $AF$4, AF$2))</f>
        <v>#NAME?</v>
      </c>
      <c r="AG11" s="68" t="e">
        <f ca="1" xml:space="preserve"> IF(ISNUMBER(SEARCH("na",_xll.SNL.Clients.Office.Excel.Functions.SPG($J11, $AF$4, AG$2))), 0,_xll.SNL.Clients.Office.Excel.Functions.SPG($J11, $AF$4, AG$2))</f>
        <v>#NAME?</v>
      </c>
      <c r="AH11" s="68" t="e">
        <f ca="1" xml:space="preserve"> IF(ISNUMBER(SEARCH("na",_xll.SNL.Clients.Office.Excel.Functions.SPG($J11, $AF$4, AH$2))), 0,_xll.SNL.Clients.Office.Excel.Functions.SPG($J11, $AF$4, AH$2))</f>
        <v>#NAME?</v>
      </c>
      <c r="AI11" s="68" t="e">
        <f t="shared" ref="AI11:AK16" ca="1" si="22">AC11+Z11*auprice/agprice+AF11*cuprice/agprice</f>
        <v>#NAME?</v>
      </c>
      <c r="AJ11" s="68" t="e">
        <f t="shared" ca="1" si="22"/>
        <v>#NAME?</v>
      </c>
      <c r="AK11" s="68" t="e">
        <f t="shared" ca="1" si="22"/>
        <v>#NAME?</v>
      </c>
      <c r="AL11" s="80" t="str">
        <f t="shared" ca="1" si="1"/>
        <v>NA</v>
      </c>
      <c r="AM11" s="81" t="str">
        <f ca="1">IFERROR($F11/AJ11*1000,"NA")</f>
        <v>NA</v>
      </c>
      <c r="AN11" s="82" t="str">
        <f ca="1">IFERROR($F11/AK11*1000,"NA")</f>
        <v>NA</v>
      </c>
      <c r="AO11" s="68">
        <f ca="1">IFERROR(_xll.SNL.Clients.Office.Excel.Functions.SPG($J11, $AO$3, AO$2,$AO$4)/1000,0)</f>
        <v>0</v>
      </c>
      <c r="AP11" s="68">
        <f ca="1">IFERROR(_xll.SNL.Clients.Office.Excel.Functions.SPG($J11, $AO$3, AP$2,$AO$4)/1000,0)</f>
        <v>0</v>
      </c>
      <c r="AQ11" s="68">
        <f ca="1">IFERROR(_xll.SNL.Clients.Office.Excel.Functions.SPG($J11, $AR$3, AQ$2,$AO$4)/1000,0)</f>
        <v>0</v>
      </c>
      <c r="AR11" s="68">
        <f ca="1">IFERROR(_xll.SNL.Clients.Office.Excel.Functions.SPG($J11, $AR$3, AR$2,$AO$4)/1000,0)</f>
        <v>0</v>
      </c>
      <c r="AS11" s="68">
        <f ca="1">IFERROR(_xll.SNL.Clients.Office.Excel.Functions.SPG($J11, $AR$3, AS$2,$AO$4)/1000,0)</f>
        <v>0</v>
      </c>
      <c r="AT11" s="68">
        <f ca="1">IFERROR(_xll.SNL.Clients.Office.Excel.Functions.SPG($J11, $AT$3, AT$2,$AO$4)/1000,0)</f>
        <v>0</v>
      </c>
      <c r="AU11" s="68">
        <f ca="1">IFERROR(_xll.SNL.Clients.Office.Excel.Functions.SPG($J11, $AT$3, AU$2,$AO$4)/1000,0)</f>
        <v>0</v>
      </c>
      <c r="AV11" s="68">
        <f ca="1">IFERROR(_xll.SNL.Clients.Office.Excel.Functions.SPG($J11, $AW$3, AV$2,$AO$4)/1000,0)</f>
        <v>0</v>
      </c>
      <c r="AW11" s="68">
        <f ca="1">IFERROR(_xll.SNL.Clients.Office.Excel.Functions.SPG($J11, $AW$3, AW$2,$AO$4)/1000,0)</f>
        <v>0</v>
      </c>
      <c r="AX11" s="68">
        <f ca="1">IFERROR(_xll.SNL.Clients.Office.Excel.Functions.SPG($J11, $AW$3, AX$2,$AO$4)/1000,0)</f>
        <v>0</v>
      </c>
      <c r="AY11" s="68">
        <f ca="1">IFERROR(_xll.SNL.Clients.Office.Excel.Functions.SPG($J11, $AY$3, AY$2,$AO$4)/1000,0)</f>
        <v>0</v>
      </c>
      <c r="AZ11" s="68">
        <f ca="1">IFERROR(_xll.SNL.Clients.Office.Excel.Functions.SPG($J11, $AY$3, AZ$2,$AO$4)/1000,0)</f>
        <v>0</v>
      </c>
      <c r="BA11" s="68">
        <f ca="1">IFERROR(_xll.SNL.Clients.Office.Excel.Functions.SPG($J11, $BB$3, BA$2,$AO$4)/1000,0)</f>
        <v>0</v>
      </c>
      <c r="BB11" s="68">
        <f ca="1">IFERROR(_xll.SNL.Clients.Office.Excel.Functions.SPG($J11, $BB$3, BB$2,$AO$4)/1000,0)</f>
        <v>0</v>
      </c>
      <c r="BC11" s="68">
        <f ca="1">IFERROR(_xll.SNL.Clients.Office.Excel.Functions.SPG($J11, $BB$3, BC$2,$AO$4)/1000,0)</f>
        <v>0</v>
      </c>
      <c r="BD11" s="68">
        <f t="shared" ref="BD11:BD16" ca="1" si="23">AP11+AO11*auprice/agprice+AQ11*cuprice/agprice+AR11*znprice/agprice+AS11*pbprice/agprice</f>
        <v>0</v>
      </c>
      <c r="BE11" s="68">
        <f t="shared" ref="BE11:BE16" ca="1" si="24">AU11+AT11*auprice/agprice+AV11*cuprice/agprice+AW11*znprice/agprice+AX11*pbprice/agprice+BD11</f>
        <v>0</v>
      </c>
      <c r="BF11" s="68">
        <f t="shared" ref="BF11:BF16" ca="1" si="25">AZ11+AY11*auprice/agprice+BA11*cuprice/agprice+BB11*znprice/agprice+BC11*pbprice/agprice+BD11</f>
        <v>0</v>
      </c>
      <c r="BG11" s="83" t="e">
        <f t="shared" ca="1" si="5"/>
        <v>#NAME?</v>
      </c>
      <c r="BH11" s="74" t="e">
        <f ca="1">$F11*1000/BE11</f>
        <v>#NAME?</v>
      </c>
      <c r="BI11" s="84" t="e">
        <f ca="1">$F11*1000/BF11</f>
        <v>#NAME?</v>
      </c>
      <c r="BJ11" s="74" t="e">
        <f ca="1">_xll.SNL.Clients.Office.Excel.Functions.SPG($J11, $BJ$3, BJ$2, "Ag", "Options:Curr=USD")</f>
        <v>#NAME?</v>
      </c>
      <c r="BK11" s="74" t="e">
        <f ca="1">_xll.SNL.Clients.Office.Excel.Functions.SPG($J11, $BJ$3, BK$2, "Ag", "Options:Curr=USD")</f>
        <v>#NAME?</v>
      </c>
      <c r="BL11" s="74" t="e">
        <f ca="1">_xll.SNL.Clients.Office.Excel.Functions.SPG($J11, $BJ$3, BL$2, "Ag", "Options:Curr=USD")</f>
        <v>#NAME?</v>
      </c>
      <c r="BM11" s="84" t="e">
        <f ca="1">_xll.SNL.Clients.Office.Excel.Functions.SPG($J11, $BJ$3, BM$2, "Ag", "Options:Curr=USD")</f>
        <v>#NAME?</v>
      </c>
      <c r="BN11" s="74" t="str">
        <f ca="1">IFERROR(AVERAGE(_xll.SNL.Clients.Office.Excel.Functions.SPG($J11,$BM$4,"Ag",BN$2),_xll.SNL.Clients.Office.Excel.Functions.SPG($J11,$BM$3,"Ag",BN$2)),"NA")</f>
        <v>NA</v>
      </c>
      <c r="BO11" s="84" t="str">
        <f ca="1">IFERROR(AVERAGE(_xll.SNL.Clients.Office.Excel.Functions.SPG($J11,$BM$4,"Ag",BO$2),_xll.SNL.Clients.Office.Excel.Functions.SPG($J11,$BM$3,"Ag",BO$2)),"NA")</f>
        <v>NA</v>
      </c>
      <c r="BP11" s="74" t="e">
        <f ca="1">_xll.SNL.Clients.Office.Excel.Functions.SPG($J11, $BP$3, BP$2, "Ag", "Options:Curr=USD")</f>
        <v>#NAME?</v>
      </c>
      <c r="BQ11" s="74" t="e">
        <f ca="1">_xll.SNL.Clients.Office.Excel.Functions.SPG($J11, $BP$3, BQ$2, "Ag", "Options:Curr=USD")</f>
        <v>#NAME?</v>
      </c>
      <c r="BR11" s="84" t="e">
        <f ca="1">_xll.SNL.Clients.Office.Excel.Functions.SPG($J11, $BP$3, BR$2, "Ag", "Options:Curr=USD")</f>
        <v>#NAME?</v>
      </c>
      <c r="BS11" s="74" t="str">
        <f ca="1">IFERROR(AVERAGE(_xll.SNL.Clients.Office.Excel.Functions.SPG($J11,$BS$4,"Ag",BS$2, "Options:Curr=USD"),_xll.SNL.Clients.Office.Excel.Functions.SPG($J11,$BS$3,"Ag",BS$2, "Options:Curr=USD")),"NA")</f>
        <v>NA</v>
      </c>
      <c r="BT11" s="74" t="str">
        <f ca="1">IFERROR(AVERAGE(_xll.SNL.Clients.Office.Excel.Functions.SPG($J11,$BS$4,"Ag",BT$2, "Options:Curr=USD"),_xll.SNL.Clients.Office.Excel.Functions.SPG($J11,$BS$3,"Ag",BT$2, "Options:Curr=USD")),"NA")</f>
        <v>NA</v>
      </c>
      <c r="BU11" s="84" t="str">
        <f ca="1">IFERROR(AVERAGE(_xll.SNL.Clients.Office.Excel.Functions.SPG($J11,$BS$4,"Ag",BU$2, "Options:Curr=USD"),_xll.SNL.Clients.Office.Excel.Functions.SPG($J11,$BS$3,"Ag",BU$2, "Options:Curr=USD")),"NA")</f>
        <v>NA</v>
      </c>
      <c r="BW11" s="77" t="s">
        <v>85</v>
      </c>
      <c r="BX11" s="77"/>
      <c r="BY11" s="34" t="s">
        <v>96</v>
      </c>
      <c r="BZ11" s="34"/>
    </row>
    <row r="12" spans="1:78" ht="13.8" x14ac:dyDescent="0.25">
      <c r="A12" s="54" t="e">
        <f ca="1">_xll.SNL.Clients.Office.Excel.Functions.SPG($J12, A$3)</f>
        <v>#NAME?</v>
      </c>
      <c r="B12" s="54" t="e">
        <f ca="1">_xll.BDP($I12,B$3)</f>
        <v>#NAME?</v>
      </c>
      <c r="C12" s="54" t="e">
        <f ca="1">_xll.BDP($I12,C$3)</f>
        <v>#NAME?</v>
      </c>
      <c r="D12" s="55" t="s">
        <v>108</v>
      </c>
      <c r="E12" s="55" t="s">
        <v>81</v>
      </c>
      <c r="F12" s="56" t="e">
        <f ca="1">_xll.SNL.Clients.Office.Excel.Functions.SPG($J12, "IQ_TEV", "Options: Curr=USD")</f>
        <v>#NAME?</v>
      </c>
      <c r="G12" s="56" t="e">
        <f ca="1">_xll.SNL.Clients.Office.Excel.Functions.SPG($J12, "SP_MARKETCAP", "Options: Curr=USD")</f>
        <v>#NAME?</v>
      </c>
      <c r="H12" s="57" t="s">
        <v>109</v>
      </c>
      <c r="I12" s="14" t="s">
        <v>110</v>
      </c>
      <c r="J12" s="14" t="s">
        <v>111</v>
      </c>
      <c r="K12" s="58" t="e" cm="1">
        <f t="array" aca="1" ref="K12" ca="1">_xll.SNL.Clients.Office.Excel.Functions.SPG($J12, $K$3)/100</f>
        <v>#NAME?</v>
      </c>
      <c r="L12" s="59" t="e" cm="1">
        <f t="array" aca="1" ref="L12" ca="1">_xll.SNL.Clients.Office.Excel.Functions.SPG($J12, "SP_PCFPS_FWD",L$2)</f>
        <v>#NAME?</v>
      </c>
      <c r="M12" s="60" t="e" cm="1">
        <f t="array" aca="1" ref="M12" ca="1">_xll.SNL.Clients.Office.Excel.Functions.SPG($J12, "SP_PCFPS_FWD",M$2)</f>
        <v>#NAME?</v>
      </c>
      <c r="N12" s="61" t="e" cm="1">
        <f t="array" aca="1" ref="N12" ca="1">_xll.SNL.Clients.Office.Excel.Functions.SPG($J12, "SP_PCFPS_FWD",N$2)</f>
        <v>#NAME?</v>
      </c>
      <c r="O12" s="62" t="e">
        <f ca="1">_xll.SNL.Clients.Office.Excel.Functions.SPG($J12, "SP_FCF_EST",O$2, "Options: Curr=USD")/1000/$G12</f>
        <v>#NAME?</v>
      </c>
      <c r="P12" s="62" t="e">
        <f ca="1">_xll.SNL.Clients.Office.Excel.Functions.SPG($J12, "SP_FCF_EST",P$2, "Options: Curr=USD")/1000/$G12</f>
        <v>#NAME?</v>
      </c>
      <c r="Q12" s="62" t="e">
        <f ca="1">_xll.SNL.Clients.Office.Excel.Functions.SPG($J12, "SP_FCF_EST",Q$2, "Options: Curr=USD")/1000/$G12</f>
        <v>#NAME?</v>
      </c>
      <c r="R12" s="59" t="e" cm="1">
        <f t="array" aca="1" ref="R12" ca="1">_xll.SNL.Clients.Office.Excel.Functions.SPG($J12, "SP_PE_FWD",R$2)</f>
        <v>#NAME?</v>
      </c>
      <c r="S12" s="60" t="e" cm="1">
        <f t="array" aca="1" ref="S12" ca="1">_xll.SNL.Clients.Office.Excel.Functions.SPG($J12, "SP_PE_FWD",S$2)</f>
        <v>#NAME?</v>
      </c>
      <c r="T12" s="61" t="e" cm="1">
        <f t="array" aca="1" ref="T12" ca="1">_xll.SNL.Clients.Office.Excel.Functions.SPG($J12, "SP_PE_FWD",T$2)</f>
        <v>#NAME?</v>
      </c>
      <c r="U12" s="65" t="e" cm="1">
        <f t="array" aca="1" ref="U12" ca="1">IF((_xll.SNL.Clients.Office.Excel.Functions.SPG($J12,$U$3,U$4,"Options: Curr=USD") / _xll.SNL.Clients.Office.Excel.Functions.SPG($J12,"SP_EBITDA_EST",U$2,"Options: Curr=USD")) &lt; 0, "NM", (_xll.SNL.Clients.Office.Excel.Functions.SPG($J12,$U$3,U$4,"Options: Curr=USD") / _xll.SNL.Clients.Office.Excel.Functions.SPG($J12,"SP_EBITDA_EST",U$2,"Options: Curr=USD")))</f>
        <v>#NAME?</v>
      </c>
      <c r="V12" s="66" t="e" cm="1">
        <f t="array" aca="1" ref="V12" ca="1">_xll.SNL.Clients.Office.Excel.Functions.SPG($J12, $V$3,V$4)</f>
        <v>#NAME?</v>
      </c>
      <c r="W12" s="85" t="str">
        <f ca="1">IFERROR(0.001*AVERAGE(_xll.SNL.Clients.Office.Excel.Functions.SPG($J12,$W$4,"Ag",W$2),_xll.SNL.Clients.Office.Excel.Functions.SPG($J12,$W$3,"Ag",W$2)),"NA")</f>
        <v>NA</v>
      </c>
      <c r="X12" s="68" t="str">
        <f ca="1">IFERROR(0.001*AVERAGE(_xll.SNL.Clients.Office.Excel.Functions.SPG($J12,$W$4,"Ag",X$2),_xll.SNL.Clients.Office.Excel.Functions.SPG($J12,$W$3,"Ag",X$2)),"NA")</f>
        <v>NA</v>
      </c>
      <c r="Y12" s="86" t="str">
        <f ca="1">IFERROR(0.001*AVERAGE(_xll.SNL.Clients.Office.Excel.Functions.SPG($J12,$W$4,"Ag",Y$2),_xll.SNL.Clients.Office.Excel.Functions.SPG($J12,$W$3,"Ag",Y$2)),"NA")</f>
        <v>NA</v>
      </c>
      <c r="Z12" s="68" t="e">
        <f ca="1" xml:space="preserve"> IF(ISNUMBER(SEARCH("na",_xll.SNL.Clients.Office.Excel.Functions.SPG($J12, $Z$4, Z$2))), 0,_xll.SNL.Clients.Office.Excel.Functions.SPG($J12, $Z$4, Z$2))</f>
        <v>#NAME?</v>
      </c>
      <c r="AA12" s="68" t="e">
        <f ca="1" xml:space="preserve"> IF(ISNUMBER(SEARCH("na",_xll.SNL.Clients.Office.Excel.Functions.SPG($J12, $Z$4, AA$2))), 0,_xll.SNL.Clients.Office.Excel.Functions.SPG($J12, $Z$4, AA$2))</f>
        <v>#NAME?</v>
      </c>
      <c r="AB12" s="68" t="e">
        <f ca="1" xml:space="preserve"> IF(ISNUMBER(SEARCH("na",_xll.SNL.Clients.Office.Excel.Functions.SPG($J12, $Z$4, AB$2))), 0,_xll.SNL.Clients.Office.Excel.Functions.SPG($J12, $Z$4, AB$2))</f>
        <v>#NAME?</v>
      </c>
      <c r="AC12" s="68" t="e">
        <f ca="1" xml:space="preserve"> IF(ISNUMBER(SEARCH("na",_xll.SNL.Clients.Office.Excel.Functions.SPG($J12, $AC$4, AC$2))), 0,_xll.SNL.Clients.Office.Excel.Functions.SPG($J12, $AC$4, AC$2))</f>
        <v>#NAME?</v>
      </c>
      <c r="AD12" s="68" t="e">
        <f ca="1" xml:space="preserve"> IF(ISNUMBER(SEARCH("na",_xll.SNL.Clients.Office.Excel.Functions.SPG($J12, $AC$4, AD$2))), 0,_xll.SNL.Clients.Office.Excel.Functions.SPG($J12, $AC$4, AD$2))</f>
        <v>#NAME?</v>
      </c>
      <c r="AE12" s="68" t="e">
        <f ca="1" xml:space="preserve"> IF(ISNUMBER(SEARCH("na",_xll.SNL.Clients.Office.Excel.Functions.SPG($J12, $AC$4, AE$2))), 0,_xll.SNL.Clients.Office.Excel.Functions.SPG($J12, $AC$4, AE$2))</f>
        <v>#NAME?</v>
      </c>
      <c r="AF12" s="68" t="e">
        <f ca="1" xml:space="preserve"> IF(ISNUMBER(SEARCH("na",_xll.SNL.Clients.Office.Excel.Functions.SPG($J12, $AF$4, AF$2))), 0,_xll.SNL.Clients.Office.Excel.Functions.SPG($J12, $AF$4, AF$2))</f>
        <v>#NAME?</v>
      </c>
      <c r="AG12" s="68" t="e">
        <f ca="1" xml:space="preserve"> IF(ISNUMBER(SEARCH("na",_xll.SNL.Clients.Office.Excel.Functions.SPG($J12, $AF$4, AG$2))), 0,_xll.SNL.Clients.Office.Excel.Functions.SPG($J12, $AF$4, AG$2))</f>
        <v>#NAME?</v>
      </c>
      <c r="AH12" s="68" t="e">
        <f ca="1" xml:space="preserve"> IF(ISNUMBER(SEARCH("na",_xll.SNL.Clients.Office.Excel.Functions.SPG($J12, $AF$4, AH$2))), 0,_xll.SNL.Clients.Office.Excel.Functions.SPG($J12, $AF$4, AH$2))</f>
        <v>#NAME?</v>
      </c>
      <c r="AI12" s="68" t="e">
        <f ca="1">AC12+Z12*auprice/agprice+AF12*cuprice/agprice</f>
        <v>#NAME?</v>
      </c>
      <c r="AJ12" s="68" t="e">
        <f ca="1">AD12+AA12*auprice/agprice+AG12*cuprice/agprice</f>
        <v>#NAME?</v>
      </c>
      <c r="AK12" s="68" t="e">
        <f ca="1">AE12+AB12*auprice/agprice+AH12*cuprice/agprice</f>
        <v>#NAME?</v>
      </c>
      <c r="AL12" s="87" t="str">
        <f t="shared" ca="1" si="1"/>
        <v>NA</v>
      </c>
      <c r="AM12" s="88" t="str">
        <f ca="1">IFERROR($F12/AJ12*1000,"NA")</f>
        <v>NA</v>
      </c>
      <c r="AN12" s="89" t="str">
        <f ca="1">IFERROR($F12/AK12*1000,"NA")</f>
        <v>NA</v>
      </c>
      <c r="AO12" s="68">
        <f ca="1">IFERROR(_xll.SNL.Clients.Office.Excel.Functions.SPG($J12, $AO$3, AO$2,$AO$4)/1000,0)</f>
        <v>0</v>
      </c>
      <c r="AP12" s="68">
        <f ca="1">IFERROR(_xll.SNL.Clients.Office.Excel.Functions.SPG($J12, $AO$3, AP$2,$AO$4)/1000,0)</f>
        <v>0</v>
      </c>
      <c r="AQ12" s="68">
        <f ca="1">IFERROR(_xll.SNL.Clients.Office.Excel.Functions.SPG($J12, $AR$3, AQ$2,$AO$4)/1000,0)</f>
        <v>0</v>
      </c>
      <c r="AR12" s="68">
        <f ca="1">IFERROR(_xll.SNL.Clients.Office.Excel.Functions.SPG($J12, $AR$3, AR$2,$AO$4)/1000,0)</f>
        <v>0</v>
      </c>
      <c r="AS12" s="68">
        <f ca="1">IFERROR(_xll.SNL.Clients.Office.Excel.Functions.SPG($J12, $AR$3, AS$2,$AO$4)/1000,0)</f>
        <v>0</v>
      </c>
      <c r="AT12" s="68">
        <f ca="1">IFERROR(_xll.SNL.Clients.Office.Excel.Functions.SPG($J12, $AT$3, AT$2,$AO$4)/1000,0)</f>
        <v>0</v>
      </c>
      <c r="AU12" s="68">
        <f ca="1">IFERROR(_xll.SNL.Clients.Office.Excel.Functions.SPG($J12, $AT$3, AU$2,$AO$4)/1000,0)</f>
        <v>0</v>
      </c>
      <c r="AV12" s="68">
        <f ca="1">IFERROR(_xll.SNL.Clients.Office.Excel.Functions.SPG($J12, $AW$3, AV$2,$AO$4)/1000,0)</f>
        <v>0</v>
      </c>
      <c r="AW12" s="68">
        <f ca="1">IFERROR(_xll.SNL.Clients.Office.Excel.Functions.SPG($J12, $AW$3, AW$2,$AO$4)/1000,0)</f>
        <v>0</v>
      </c>
      <c r="AX12" s="68">
        <f ca="1">IFERROR(_xll.SNL.Clients.Office.Excel.Functions.SPG($J12, $AW$3, AX$2,$AO$4)/1000,0)</f>
        <v>0</v>
      </c>
      <c r="AY12" s="68">
        <f ca="1">IFERROR(_xll.SNL.Clients.Office.Excel.Functions.SPG($J12, $AY$3, AY$2,$AO$4)/1000,0)</f>
        <v>0</v>
      </c>
      <c r="AZ12" s="68">
        <f ca="1">IFERROR(_xll.SNL.Clients.Office.Excel.Functions.SPG($J12, $AY$3, AZ$2,$AO$4)/1000,0)</f>
        <v>0</v>
      </c>
      <c r="BA12" s="68">
        <f ca="1">IFERROR(_xll.SNL.Clients.Office.Excel.Functions.SPG($J12, $BB$3, BA$2,$AO$4)/1000,0)</f>
        <v>0</v>
      </c>
      <c r="BB12" s="68">
        <f ca="1">IFERROR(_xll.SNL.Clients.Office.Excel.Functions.SPG($J12, $BB$3, BB$2,$AO$4)/1000,0)</f>
        <v>0</v>
      </c>
      <c r="BC12" s="68">
        <f ca="1">IFERROR(_xll.SNL.Clients.Office.Excel.Functions.SPG($J12, $BB$3, BC$2,$AO$4)/1000,0)</f>
        <v>0</v>
      </c>
      <c r="BD12" s="68">
        <f ca="1">AP12+AO12*auprice/agprice+AQ12*cuprice/agprice+AR12*znprice/agprice+AS12*pbprice/agprice</f>
        <v>0</v>
      </c>
      <c r="BE12" s="68">
        <f ca="1">AU12+AT12*auprice/agprice+AV12*cuprice/agprice+AW12*znprice/agprice+AX12*pbprice/agprice+BD12</f>
        <v>0</v>
      </c>
      <c r="BF12" s="68">
        <f ca="1">AZ12+AY12*auprice/agprice+BA12*cuprice/agprice+BB12*znprice/agprice+BC12*pbprice/agprice+BD12</f>
        <v>0</v>
      </c>
      <c r="BG12" s="83" t="e">
        <f t="shared" ca="1" si="5"/>
        <v>#NAME?</v>
      </c>
      <c r="BH12" s="74" t="e">
        <f ca="1">$F12*1000/BE12</f>
        <v>#NAME?</v>
      </c>
      <c r="BI12" s="84" t="e">
        <f ca="1">$F12*1000/BF12</f>
        <v>#NAME?</v>
      </c>
      <c r="BJ12" s="74" t="e">
        <f ca="1">_xll.SNL.Clients.Office.Excel.Functions.SPG($J12, $BJ$3, BJ$2, "Ag", "Options:Curr=USD")</f>
        <v>#NAME?</v>
      </c>
      <c r="BK12" s="74" t="e">
        <f ca="1">_xll.SNL.Clients.Office.Excel.Functions.SPG($J12, $BJ$3, BK$2, "Ag", "Options:Curr=USD")</f>
        <v>#NAME?</v>
      </c>
      <c r="BL12" s="74" t="e">
        <f ca="1">_xll.SNL.Clients.Office.Excel.Functions.SPG($J12, $BJ$3, BL$2, "Ag", "Options:Curr=USD")</f>
        <v>#NAME?</v>
      </c>
      <c r="BM12" s="84" t="e">
        <f ca="1">_xll.SNL.Clients.Office.Excel.Functions.SPG($J12, $BJ$3, BM$2, "Ag", "Options:Curr=USD")</f>
        <v>#NAME?</v>
      </c>
      <c r="BN12" s="74" t="str">
        <f ca="1">IFERROR(AVERAGE(_xll.SNL.Clients.Office.Excel.Functions.SPG($J12,$BM$4,"Ag",BN$2),_xll.SNL.Clients.Office.Excel.Functions.SPG($J12,$BM$3,"Ag",BN$2)),"NA")</f>
        <v>NA</v>
      </c>
      <c r="BO12" s="84" t="str">
        <f ca="1">IFERROR(AVERAGE(_xll.SNL.Clients.Office.Excel.Functions.SPG($J12,$BM$4,"Ag",BO$2),_xll.SNL.Clients.Office.Excel.Functions.SPG($J12,$BM$3,"Ag",BO$2)),"NA")</f>
        <v>NA</v>
      </c>
      <c r="BP12" s="74" t="e">
        <f ca="1">_xll.SNL.Clients.Office.Excel.Functions.SPG($J12, $BP$3, BP$2, "Ag", "Options:Curr=USD")</f>
        <v>#NAME?</v>
      </c>
      <c r="BQ12" s="74" t="e">
        <f ca="1">_xll.SNL.Clients.Office.Excel.Functions.SPG($J12, $BP$3, BQ$2, "Ag", "Options:Curr=USD")</f>
        <v>#NAME?</v>
      </c>
      <c r="BR12" s="84" t="e">
        <f ca="1">_xll.SNL.Clients.Office.Excel.Functions.SPG($J12, $BP$3, BR$2, "Ag", "Options:Curr=USD")</f>
        <v>#NAME?</v>
      </c>
      <c r="BS12" s="74" t="str">
        <f ca="1">IFERROR(AVERAGE(_xll.SNL.Clients.Office.Excel.Functions.SPG($J12,$BS$4,"Ag",BS$2, "Options:Curr=USD"),_xll.SNL.Clients.Office.Excel.Functions.SPG($J12,$BS$3,"Ag",BS$2, "Options:Curr=USD")),"NA")</f>
        <v>NA</v>
      </c>
      <c r="BT12" s="74" t="str">
        <f ca="1">IFERROR(AVERAGE(_xll.SNL.Clients.Office.Excel.Functions.SPG($J12,$BS$4,"Ag",BT$2, "Options:Curr=USD"),_xll.SNL.Clients.Office.Excel.Functions.SPG($J12,$BS$3,"Ag",BT$2, "Options:Curr=USD")),"NA")</f>
        <v>NA</v>
      </c>
      <c r="BU12" s="84" t="str">
        <f ca="1">IFERROR(AVERAGE(_xll.SNL.Clients.Office.Excel.Functions.SPG($J12,$BS$4,"Ag",BU$2, "Options:Curr=USD"),_xll.SNL.Clients.Office.Excel.Functions.SPG($J12,$BS$3,"Ag",BU$2, "Options:Curr=USD")),"NA")</f>
        <v>NA</v>
      </c>
      <c r="BW12" s="90" t="s">
        <v>112</v>
      </c>
      <c r="BX12" s="90"/>
      <c r="BY12" s="34" t="s">
        <v>86</v>
      </c>
      <c r="BZ12" s="34"/>
    </row>
    <row r="13" spans="1:78" x14ac:dyDescent="0.25">
      <c r="A13" s="54"/>
      <c r="B13" s="54"/>
      <c r="C13" s="54"/>
      <c r="D13" s="55"/>
      <c r="E13" s="55"/>
      <c r="H13" s="91"/>
      <c r="I13" s="91"/>
      <c r="J13" s="91" t="s">
        <v>113</v>
      </c>
      <c r="K13" s="92" t="e">
        <f ca="1">AVERAGE(K5:K12)</f>
        <v>#NAME?</v>
      </c>
      <c r="L13" s="93" t="e">
        <f ca="1">AVERAGE(L5:L12)</f>
        <v>#NAME?</v>
      </c>
      <c r="M13" s="94" t="e">
        <f ca="1">AVERAGE(M5:M12)</f>
        <v>#NAME?</v>
      </c>
      <c r="N13" s="95" t="e">
        <f ca="1">AVERAGE(N5:N12)</f>
        <v>#NAME?</v>
      </c>
      <c r="O13" s="96" t="e" cm="1">
        <f t="array" aca="1" ref="O13" ca="1">AVERAGE(IFERROR(O6:O12, ""))</f>
        <v>#DIV/0!</v>
      </c>
      <c r="P13" s="96" t="e" cm="1">
        <f t="array" aca="1" ref="P13" ca="1">AVERAGE(IFERROR(P6:P12, ""))</f>
        <v>#DIV/0!</v>
      </c>
      <c r="Q13" s="96" t="e" cm="1">
        <f t="array" aca="1" ref="Q13" ca="1">AVERAGE(IFERROR(Q6:Q12, ""))</f>
        <v>#DIV/0!</v>
      </c>
      <c r="R13" s="93" t="e">
        <f ca="1">AVERAGE(R5:R12)</f>
        <v>#NAME?</v>
      </c>
      <c r="S13" s="94" t="e">
        <f ca="1">AVERAGE(S5:S12)</f>
        <v>#NAME?</v>
      </c>
      <c r="T13" s="95" t="e">
        <f ca="1">AVERAGE(T5:T12)</f>
        <v>#NAME?</v>
      </c>
      <c r="U13" s="94"/>
      <c r="V13" s="97"/>
      <c r="W13" s="98" t="e">
        <f ca="1">AVERAGE(W5:W12)</f>
        <v>#DIV/0!</v>
      </c>
      <c r="X13" s="98" t="e">
        <f ca="1">AVERAGE(X5:X12)</f>
        <v>#DIV/0!</v>
      </c>
      <c r="Y13" s="98" t="e">
        <f ca="1">AVERAGE(Y5:Y12)</f>
        <v>#DIV/0!</v>
      </c>
      <c r="Z13" s="46"/>
      <c r="AA13" s="46"/>
      <c r="AB13" s="46"/>
      <c r="AC13" s="46"/>
      <c r="AD13" s="46"/>
      <c r="AE13" s="46"/>
      <c r="AF13" s="46"/>
      <c r="AG13" s="46"/>
      <c r="AH13" s="46"/>
      <c r="AI13" s="98" t="e">
        <f t="shared" ref="AI13:AN13" ca="1" si="26">AVERAGE(AI5:AI12)</f>
        <v>#NAME?</v>
      </c>
      <c r="AJ13" s="98" t="e">
        <f t="shared" ca="1" si="26"/>
        <v>#NAME?</v>
      </c>
      <c r="AK13" s="98" t="e">
        <f t="shared" ca="1" si="26"/>
        <v>#NAME?</v>
      </c>
      <c r="AL13" s="99" t="e">
        <f t="shared" ca="1" si="26"/>
        <v>#DIV/0!</v>
      </c>
      <c r="AM13" s="98" t="e">
        <f t="shared" ca="1" si="26"/>
        <v>#DIV/0!</v>
      </c>
      <c r="AN13" s="100" t="e">
        <f t="shared" ca="1" si="26"/>
        <v>#DIV/0!</v>
      </c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2" t="e">
        <f t="shared" ref="BG13:BU13" ca="1" si="27">AVERAGE(BG5:BG12)</f>
        <v>#NAME?</v>
      </c>
      <c r="BH13" s="103" t="e">
        <f t="shared" ca="1" si="27"/>
        <v>#NAME?</v>
      </c>
      <c r="BI13" s="104" t="e">
        <f t="shared" ca="1" si="27"/>
        <v>#NAME?</v>
      </c>
      <c r="BJ13" s="103" t="e">
        <f t="shared" ca="1" si="27"/>
        <v>#NAME?</v>
      </c>
      <c r="BK13" s="103" t="e">
        <f t="shared" ca="1" si="27"/>
        <v>#NAME?</v>
      </c>
      <c r="BL13" s="103" t="e">
        <f t="shared" ca="1" si="27"/>
        <v>#NAME?</v>
      </c>
      <c r="BM13" s="104" t="e">
        <f t="shared" ca="1" si="27"/>
        <v>#NAME?</v>
      </c>
      <c r="BN13" s="103" t="e">
        <f t="shared" ca="1" si="27"/>
        <v>#DIV/0!</v>
      </c>
      <c r="BO13" s="104" t="e">
        <f t="shared" ca="1" si="27"/>
        <v>#DIV/0!</v>
      </c>
      <c r="BP13" s="103" t="e">
        <f t="shared" ca="1" si="27"/>
        <v>#NAME?</v>
      </c>
      <c r="BQ13" s="103" t="e">
        <f t="shared" ca="1" si="27"/>
        <v>#NAME?</v>
      </c>
      <c r="BR13" s="104" t="e">
        <f t="shared" ca="1" si="27"/>
        <v>#NAME?</v>
      </c>
      <c r="BS13" s="103" t="e">
        <f t="shared" ca="1" si="27"/>
        <v>#DIV/0!</v>
      </c>
      <c r="BT13" s="103" t="e">
        <f t="shared" ca="1" si="27"/>
        <v>#DIV/0!</v>
      </c>
      <c r="BU13" s="104" t="e">
        <f t="shared" ca="1" si="27"/>
        <v>#DIV/0!</v>
      </c>
      <c r="BW13" s="34"/>
      <c r="BX13" s="34"/>
      <c r="BY13" s="34"/>
      <c r="BZ13" s="34"/>
    </row>
    <row r="14" spans="1:78" ht="16.8" collapsed="1" x14ac:dyDescent="0.25">
      <c r="D14" s="105"/>
      <c r="E14" s="105"/>
      <c r="H14" s="48" t="s">
        <v>114</v>
      </c>
      <c r="I14" s="48"/>
      <c r="J14" s="49"/>
      <c r="K14" s="50"/>
      <c r="L14" s="51"/>
      <c r="M14" s="52"/>
      <c r="N14" s="52"/>
      <c r="O14" s="52"/>
      <c r="P14" s="52"/>
      <c r="Q14" s="52"/>
      <c r="R14" s="51"/>
      <c r="S14" s="52"/>
      <c r="T14" s="52"/>
      <c r="U14" s="52"/>
      <c r="V14" s="106"/>
      <c r="W14" s="52"/>
      <c r="X14" s="52"/>
      <c r="Y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3"/>
      <c r="BJ14" s="52"/>
      <c r="BK14" s="52"/>
      <c r="BL14" s="52"/>
      <c r="BM14" s="53"/>
      <c r="BN14" s="52"/>
      <c r="BO14" s="53"/>
      <c r="BP14" s="52"/>
      <c r="BQ14" s="52"/>
      <c r="BR14" s="52"/>
      <c r="BS14" s="52"/>
      <c r="BT14" s="52"/>
      <c r="BU14" s="53"/>
      <c r="BW14" s="34"/>
      <c r="BX14" s="34"/>
      <c r="BY14" s="34"/>
      <c r="BZ14" s="34"/>
    </row>
    <row r="15" spans="1:78" ht="13.8" x14ac:dyDescent="0.25">
      <c r="A15" s="54" t="e">
        <f ca="1">_xll.SNL.Clients.Office.Excel.Functions.SPG($J15, A$3)</f>
        <v>#NAME?</v>
      </c>
      <c r="B15" s="54" t="e">
        <f ca="1">_xll.BDP($I15,B$3)</f>
        <v>#NAME?</v>
      </c>
      <c r="C15" s="54" t="e">
        <f ca="1">_xll.BDP($I15,C$3)</f>
        <v>#NAME?</v>
      </c>
      <c r="D15" s="55" t="s">
        <v>115</v>
      </c>
      <c r="E15" s="55" t="s">
        <v>92</v>
      </c>
      <c r="F15" s="56" t="e">
        <f ca="1">_xll.SNL.Clients.Office.Excel.Functions.SPG($J15, "IQ_TEV", "Options: Curr=USD")</f>
        <v>#NAME?</v>
      </c>
      <c r="G15" s="56" t="e">
        <f ca="1">_xll.SNL.Clients.Office.Excel.Functions.SPG($J15, "SP_MARKETCAP", "Options: Curr=USD")</f>
        <v>#NAME?</v>
      </c>
      <c r="H15" s="57" t="s">
        <v>116</v>
      </c>
      <c r="I15" s="14" t="s">
        <v>117</v>
      </c>
      <c r="J15" s="14" t="s">
        <v>118</v>
      </c>
      <c r="K15" s="58" t="e" cm="1">
        <f t="array" aca="1" ref="K15" ca="1">_xll.SNL.Clients.Office.Excel.Functions.SPG($J15, $K$3)/100</f>
        <v>#NAME?</v>
      </c>
      <c r="L15" s="59" t="e" cm="1">
        <f t="array" aca="1" ref="L15" ca="1">_xll.SNL.Clients.Office.Excel.Functions.SPG($J15, "SP_PCFPS_FWD",L$2)</f>
        <v>#NAME?</v>
      </c>
      <c r="M15" s="60" t="e" cm="1">
        <f t="array" aca="1" ref="M15" ca="1">_xll.SNL.Clients.Office.Excel.Functions.SPG($J15, "SP_PCFPS_FWD",M$2)</f>
        <v>#NAME?</v>
      </c>
      <c r="N15" s="61" t="e" cm="1">
        <f t="array" aca="1" ref="N15" ca="1">_xll.SNL.Clients.Office.Excel.Functions.SPG($J15, "SP_PCFPS_FWD",N$2)</f>
        <v>#NAME?</v>
      </c>
      <c r="O15" s="62" t="e">
        <f ca="1">_xll.SNL.Clients.Office.Excel.Functions.SPG($J15, "SP_FCF_EST",O$2, "Options: Curr=USD")/1000/$G15</f>
        <v>#NAME?</v>
      </c>
      <c r="P15" s="62" t="e">
        <f ca="1">_xll.SNL.Clients.Office.Excel.Functions.SPG($J15, "SP_FCF_EST",P$2, "Options: Curr=USD")/1000/$G15</f>
        <v>#NAME?</v>
      </c>
      <c r="Q15" s="62" t="e">
        <f ca="1">_xll.SNL.Clients.Office.Excel.Functions.SPG($J15, "SP_FCF_EST",Q$2, "Options: Curr=USD")/1000/$G15</f>
        <v>#NAME?</v>
      </c>
      <c r="R15" s="59" t="e" cm="1">
        <f t="array" aca="1" ref="R15" ca="1">_xll.SNL.Clients.Office.Excel.Functions.SPG($J15, "SP_PE_FWD",R$2)</f>
        <v>#NAME?</v>
      </c>
      <c r="S15" s="60" t="e" cm="1">
        <f t="array" aca="1" ref="S15" ca="1">_xll.SNL.Clients.Office.Excel.Functions.SPG($J15, "SP_PE_FWD",S$2)</f>
        <v>#NAME?</v>
      </c>
      <c r="T15" s="61" t="e" cm="1">
        <f t="array" aca="1" ref="T15" ca="1">_xll.SNL.Clients.Office.Excel.Functions.SPG($J15, "SP_PE_FWD",T$2)</f>
        <v>#NAME?</v>
      </c>
      <c r="U15" s="65" t="e" cm="1">
        <f t="array" aca="1" ref="U15" ca="1">IF((_xll.SNL.Clients.Office.Excel.Functions.SPG($J15,$U$3,U$4,"Options: Curr=USD") / _xll.SNL.Clients.Office.Excel.Functions.SPG($J15,"SP_EBITDA_EST",U$2,"Options: Curr=USD")) &lt; 0, "NM", (_xll.SNL.Clients.Office.Excel.Functions.SPG($J15,$U$3,U$4,"Options: Curr=USD") / _xll.SNL.Clients.Office.Excel.Functions.SPG($J15,"SP_EBITDA_EST",U$2,"Options: Curr=USD")))</f>
        <v>#NAME?</v>
      </c>
      <c r="V15" s="66" t="e" cm="1">
        <f t="array" aca="1" ref="V15" ca="1">_xll.SNL.Clients.Office.Excel.Functions.SPG($J15, $V$3,V$4)</f>
        <v>#NAME?</v>
      </c>
      <c r="W15" s="78" t="str">
        <f ca="1">IFERROR(0.001*AVERAGE(_xll.SNL.Clients.Office.Excel.Functions.SPG($J15,$W$4,"Ag",W$2),_xll.SNL.Clients.Office.Excel.Functions.SPG($J15,$W$3,"Ag",W$2)),"NA")</f>
        <v>NA</v>
      </c>
      <c r="X15" s="68" t="str">
        <f ca="1">IFERROR(0.001*AVERAGE(_xll.SNL.Clients.Office.Excel.Functions.SPG($J15,$W$4,"Ag",X$2),_xll.SNL.Clients.Office.Excel.Functions.SPG($J15,$W$3,"Ag",X$2)),"NA")</f>
        <v>NA</v>
      </c>
      <c r="Y15" s="79" t="str">
        <f ca="1">IFERROR(0.001*AVERAGE(_xll.SNL.Clients.Office.Excel.Functions.SPG($J15,$W$4,"Ag",Y$2),_xll.SNL.Clients.Office.Excel.Functions.SPG($J15,$W$3,"Ag",Y$2)),"NA")</f>
        <v>NA</v>
      </c>
      <c r="Z15" s="68" t="e">
        <f ca="1" xml:space="preserve"> IF(ISNUMBER(SEARCH("na",_xll.SNL.Clients.Office.Excel.Functions.SPG($J15, $Z$4, Z$2))), 0,_xll.SNL.Clients.Office.Excel.Functions.SPG($J15, $Z$4, Z$2))</f>
        <v>#NAME?</v>
      </c>
      <c r="AA15" s="68" t="e">
        <f ca="1" xml:space="preserve"> IF(ISNUMBER(SEARCH("na",_xll.SNL.Clients.Office.Excel.Functions.SPG($J15, $Z$4, AA$2))), 0,_xll.SNL.Clients.Office.Excel.Functions.SPG($J15, $Z$4, AA$2))</f>
        <v>#NAME?</v>
      </c>
      <c r="AB15" s="68" t="e">
        <f ca="1" xml:space="preserve"> IF(ISNUMBER(SEARCH("na",_xll.SNL.Clients.Office.Excel.Functions.SPG($J15, $Z$4, AB$2))), 0,_xll.SNL.Clients.Office.Excel.Functions.SPG($J15, $Z$4, AB$2))</f>
        <v>#NAME?</v>
      </c>
      <c r="AC15" s="68" t="e">
        <f ca="1" xml:space="preserve"> IF(ISNUMBER(SEARCH("na",_xll.SNL.Clients.Office.Excel.Functions.SPG($J15, $AC$4, AC$2))), 0,_xll.SNL.Clients.Office.Excel.Functions.SPG($J15, $AC$4, AC$2))</f>
        <v>#NAME?</v>
      </c>
      <c r="AD15" s="68" t="e">
        <f ca="1" xml:space="preserve"> IF(ISNUMBER(SEARCH("na",_xll.SNL.Clients.Office.Excel.Functions.SPG($J15, $AC$4, AD$2))), 0,_xll.SNL.Clients.Office.Excel.Functions.SPG($J15, $AC$4, AD$2))</f>
        <v>#NAME?</v>
      </c>
      <c r="AE15" s="68" t="e">
        <f ca="1" xml:space="preserve"> IF(ISNUMBER(SEARCH("na",_xll.SNL.Clients.Office.Excel.Functions.SPG($J15, $AC$4, AE$2))), 0,_xll.SNL.Clients.Office.Excel.Functions.SPG($J15, $AC$4, AE$2))</f>
        <v>#NAME?</v>
      </c>
      <c r="AF15" s="68" t="e">
        <f ca="1" xml:space="preserve"> IF(ISNUMBER(SEARCH("na",_xll.SNL.Clients.Office.Excel.Functions.SPG($J15, $AF$4, AF$2))), 0,_xll.SNL.Clients.Office.Excel.Functions.SPG($J15, $AF$4, AF$2))</f>
        <v>#NAME?</v>
      </c>
      <c r="AG15" s="68" t="e">
        <f ca="1" xml:space="preserve"> IF(ISNUMBER(SEARCH("na",_xll.SNL.Clients.Office.Excel.Functions.SPG($J15, $AF$4, AG$2))), 0,_xll.SNL.Clients.Office.Excel.Functions.SPG($J15, $AF$4, AG$2))</f>
        <v>#NAME?</v>
      </c>
      <c r="AH15" s="68" t="e">
        <f ca="1" xml:space="preserve"> IF(ISNUMBER(SEARCH("na",_xll.SNL.Clients.Office.Excel.Functions.SPG($J15, $AF$4, AH$2))), 0,_xll.SNL.Clients.Office.Excel.Functions.SPG($J15, $AF$4, AH$2))</f>
        <v>#NAME?</v>
      </c>
      <c r="AI15" s="68" t="e">
        <f t="shared" ref="AI15:AK18" ca="1" si="28">AC15+Z15*auprice/agprice+AF15*cuprice/agprice</f>
        <v>#NAME?</v>
      </c>
      <c r="AJ15" s="68" t="e">
        <f t="shared" ca="1" si="28"/>
        <v>#NAME?</v>
      </c>
      <c r="AK15" s="68" t="e">
        <f t="shared" ca="1" si="28"/>
        <v>#NAME?</v>
      </c>
      <c r="AL15" s="80" t="str">
        <f t="shared" ref="AL15:AN18" ca="1" si="29">IFERROR($F15/AI15*1000,"NA")</f>
        <v>NA</v>
      </c>
      <c r="AM15" s="81" t="str">
        <f t="shared" ca="1" si="29"/>
        <v>NA</v>
      </c>
      <c r="AN15" s="82" t="str">
        <f t="shared" ca="1" si="29"/>
        <v>NA</v>
      </c>
      <c r="AO15" s="68">
        <f ca="1">IFERROR(_xll.SNL.Clients.Office.Excel.Functions.SPG($J15, $AO$3, AO$2,$AO$4)/1000,0)</f>
        <v>0</v>
      </c>
      <c r="AP15" s="68">
        <f ca="1">IFERROR(_xll.SNL.Clients.Office.Excel.Functions.SPG($J15, $AO$3, AP$2,$AO$4)/1000,0)</f>
        <v>0</v>
      </c>
      <c r="AQ15" s="68">
        <f ca="1">IFERROR(_xll.SNL.Clients.Office.Excel.Functions.SPG($J15, $AR$3, AQ$2,$AO$4)/1000,0)</f>
        <v>0</v>
      </c>
      <c r="AR15" s="68">
        <f ca="1">IFERROR(_xll.SNL.Clients.Office.Excel.Functions.SPG($J15, $AR$3, AR$2,$AO$4)/1000,0)</f>
        <v>0</v>
      </c>
      <c r="AS15" s="68">
        <f ca="1">IFERROR(_xll.SNL.Clients.Office.Excel.Functions.SPG($J15, $AR$3, AS$2,$AO$4)/1000,0)</f>
        <v>0</v>
      </c>
      <c r="AT15" s="68">
        <f ca="1">IFERROR(_xll.SNL.Clients.Office.Excel.Functions.SPG($J15, $AT$3, AT$2,$AO$4)/1000,0)</f>
        <v>0</v>
      </c>
      <c r="AU15" s="68">
        <f ca="1">IFERROR(_xll.SNL.Clients.Office.Excel.Functions.SPG($J15, $AT$3, AU$2,$AO$4)/1000,0)</f>
        <v>0</v>
      </c>
      <c r="AV15" s="68">
        <f ca="1">IFERROR(_xll.SNL.Clients.Office.Excel.Functions.SPG($J15, $AW$3, AV$2,$AO$4)/1000,0)</f>
        <v>0</v>
      </c>
      <c r="AW15" s="68">
        <f ca="1">IFERROR(_xll.SNL.Clients.Office.Excel.Functions.SPG($J15, $AW$3, AW$2,$AO$4)/1000,0)</f>
        <v>0</v>
      </c>
      <c r="AX15" s="68">
        <f ca="1">IFERROR(_xll.SNL.Clients.Office.Excel.Functions.SPG($J15, $AW$3, AX$2,$AO$4)/1000,0)</f>
        <v>0</v>
      </c>
      <c r="AY15" s="68">
        <f ca="1">IFERROR(_xll.SNL.Clients.Office.Excel.Functions.SPG($J15, $AY$3, AY$2,$AO$4)/1000,0)</f>
        <v>0</v>
      </c>
      <c r="AZ15" s="68">
        <f ca="1">IFERROR(_xll.SNL.Clients.Office.Excel.Functions.SPG($J15, $AY$3, AZ$2,$AO$4)/1000,0)</f>
        <v>0</v>
      </c>
      <c r="BA15" s="68">
        <f ca="1">IFERROR(_xll.SNL.Clients.Office.Excel.Functions.SPG($J15, $BB$3, BA$2,$AO$4)/1000,0)</f>
        <v>0</v>
      </c>
      <c r="BB15" s="68">
        <f ca="1">IFERROR(_xll.SNL.Clients.Office.Excel.Functions.SPG($J15, $BB$3, BB$2,$AO$4)/1000,0)</f>
        <v>0</v>
      </c>
      <c r="BC15" s="68">
        <f ca="1">IFERROR(_xll.SNL.Clients.Office.Excel.Functions.SPG($J15, $BB$3, BC$2,$AO$4)/1000,0)</f>
        <v>0</v>
      </c>
      <c r="BD15" s="68">
        <f ca="1">AP15+AO15*auprice/agprice+AQ15*cuprice/agprice+AR15*znprice/agprice+AS15*pbprice/agprice</f>
        <v>0</v>
      </c>
      <c r="BE15" s="68">
        <f ca="1">AU15+AT15*auprice/agprice+AV15*cuprice/agprice+AW15*znprice/agprice+AX15*pbprice/agprice+BD15</f>
        <v>0</v>
      </c>
      <c r="BF15" s="68">
        <f ca="1">AZ15+AY15*auprice/agprice+BA15*cuprice/agprice+BB15*znprice/agprice+BC15*pbprice/agprice+BD15</f>
        <v>0</v>
      </c>
      <c r="BG15" s="83" t="e">
        <f t="shared" ref="BG15:BI18" ca="1" si="30">$F15*1000/BD15</f>
        <v>#NAME?</v>
      </c>
      <c r="BH15" s="74" t="e">
        <f t="shared" ca="1" si="30"/>
        <v>#NAME?</v>
      </c>
      <c r="BI15" s="84" t="e">
        <f t="shared" ca="1" si="30"/>
        <v>#NAME?</v>
      </c>
      <c r="BJ15" s="74" t="e">
        <f ca="1">_xll.SNL.Clients.Office.Excel.Functions.SPG($J15, $BJ$3, BJ$2, "Ag", "Options:Curr=USD")</f>
        <v>#NAME?</v>
      </c>
      <c r="BK15" s="74" t="e">
        <f ca="1">_xll.SNL.Clients.Office.Excel.Functions.SPG($J15, $BJ$3, BK$2, "Ag", "Options:Curr=USD")</f>
        <v>#NAME?</v>
      </c>
      <c r="BL15" s="74" t="e">
        <f ca="1">_xll.SNL.Clients.Office.Excel.Functions.SPG($J15, $BJ$3, BL$2, "Ag", "Options:Curr=USD")</f>
        <v>#NAME?</v>
      </c>
      <c r="BM15" s="84" t="e">
        <f ca="1">_xll.SNL.Clients.Office.Excel.Functions.SPG($J15, $BJ$3, BM$2, "Ag", "Options:Curr=USD")</f>
        <v>#NAME?</v>
      </c>
      <c r="BN15" s="74" t="str">
        <f ca="1">IFERROR(AVERAGE(_xll.SNL.Clients.Office.Excel.Functions.SPG($J15,$BM$4,"Ag",BN$2),_xll.SNL.Clients.Office.Excel.Functions.SPG($J15,$BM$3,"Ag",BN$2)),"NA")</f>
        <v>NA</v>
      </c>
      <c r="BO15" s="84" t="str">
        <f ca="1">IFERROR(AVERAGE(_xll.SNL.Clients.Office.Excel.Functions.SPG($J15,$BM$4,"Ag",BO$2),_xll.SNL.Clients.Office.Excel.Functions.SPG($J15,$BM$3,"Ag",BO$2)),"NA")</f>
        <v>NA</v>
      </c>
      <c r="BP15" s="74" t="e">
        <f ca="1">_xll.SNL.Clients.Office.Excel.Functions.SPG($J15, $BP$3, BP$2, "Ag", "Options:Curr=USD")</f>
        <v>#NAME?</v>
      </c>
      <c r="BQ15" s="74" t="e">
        <f ca="1">_xll.SNL.Clients.Office.Excel.Functions.SPG($J15, $BP$3, BQ$2, "Ag", "Options:Curr=USD")</f>
        <v>#NAME?</v>
      </c>
      <c r="BR15" s="84" t="e">
        <f ca="1">_xll.SNL.Clients.Office.Excel.Functions.SPG($J15, $BP$3, BR$2, "Ag", "Options:Curr=USD")</f>
        <v>#NAME?</v>
      </c>
      <c r="BS15" s="74" t="str">
        <f ca="1">IFERROR(AVERAGE(_xll.SNL.Clients.Office.Excel.Functions.SPG($J15,$BS$4,"Ag",BS$2, "Options:Curr=USD"),_xll.SNL.Clients.Office.Excel.Functions.SPG($J15,$BS$3,"Ag",BS$2, "Options:Curr=USD")),"NA")</f>
        <v>NA</v>
      </c>
      <c r="BT15" s="74" t="str">
        <f ca="1">IFERROR(AVERAGE(_xll.SNL.Clients.Office.Excel.Functions.SPG($J15,$BS$4,"Ag",BT$2, "Options:Curr=USD"),_xll.SNL.Clients.Office.Excel.Functions.SPG($J15,$BS$3,"Ag",BT$2, "Options:Curr=USD")),"NA")</f>
        <v>NA</v>
      </c>
      <c r="BU15" s="84" t="str">
        <f ca="1">IFERROR(AVERAGE(_xll.SNL.Clients.Office.Excel.Functions.SPG($J15,$BS$4,"Ag",BU$2, "Options:Curr=USD"),_xll.SNL.Clients.Office.Excel.Functions.SPG($J15,$BS$3,"Ag",BU$2, "Options:Curr=USD")),"NA")</f>
        <v>NA</v>
      </c>
      <c r="BW15" s="77" t="s">
        <v>85</v>
      </c>
      <c r="BX15" s="77"/>
      <c r="BY15" s="34" t="s">
        <v>86</v>
      </c>
      <c r="BZ15" s="34"/>
    </row>
    <row r="16" spans="1:78" ht="13.8" x14ac:dyDescent="0.25">
      <c r="A16" s="54" t="e">
        <f ca="1">_xll.SNL.Clients.Office.Excel.Functions.SPG($J16, A$3)</f>
        <v>#NAME?</v>
      </c>
      <c r="B16" s="54" t="e">
        <f ca="1">_xll.BDP($I16,B$3)</f>
        <v>#NAME?</v>
      </c>
      <c r="C16" s="54" t="e">
        <f ca="1">_xll.BDP($I16,C$3)</f>
        <v>#NAME?</v>
      </c>
      <c r="D16" s="55" t="s">
        <v>115</v>
      </c>
      <c r="E16" s="55" t="s">
        <v>92</v>
      </c>
      <c r="F16" s="56" t="e">
        <f ca="1">_xll.SNL.Clients.Office.Excel.Functions.SPG($J16, "IQ_TEV", "Options: Curr=USD")</f>
        <v>#NAME?</v>
      </c>
      <c r="G16" s="56" t="e">
        <f ca="1">_xll.SNL.Clients.Office.Excel.Functions.SPG($J16, "SP_MARKETCAP", "Options: Curr=USD")</f>
        <v>#NAME?</v>
      </c>
      <c r="H16" s="57" t="s">
        <v>119</v>
      </c>
      <c r="I16" s="14" t="s">
        <v>120</v>
      </c>
      <c r="J16" s="2" t="s">
        <v>121</v>
      </c>
      <c r="K16" s="58" t="e" cm="1">
        <f t="array" aca="1" ref="K16" ca="1">_xll.SNL.Clients.Office.Excel.Functions.SPG($J16, $K$3)/100</f>
        <v>#NAME?</v>
      </c>
      <c r="L16" s="59" t="e" cm="1">
        <f t="array" aca="1" ref="L16" ca="1">_xll.SNL.Clients.Office.Excel.Functions.SPG($J16, "SP_PCFPS_FWD",L$2)</f>
        <v>#NAME?</v>
      </c>
      <c r="M16" s="60" t="e" cm="1">
        <f t="array" aca="1" ref="M16" ca="1">_xll.SNL.Clients.Office.Excel.Functions.SPG($J16, "SP_PCFPS_FWD",M$2)</f>
        <v>#NAME?</v>
      </c>
      <c r="N16" s="61" t="e" cm="1">
        <f t="array" aca="1" ref="N16" ca="1">_xll.SNL.Clients.Office.Excel.Functions.SPG($J16, "SP_PCFPS_FWD",N$2)</f>
        <v>#NAME?</v>
      </c>
      <c r="O16" s="62" t="e">
        <f ca="1">_xll.SNL.Clients.Office.Excel.Functions.SPG($J16, "SP_FCF_EST",O$2, "Options: Curr=USD")/1000/$G16</f>
        <v>#NAME?</v>
      </c>
      <c r="P16" s="62" t="e">
        <f ca="1">_xll.SNL.Clients.Office.Excel.Functions.SPG($J16, "SP_FCF_EST",P$2, "Options: Curr=USD")/1000/$G16</f>
        <v>#NAME?</v>
      </c>
      <c r="Q16" s="62" t="e">
        <f ca="1">_xll.SNL.Clients.Office.Excel.Functions.SPG($J16, "SP_FCF_EST",Q$2, "Options: Curr=USD")/1000/$G16</f>
        <v>#NAME?</v>
      </c>
      <c r="R16" s="59" t="e" cm="1">
        <f t="array" aca="1" ref="R16" ca="1">_xll.SNL.Clients.Office.Excel.Functions.SPG($J16, "SP_PE_FWD",R$2)</f>
        <v>#NAME?</v>
      </c>
      <c r="S16" s="60" t="e" cm="1">
        <f t="array" aca="1" ref="S16" ca="1">_xll.SNL.Clients.Office.Excel.Functions.SPG($J16, "SP_PE_FWD",S$2)</f>
        <v>#NAME?</v>
      </c>
      <c r="T16" s="61" t="e" cm="1">
        <f t="array" aca="1" ref="T16" ca="1">_xll.SNL.Clients.Office.Excel.Functions.SPG($J16, "SP_PE_FWD",T$2)</f>
        <v>#NAME?</v>
      </c>
      <c r="U16" s="65" t="e" cm="1">
        <f t="array" aca="1" ref="U16" ca="1">IF((_xll.SNL.Clients.Office.Excel.Functions.SPG($J16,$U$3,U$4,"Options: Curr=USD") / _xll.SNL.Clients.Office.Excel.Functions.SPG($J16,"SP_EBITDA_EST",U$2,"Options: Curr=USD")) &lt; 0, "NM", (_xll.SNL.Clients.Office.Excel.Functions.SPG($J16,$U$3,U$4,"Options: Curr=USD") / _xll.SNL.Clients.Office.Excel.Functions.SPG($J16,"SP_EBITDA_EST",U$2,"Options: Curr=USD")))</f>
        <v>#NAME?</v>
      </c>
      <c r="V16" s="66" t="e" cm="1">
        <f t="array" aca="1" ref="V16" ca="1">_xll.SNL.Clients.Office.Excel.Functions.SPG($J16, $V$3,V$4)</f>
        <v>#NAME?</v>
      </c>
      <c r="W16" s="78" t="str">
        <f ca="1">IFERROR(0.001*AVERAGE(_xll.SNL.Clients.Office.Excel.Functions.SPG($J16,$W$4,"Ag",W$2),_xll.SNL.Clients.Office.Excel.Functions.SPG($J16,$W$3,"Ag",W$2)),"NA")</f>
        <v>NA</v>
      </c>
      <c r="X16" s="68" t="str">
        <f ca="1">IFERROR(0.001*AVERAGE(_xll.SNL.Clients.Office.Excel.Functions.SPG($J16,$W$4,"Ag",X$2),_xll.SNL.Clients.Office.Excel.Functions.SPG($J16,$W$3,"Ag",X$2)),"NA")</f>
        <v>NA</v>
      </c>
      <c r="Y16" s="79" t="str">
        <f ca="1">IFERROR(0.001*AVERAGE(_xll.SNL.Clients.Office.Excel.Functions.SPG($J16,$W$4,"Ag",Y$2),_xll.SNL.Clients.Office.Excel.Functions.SPG($J16,$W$3,"Ag",Y$2)),"NA")</f>
        <v>NA</v>
      </c>
      <c r="Z16" s="68" t="e">
        <f ca="1" xml:space="preserve"> IF(ISNUMBER(SEARCH("na",_xll.SNL.Clients.Office.Excel.Functions.SPG($J16, $Z$4, Z$2))), 0,_xll.SNL.Clients.Office.Excel.Functions.SPG($J16, $Z$4, Z$2))</f>
        <v>#NAME?</v>
      </c>
      <c r="AA16" s="68" t="e">
        <f ca="1" xml:space="preserve"> IF(ISNUMBER(SEARCH("na",_xll.SNL.Clients.Office.Excel.Functions.SPG($J16, $Z$4, AA$2))), 0,_xll.SNL.Clients.Office.Excel.Functions.SPG($J16, $Z$4, AA$2))</f>
        <v>#NAME?</v>
      </c>
      <c r="AB16" s="68" t="e">
        <f ca="1" xml:space="preserve"> IF(ISNUMBER(SEARCH("na",_xll.SNL.Clients.Office.Excel.Functions.SPG($J16, $Z$4, AB$2))), 0,_xll.SNL.Clients.Office.Excel.Functions.SPG($J16, $Z$4, AB$2))</f>
        <v>#NAME?</v>
      </c>
      <c r="AC16" s="68" t="e">
        <f ca="1" xml:space="preserve"> IF(ISNUMBER(SEARCH("na",_xll.SNL.Clients.Office.Excel.Functions.SPG($J16, $AC$4, AC$2))), 0,_xll.SNL.Clients.Office.Excel.Functions.SPG($J16, $AC$4, AC$2))</f>
        <v>#NAME?</v>
      </c>
      <c r="AD16" s="68" t="e">
        <f ca="1" xml:space="preserve"> IF(ISNUMBER(SEARCH("na",_xll.SNL.Clients.Office.Excel.Functions.SPG($J16, $AC$4, AD$2))), 0,_xll.SNL.Clients.Office.Excel.Functions.SPG($J16, $AC$4, AD$2))</f>
        <v>#NAME?</v>
      </c>
      <c r="AE16" s="68" t="e">
        <f ca="1" xml:space="preserve"> IF(ISNUMBER(SEARCH("na",_xll.SNL.Clients.Office.Excel.Functions.SPG($J16, $AC$4, AE$2))), 0,_xll.SNL.Clients.Office.Excel.Functions.SPG($J16, $AC$4, AE$2))</f>
        <v>#NAME?</v>
      </c>
      <c r="AF16" s="68" t="e">
        <f ca="1" xml:space="preserve"> IF(ISNUMBER(SEARCH("na",_xll.SNL.Clients.Office.Excel.Functions.SPG($J16, $AF$4, AF$2))), 0,_xll.SNL.Clients.Office.Excel.Functions.SPG($J16, $AF$4, AF$2))</f>
        <v>#NAME?</v>
      </c>
      <c r="AG16" s="68" t="e">
        <f ca="1" xml:space="preserve"> IF(ISNUMBER(SEARCH("na",_xll.SNL.Clients.Office.Excel.Functions.SPG($J16, $AF$4, AG$2))), 0,_xll.SNL.Clients.Office.Excel.Functions.SPG($J16, $AF$4, AG$2))</f>
        <v>#NAME?</v>
      </c>
      <c r="AH16" s="68" t="e">
        <f ca="1" xml:space="preserve"> IF(ISNUMBER(SEARCH("na",_xll.SNL.Clients.Office.Excel.Functions.SPG($J16, $AF$4, AH$2))), 0,_xll.SNL.Clients.Office.Excel.Functions.SPG($J16, $AF$4, AH$2))</f>
        <v>#NAME?</v>
      </c>
      <c r="AI16" s="68" t="e">
        <f t="shared" ref="AI16:AK19" ca="1" si="31">AC16+Z16*auprice/agprice+AF16*cuprice/agprice</f>
        <v>#NAME?</v>
      </c>
      <c r="AJ16" s="68" t="e">
        <f t="shared" ca="1" si="31"/>
        <v>#NAME?</v>
      </c>
      <c r="AK16" s="68" t="e">
        <f t="shared" ca="1" si="31"/>
        <v>#NAME?</v>
      </c>
      <c r="AL16" s="80" t="str">
        <f t="shared" ca="1" si="29"/>
        <v>NA</v>
      </c>
      <c r="AM16" s="81" t="str">
        <f t="shared" ca="1" si="29"/>
        <v>NA</v>
      </c>
      <c r="AN16" s="82" t="str">
        <f t="shared" ca="1" si="29"/>
        <v>NA</v>
      </c>
      <c r="AO16" s="68">
        <f ca="1">IFERROR(_xll.SNL.Clients.Office.Excel.Functions.SPG($J16, $AO$3, AO$2,$AO$4)/1000,0)</f>
        <v>0</v>
      </c>
      <c r="AP16" s="68">
        <f ca="1">IFERROR(_xll.SNL.Clients.Office.Excel.Functions.SPG($J16, $AO$3, AP$2,$AO$4)/1000,0)</f>
        <v>0</v>
      </c>
      <c r="AQ16" s="68">
        <f ca="1">IFERROR(_xll.SNL.Clients.Office.Excel.Functions.SPG($J16, $AR$3, AQ$2,$AO$4)/1000,0)</f>
        <v>0</v>
      </c>
      <c r="AR16" s="68">
        <f ca="1">IFERROR(_xll.SNL.Clients.Office.Excel.Functions.SPG($J16, $AR$3, AR$2,$AO$4)/1000,0)</f>
        <v>0</v>
      </c>
      <c r="AS16" s="68">
        <f ca="1">IFERROR(_xll.SNL.Clients.Office.Excel.Functions.SPG($J16, $AR$3, AS$2,$AO$4)/1000,0)</f>
        <v>0</v>
      </c>
      <c r="AT16" s="68">
        <f ca="1">IFERROR(_xll.SNL.Clients.Office.Excel.Functions.SPG($J16, $AT$3, AT$2,$AO$4)/1000,0)</f>
        <v>0</v>
      </c>
      <c r="AU16" s="68">
        <f ca="1">IFERROR(_xll.SNL.Clients.Office.Excel.Functions.SPG($J16, $AT$3, AU$2,$AO$4)/1000,0)</f>
        <v>0</v>
      </c>
      <c r="AV16" s="68">
        <f ca="1">IFERROR(_xll.SNL.Clients.Office.Excel.Functions.SPG($J16, $AW$3, AV$2,$AO$4)/1000,0)</f>
        <v>0</v>
      </c>
      <c r="AW16" s="68">
        <f ca="1">IFERROR(_xll.SNL.Clients.Office.Excel.Functions.SPG($J16, $AW$3, AW$2,$AO$4)/1000,0)</f>
        <v>0</v>
      </c>
      <c r="AX16" s="68">
        <f ca="1">IFERROR(_xll.SNL.Clients.Office.Excel.Functions.SPG($J16, $AW$3, AX$2,$AO$4)/1000,0)</f>
        <v>0</v>
      </c>
      <c r="AY16" s="68">
        <f ca="1">IFERROR(_xll.SNL.Clients.Office.Excel.Functions.SPG($J16, $AY$3, AY$2,$AO$4)/1000,0)</f>
        <v>0</v>
      </c>
      <c r="AZ16" s="68">
        <f ca="1">IFERROR(_xll.SNL.Clients.Office.Excel.Functions.SPG($J16, $AY$3, AZ$2,$AO$4)/1000,0)</f>
        <v>0</v>
      </c>
      <c r="BA16" s="68">
        <f ca="1">IFERROR(_xll.SNL.Clients.Office.Excel.Functions.SPG($J16, $BB$3, BA$2,$AO$4)/1000,0)</f>
        <v>0</v>
      </c>
      <c r="BB16" s="68">
        <f ca="1">IFERROR(_xll.SNL.Clients.Office.Excel.Functions.SPG($J16, $BB$3, BB$2,$AO$4)/1000,0)</f>
        <v>0</v>
      </c>
      <c r="BC16" s="68">
        <f ca="1">IFERROR(_xll.SNL.Clients.Office.Excel.Functions.SPG($J16, $BB$3, BC$2,$AO$4)/1000,0)</f>
        <v>0</v>
      </c>
      <c r="BD16" s="68">
        <f ca="1">AP16+AO16*auprice/agprice+AQ16*cuprice/agprice+AR16*znprice/agprice+AS16*pbprice/agprice</f>
        <v>0</v>
      </c>
      <c r="BE16" s="68">
        <f ca="1">AU16+AT16*auprice/agprice+AV16*cuprice/agprice+AW16*znprice/agprice+AX16*pbprice/agprice+BD16</f>
        <v>0</v>
      </c>
      <c r="BF16" s="68">
        <f ca="1">AZ16+AY16*auprice/agprice+BA16*cuprice/agprice+BB16*znprice/agprice+BC16*pbprice/agprice+BD16</f>
        <v>0</v>
      </c>
      <c r="BG16" s="83" t="e">
        <f t="shared" ca="1" si="30"/>
        <v>#NAME?</v>
      </c>
      <c r="BH16" s="74" t="e">
        <f t="shared" ca="1" si="30"/>
        <v>#NAME?</v>
      </c>
      <c r="BI16" s="84" t="e">
        <f t="shared" ca="1" si="30"/>
        <v>#NAME?</v>
      </c>
      <c r="BJ16" s="74" t="e">
        <f ca="1">_xll.SNL.Clients.Office.Excel.Functions.SPG($J16, $BJ$3, BJ$2, "Ag", "Options:Curr=USD")</f>
        <v>#NAME?</v>
      </c>
      <c r="BK16" s="74" t="e">
        <f ca="1">_xll.SNL.Clients.Office.Excel.Functions.SPG($J16, $BJ$3, BK$2, "Ag", "Options:Curr=USD")</f>
        <v>#NAME?</v>
      </c>
      <c r="BL16" s="74" t="e">
        <f ca="1">_xll.SNL.Clients.Office.Excel.Functions.SPG($J16, $BJ$3, BL$2, "Ag", "Options:Curr=USD")</f>
        <v>#NAME?</v>
      </c>
      <c r="BM16" s="84" t="e">
        <f ca="1">_xll.SNL.Clients.Office.Excel.Functions.SPG($J16, $BJ$3, BM$2, "Ag", "Options:Curr=USD")</f>
        <v>#NAME?</v>
      </c>
      <c r="BN16" s="74" t="str">
        <f ca="1">IFERROR(AVERAGE(_xll.SNL.Clients.Office.Excel.Functions.SPG($J16,$BM$4,"Ag",BN$2),_xll.SNL.Clients.Office.Excel.Functions.SPG($J16,$BM$3,"Ag",BN$2)),"NA")</f>
        <v>NA</v>
      </c>
      <c r="BO16" s="84" t="str">
        <f ca="1">IFERROR(AVERAGE(_xll.SNL.Clients.Office.Excel.Functions.SPG($J16,$BM$4,"Ag",BO$2),_xll.SNL.Clients.Office.Excel.Functions.SPG($J16,$BM$3,"Ag",BO$2)),"NA")</f>
        <v>NA</v>
      </c>
      <c r="BP16" s="74" t="e">
        <f ca="1">_xll.SNL.Clients.Office.Excel.Functions.SPG($J16, $BP$3, BP$2, "Ag", "Options:Curr=USD")</f>
        <v>#NAME?</v>
      </c>
      <c r="BQ16" s="74" t="e">
        <f ca="1">_xll.SNL.Clients.Office.Excel.Functions.SPG($J16, $BP$3, BQ$2, "Ag", "Options:Curr=USD")</f>
        <v>#NAME?</v>
      </c>
      <c r="BR16" s="84" t="e">
        <f ca="1">_xll.SNL.Clients.Office.Excel.Functions.SPG($J16, $BP$3, BR$2, "Ag", "Options:Curr=USD")</f>
        <v>#NAME?</v>
      </c>
      <c r="BS16" s="74" t="str">
        <f ca="1">IFERROR(AVERAGE(_xll.SNL.Clients.Office.Excel.Functions.SPG($J16,$BS$4,"Ag",BS$2, "Options:Curr=USD"),_xll.SNL.Clients.Office.Excel.Functions.SPG($J16,$BS$3,"Ag",BS$2, "Options:Curr=USD")),"NA")</f>
        <v>NA</v>
      </c>
      <c r="BT16" s="74" t="str">
        <f ca="1">IFERROR(AVERAGE(_xll.SNL.Clients.Office.Excel.Functions.SPG($J16,$BS$4,"Ag",BT$2, "Options:Curr=USD"),_xll.SNL.Clients.Office.Excel.Functions.SPG($J16,$BS$3,"Ag",BT$2, "Options:Curr=USD")),"NA")</f>
        <v>NA</v>
      </c>
      <c r="BU16" s="84" t="str">
        <f ca="1">IFERROR(AVERAGE(_xll.SNL.Clients.Office.Excel.Functions.SPG($J16,$BS$4,"Ag",BU$2, "Options:Curr=USD"),_xll.SNL.Clients.Office.Excel.Functions.SPG($J16,$BS$3,"Ag",BU$2, "Options:Curr=USD")),"NA")</f>
        <v>NA</v>
      </c>
      <c r="BW16" s="77" t="s">
        <v>85</v>
      </c>
      <c r="BX16" s="77"/>
      <c r="BY16" s="34" t="s">
        <v>86</v>
      </c>
      <c r="BZ16" s="34"/>
    </row>
    <row r="17" spans="1:78" ht="13.8" x14ac:dyDescent="0.25">
      <c r="A17" s="54" t="e">
        <f ca="1">_xll.SNL.Clients.Office.Excel.Functions.SPG($J17, A$3)</f>
        <v>#NAME?</v>
      </c>
      <c r="B17" s="54" t="e">
        <f ca="1">_xll.BDP($I17,B$3)</f>
        <v>#NAME?</v>
      </c>
      <c r="C17" s="54" t="e">
        <f ca="1">_xll.BDP($I17,C$3)</f>
        <v>#NAME?</v>
      </c>
      <c r="D17" s="55" t="s">
        <v>115</v>
      </c>
      <c r="E17" s="55" t="s">
        <v>92</v>
      </c>
      <c r="F17" s="56" t="e">
        <f ca="1">_xll.SNL.Clients.Office.Excel.Functions.SPG($J17, "IQ_TEV", "Options: Curr=USD")</f>
        <v>#NAME?</v>
      </c>
      <c r="G17" s="56" t="e">
        <f ca="1">_xll.SNL.Clients.Office.Excel.Functions.SPG($J17, "SP_MARKETCAP", "Options: Curr=USD")</f>
        <v>#NAME?</v>
      </c>
      <c r="H17" s="57" t="s">
        <v>122</v>
      </c>
      <c r="I17" s="14" t="s">
        <v>123</v>
      </c>
      <c r="J17" s="2" t="s">
        <v>124</v>
      </c>
      <c r="K17" s="58" t="e" cm="1">
        <f t="array" aca="1" ref="K17" ca="1">_xll.SNL.Clients.Office.Excel.Functions.SPG($J17, $K$3)/100</f>
        <v>#NAME?</v>
      </c>
      <c r="L17" s="59" t="e" cm="1">
        <f t="array" aca="1" ref="L17" ca="1">_xll.SNL.Clients.Office.Excel.Functions.SPG($J17, "SP_PCFPS_FWD",L$2)</f>
        <v>#NAME?</v>
      </c>
      <c r="M17" s="60" t="e" cm="1">
        <f t="array" aca="1" ref="M17" ca="1">_xll.SNL.Clients.Office.Excel.Functions.SPG($J17, "SP_PCFPS_FWD",M$2)</f>
        <v>#NAME?</v>
      </c>
      <c r="N17" s="61" t="e" cm="1">
        <f t="array" aca="1" ref="N17" ca="1">_xll.SNL.Clients.Office.Excel.Functions.SPG($J17, "SP_PCFPS_FWD",N$2)</f>
        <v>#NAME?</v>
      </c>
      <c r="O17" s="62" t="e">
        <f ca="1">_xll.SNL.Clients.Office.Excel.Functions.SPG($J17, "SP_FCF_EST",O$2, "Options: Curr=USD")/1000/$G17</f>
        <v>#NAME?</v>
      </c>
      <c r="P17" s="62" t="e">
        <f ca="1">_xll.SNL.Clients.Office.Excel.Functions.SPG($J17, "SP_FCF_EST",P$2, "Options: Curr=USD")/1000/$G17</f>
        <v>#NAME?</v>
      </c>
      <c r="Q17" s="62" t="e">
        <f ca="1">_xll.SNL.Clients.Office.Excel.Functions.SPG($J17, "SP_FCF_EST",Q$2, "Options: Curr=USD")/1000/$G17</f>
        <v>#NAME?</v>
      </c>
      <c r="R17" s="59" t="e" cm="1">
        <f t="array" aca="1" ref="R17" ca="1">_xll.SNL.Clients.Office.Excel.Functions.SPG($J17, "SP_PE_FWD",R$2)</f>
        <v>#NAME?</v>
      </c>
      <c r="S17" s="60" t="e" cm="1">
        <f t="array" aca="1" ref="S17" ca="1">_xll.SNL.Clients.Office.Excel.Functions.SPG($J17, "SP_PE_FWD",S$2)</f>
        <v>#NAME?</v>
      </c>
      <c r="T17" s="61" t="e" cm="1">
        <f t="array" aca="1" ref="T17" ca="1">_xll.SNL.Clients.Office.Excel.Functions.SPG($J17, "SP_PE_FWD",T$2)</f>
        <v>#NAME?</v>
      </c>
      <c r="U17" s="65" t="e" cm="1">
        <f t="array" aca="1" ref="U17" ca="1">IF((_xll.SNL.Clients.Office.Excel.Functions.SPG($J17,$U$3,U$4,"Options: Curr=USD") / _xll.SNL.Clients.Office.Excel.Functions.SPG($J17,"SP_EBITDA_EST",U$2,"Options: Curr=USD")) &lt; 0, "NM", (_xll.SNL.Clients.Office.Excel.Functions.SPG($J17,$U$3,U$4,"Options: Curr=USD") / _xll.SNL.Clients.Office.Excel.Functions.SPG($J17,"SP_EBITDA_EST",U$2,"Options: Curr=USD")))</f>
        <v>#NAME?</v>
      </c>
      <c r="V17" s="66" t="e" cm="1">
        <f t="array" aca="1" ref="V17" ca="1">_xll.SNL.Clients.Office.Excel.Functions.SPG($J17, $V$3,V$4)</f>
        <v>#NAME?</v>
      </c>
      <c r="W17" s="78" t="str">
        <f ca="1">IFERROR(0.001*AVERAGE(_xll.SNL.Clients.Office.Excel.Functions.SPG($J17,$W$4,"Ag",W$2),_xll.SNL.Clients.Office.Excel.Functions.SPG($J17,$W$3,"Ag",W$2)),"NA")</f>
        <v>NA</v>
      </c>
      <c r="X17" s="68" t="str">
        <f ca="1">IFERROR(0.001*AVERAGE(_xll.SNL.Clients.Office.Excel.Functions.SPG($J17,$W$4,"Ag",X$2),_xll.SNL.Clients.Office.Excel.Functions.SPG($J17,$W$3,"Ag",X$2)),"NA")</f>
        <v>NA</v>
      </c>
      <c r="Y17" s="79" t="str">
        <f ca="1">IFERROR(0.001*AVERAGE(_xll.SNL.Clients.Office.Excel.Functions.SPG($J17,$W$4,"Ag",Y$2),_xll.SNL.Clients.Office.Excel.Functions.SPG($J17,$W$3,"Ag",Y$2)),"NA")</f>
        <v>NA</v>
      </c>
      <c r="Z17" s="68" t="e">
        <f ca="1" xml:space="preserve"> IF(ISNUMBER(SEARCH("na",_xll.SNL.Clients.Office.Excel.Functions.SPG($J17, $Z$4, Z$2))), 0,_xll.SNL.Clients.Office.Excel.Functions.SPG($J17, $Z$4, Z$2))</f>
        <v>#NAME?</v>
      </c>
      <c r="AA17" s="68" t="e">
        <f ca="1" xml:space="preserve"> IF(ISNUMBER(SEARCH("na",_xll.SNL.Clients.Office.Excel.Functions.SPG($J17, $Z$4, AA$2))), 0,_xll.SNL.Clients.Office.Excel.Functions.SPG($J17, $Z$4, AA$2))</f>
        <v>#NAME?</v>
      </c>
      <c r="AB17" s="68" t="e">
        <f ca="1" xml:space="preserve"> IF(ISNUMBER(SEARCH("na",_xll.SNL.Clients.Office.Excel.Functions.SPG($J17, $Z$4, AB$2))), 0,_xll.SNL.Clients.Office.Excel.Functions.SPG($J17, $Z$4, AB$2))</f>
        <v>#NAME?</v>
      </c>
      <c r="AC17" s="68" t="e">
        <f ca="1" xml:space="preserve"> IF(ISNUMBER(SEARCH("na",_xll.SNL.Clients.Office.Excel.Functions.SPG($J17, $AC$4, AC$2))), 0,_xll.SNL.Clients.Office.Excel.Functions.SPG($J17, $AC$4, AC$2))</f>
        <v>#NAME?</v>
      </c>
      <c r="AD17" s="68" t="e">
        <f ca="1" xml:space="preserve"> IF(ISNUMBER(SEARCH("na",_xll.SNL.Clients.Office.Excel.Functions.SPG($J17, $AC$4, AD$2))), 0,_xll.SNL.Clients.Office.Excel.Functions.SPG($J17, $AC$4, AD$2))</f>
        <v>#NAME?</v>
      </c>
      <c r="AE17" s="68" t="e">
        <f ca="1" xml:space="preserve"> IF(ISNUMBER(SEARCH("na",_xll.SNL.Clients.Office.Excel.Functions.SPG($J17, $AC$4, AE$2))), 0,_xll.SNL.Clients.Office.Excel.Functions.SPG($J17, $AC$4, AE$2))</f>
        <v>#NAME?</v>
      </c>
      <c r="AF17" s="68" t="e">
        <f ca="1" xml:space="preserve"> IF(ISNUMBER(SEARCH("na",_xll.SNL.Clients.Office.Excel.Functions.SPG($J17, $AF$4, AF$2))), 0,_xll.SNL.Clients.Office.Excel.Functions.SPG($J17, $AF$4, AF$2))</f>
        <v>#NAME?</v>
      </c>
      <c r="AG17" s="68" t="e">
        <f ca="1" xml:space="preserve"> IF(ISNUMBER(SEARCH("na",_xll.SNL.Clients.Office.Excel.Functions.SPG($J17, $AF$4, AG$2))), 0,_xll.SNL.Clients.Office.Excel.Functions.SPG($J17, $AF$4, AG$2))</f>
        <v>#NAME?</v>
      </c>
      <c r="AH17" s="68" t="e">
        <f ca="1" xml:space="preserve"> IF(ISNUMBER(SEARCH("na",_xll.SNL.Clients.Office.Excel.Functions.SPG($J17, $AF$4, AH$2))), 0,_xll.SNL.Clients.Office.Excel.Functions.SPG($J17, $AF$4, AH$2))</f>
        <v>#NAME?</v>
      </c>
      <c r="AI17" s="68" t="e">
        <f t="shared" ref="AI17:AK20" ca="1" si="32">AC17+Z17*auprice/agprice+AF17*cuprice/agprice</f>
        <v>#NAME?</v>
      </c>
      <c r="AJ17" s="68" t="e">
        <f t="shared" ca="1" si="32"/>
        <v>#NAME?</v>
      </c>
      <c r="AK17" s="68" t="e">
        <f t="shared" ca="1" si="32"/>
        <v>#NAME?</v>
      </c>
      <c r="AL17" s="80" t="str">
        <f t="shared" ca="1" si="29"/>
        <v>NA</v>
      </c>
      <c r="AM17" s="81" t="str">
        <f t="shared" ca="1" si="29"/>
        <v>NA</v>
      </c>
      <c r="AN17" s="82" t="str">
        <f t="shared" ca="1" si="29"/>
        <v>NA</v>
      </c>
      <c r="AO17" s="68">
        <f ca="1">IFERROR(_xll.SNL.Clients.Office.Excel.Functions.SPG($J17, $AO$3, AO$2,$AO$4)/1000,0)</f>
        <v>0</v>
      </c>
      <c r="AP17" s="68">
        <f ca="1">IFERROR(_xll.SNL.Clients.Office.Excel.Functions.SPG($J17, $AO$3, AP$2,$AO$4)/1000,0)</f>
        <v>0</v>
      </c>
      <c r="AQ17" s="68">
        <f ca="1">IFERROR(_xll.SNL.Clients.Office.Excel.Functions.SPG($J17, $AR$3, AQ$2,$AO$4)/1000,0)</f>
        <v>0</v>
      </c>
      <c r="AR17" s="68">
        <f ca="1">IFERROR(_xll.SNL.Clients.Office.Excel.Functions.SPG($J17, $AR$3, AR$2,$AO$4)/1000,0)</f>
        <v>0</v>
      </c>
      <c r="AS17" s="68">
        <f ca="1">IFERROR(_xll.SNL.Clients.Office.Excel.Functions.SPG($J17, $AR$3, AS$2,$AO$4)/1000,0)</f>
        <v>0</v>
      </c>
      <c r="AT17" s="68">
        <f ca="1">IFERROR(_xll.SNL.Clients.Office.Excel.Functions.SPG($J17, $AT$3, AT$2,$AO$4)/1000,0)</f>
        <v>0</v>
      </c>
      <c r="AU17" s="68">
        <f ca="1">IFERROR(_xll.SNL.Clients.Office.Excel.Functions.SPG($J17, $AT$3, AU$2,$AO$4)/1000,0)</f>
        <v>0</v>
      </c>
      <c r="AV17" s="68">
        <f ca="1">IFERROR(_xll.SNL.Clients.Office.Excel.Functions.SPG($J17, $AW$3, AV$2,$AO$4)/1000,0)</f>
        <v>0</v>
      </c>
      <c r="AW17" s="68">
        <f ca="1">IFERROR(_xll.SNL.Clients.Office.Excel.Functions.SPG($J17, $AW$3, AW$2,$AO$4)/1000,0)</f>
        <v>0</v>
      </c>
      <c r="AX17" s="68">
        <f ca="1">IFERROR(_xll.SNL.Clients.Office.Excel.Functions.SPG($J17, $AW$3, AX$2,$AO$4)/1000,0)</f>
        <v>0</v>
      </c>
      <c r="AY17" s="68">
        <f ca="1">IFERROR(_xll.SNL.Clients.Office.Excel.Functions.SPG($J17, $AY$3, AY$2,$AO$4)/1000,0)</f>
        <v>0</v>
      </c>
      <c r="AZ17" s="68">
        <f ca="1">IFERROR(_xll.SNL.Clients.Office.Excel.Functions.SPG($J17, $AY$3, AZ$2,$AO$4)/1000,0)</f>
        <v>0</v>
      </c>
      <c r="BA17" s="68">
        <f ca="1">IFERROR(_xll.SNL.Clients.Office.Excel.Functions.SPG($J17, $BB$3, BA$2,$AO$4)/1000,0)</f>
        <v>0</v>
      </c>
      <c r="BB17" s="68">
        <f ca="1">IFERROR(_xll.SNL.Clients.Office.Excel.Functions.SPG($J17, $BB$3, BB$2,$AO$4)/1000,0)</f>
        <v>0</v>
      </c>
      <c r="BC17" s="68">
        <f ca="1">IFERROR(_xll.SNL.Clients.Office.Excel.Functions.SPG($J17, $BB$3, BC$2,$AO$4)/1000,0)</f>
        <v>0</v>
      </c>
      <c r="BD17" s="68">
        <f ca="1">AP17+AO17*auprice/agprice+AQ17*cuprice/agprice+AR17*znprice/agprice+AS17*pbprice/agprice</f>
        <v>0</v>
      </c>
      <c r="BE17" s="68">
        <f ca="1">AU17+AT17*auprice/agprice+AV17*cuprice/agprice+AW17*znprice/agprice+AX17*pbprice/agprice+BD17</f>
        <v>0</v>
      </c>
      <c r="BF17" s="68">
        <f ca="1">AZ17+AY17*auprice/agprice+BA17*cuprice/agprice+BB17*znprice/agprice+BC17*pbprice/agprice+BD17</f>
        <v>0</v>
      </c>
      <c r="BG17" s="83" t="e">
        <f t="shared" ca="1" si="30"/>
        <v>#NAME?</v>
      </c>
      <c r="BH17" s="74" t="e">
        <f t="shared" ca="1" si="30"/>
        <v>#NAME?</v>
      </c>
      <c r="BI17" s="84" t="e">
        <f t="shared" ca="1" si="30"/>
        <v>#NAME?</v>
      </c>
      <c r="BJ17" s="74" t="e">
        <f ca="1">_xll.SNL.Clients.Office.Excel.Functions.SPG($J17, $BJ$3, BJ$2, "Ag", "Options:Curr=USD")</f>
        <v>#NAME?</v>
      </c>
      <c r="BK17" s="74" t="e">
        <f ca="1">_xll.SNL.Clients.Office.Excel.Functions.SPG($J17, $BJ$3, BK$2, "Ag", "Options:Curr=USD")</f>
        <v>#NAME?</v>
      </c>
      <c r="BL17" s="74" t="e">
        <f ca="1">_xll.SNL.Clients.Office.Excel.Functions.SPG($J17, $BJ$3, BL$2, "Ag", "Options:Curr=USD")</f>
        <v>#NAME?</v>
      </c>
      <c r="BM17" s="84" t="e">
        <f ca="1">_xll.SNL.Clients.Office.Excel.Functions.SPG($J17, $BJ$3, BM$2, "Ag", "Options:Curr=USD")</f>
        <v>#NAME?</v>
      </c>
      <c r="BN17" s="74" t="str">
        <f ca="1">IFERROR(AVERAGE(_xll.SNL.Clients.Office.Excel.Functions.SPG($J17,$BM$4,"Ag",BN$2),_xll.SNL.Clients.Office.Excel.Functions.SPG($J17,$BM$3,"Ag",BN$2)),"NA")</f>
        <v>NA</v>
      </c>
      <c r="BO17" s="84" t="str">
        <f ca="1">IFERROR(AVERAGE(_xll.SNL.Clients.Office.Excel.Functions.SPG($J17,$BM$4,"Ag",BO$2),_xll.SNL.Clients.Office.Excel.Functions.SPG($J17,$BM$3,"Ag",BO$2)),"NA")</f>
        <v>NA</v>
      </c>
      <c r="BP17" s="74" t="e">
        <f ca="1">_xll.SNL.Clients.Office.Excel.Functions.SPG($J17, $BP$3, BP$2, "Ag", "Options:Curr=USD")</f>
        <v>#NAME?</v>
      </c>
      <c r="BQ17" s="74" t="e">
        <f ca="1">_xll.SNL.Clients.Office.Excel.Functions.SPG($J17, $BP$3, BQ$2, "Ag", "Options:Curr=USD")</f>
        <v>#NAME?</v>
      </c>
      <c r="BR17" s="84" t="e">
        <f ca="1">_xll.SNL.Clients.Office.Excel.Functions.SPG($J17, $BP$3, BR$2, "Ag", "Options:Curr=USD")</f>
        <v>#NAME?</v>
      </c>
      <c r="BS17" s="74" t="str">
        <f ca="1">IFERROR(AVERAGE(_xll.SNL.Clients.Office.Excel.Functions.SPG($J17,$BS$4,"Ag",BS$2, "Options:Curr=USD"),_xll.SNL.Clients.Office.Excel.Functions.SPG($J17,$BS$3,"Ag",BS$2, "Options:Curr=USD")),"NA")</f>
        <v>NA</v>
      </c>
      <c r="BT17" s="74" t="str">
        <f ca="1">IFERROR(AVERAGE(_xll.SNL.Clients.Office.Excel.Functions.SPG($J17,$BS$4,"Ag",BT$2, "Options:Curr=USD"),_xll.SNL.Clients.Office.Excel.Functions.SPG($J17,$BS$3,"Ag",BT$2, "Options:Curr=USD")),"NA")</f>
        <v>NA</v>
      </c>
      <c r="BU17" s="84" t="str">
        <f ca="1">IFERROR(AVERAGE(_xll.SNL.Clients.Office.Excel.Functions.SPG($J17,$BS$4,"Ag",BU$2, "Options:Curr=USD"),_xll.SNL.Clients.Office.Excel.Functions.SPG($J17,$BS$3,"Ag",BU$2, "Options:Curr=USD")),"NA")</f>
        <v>NA</v>
      </c>
      <c r="BW17" s="77" t="s">
        <v>85</v>
      </c>
      <c r="BX17" s="77"/>
      <c r="BY17" s="34" t="s">
        <v>86</v>
      </c>
      <c r="BZ17" s="34"/>
    </row>
    <row r="18" spans="1:78" ht="13.8" x14ac:dyDescent="0.25">
      <c r="A18" s="54" t="e">
        <f ca="1">_xll.SNL.Clients.Office.Excel.Functions.SPG($J18, A$3)</f>
        <v>#NAME?</v>
      </c>
      <c r="B18" s="54" t="e">
        <f ca="1">_xll.BDP($I18,B$3)</f>
        <v>#NAME?</v>
      </c>
      <c r="C18" s="54" t="e">
        <f ca="1">_xll.BDP($I18,C$3)</f>
        <v>#NAME?</v>
      </c>
      <c r="D18" s="55" t="s">
        <v>125</v>
      </c>
      <c r="E18" s="55" t="s">
        <v>126</v>
      </c>
      <c r="F18" s="56" t="e">
        <f ca="1">_xll.SNL.Clients.Office.Excel.Functions.SPG($J18, "IQ_TEV", "Options: Curr=USD")</f>
        <v>#NAME?</v>
      </c>
      <c r="G18" s="56" t="e">
        <f ca="1">_xll.SNL.Clients.Office.Excel.Functions.SPG($J18, "SP_MARKETCAP", "Options: Curr=USD")</f>
        <v>#NAME?</v>
      </c>
      <c r="H18" s="57" t="s">
        <v>127</v>
      </c>
      <c r="I18" s="14" t="s">
        <v>128</v>
      </c>
      <c r="J18" s="14" t="s">
        <v>129</v>
      </c>
      <c r="K18" s="58" t="e" cm="1">
        <f t="array" aca="1" ref="K18" ca="1">_xll.SNL.Clients.Office.Excel.Functions.SPG($J18, $K$3)/100</f>
        <v>#NAME?</v>
      </c>
      <c r="L18" s="59" t="e" cm="1">
        <f t="array" aca="1" ref="L18" ca="1">_xll.SNL.Clients.Office.Excel.Functions.SPG($J18, "SP_PCFPS_FWD",L$2)</f>
        <v>#NAME?</v>
      </c>
      <c r="M18" s="60" t="e" cm="1">
        <f t="array" aca="1" ref="M18" ca="1">_xll.SNL.Clients.Office.Excel.Functions.SPG($J18, "SP_PCFPS_FWD",M$2)</f>
        <v>#NAME?</v>
      </c>
      <c r="N18" s="61" t="e" cm="1">
        <f t="array" aca="1" ref="N18" ca="1">_xll.SNL.Clients.Office.Excel.Functions.SPG($J18, "SP_PCFPS_FWD",N$2)</f>
        <v>#NAME?</v>
      </c>
      <c r="O18" s="62" t="e">
        <f ca="1">_xll.SNL.Clients.Office.Excel.Functions.SPG($J18, "SP_FCF_EST",O$2, "Options: Curr=USD")/1000/$G18</f>
        <v>#NAME?</v>
      </c>
      <c r="P18" s="62" t="e">
        <f ca="1">_xll.SNL.Clients.Office.Excel.Functions.SPG($J18, "SP_FCF_EST",P$2, "Options: Curr=USD")/1000/$G18</f>
        <v>#NAME?</v>
      </c>
      <c r="Q18" s="62" t="e">
        <f ca="1">_xll.SNL.Clients.Office.Excel.Functions.SPG($J18, "SP_FCF_EST",Q$2, "Options: Curr=USD")/1000/$G18</f>
        <v>#NAME?</v>
      </c>
      <c r="R18" s="59" t="e" cm="1">
        <f t="array" aca="1" ref="R18" ca="1">_xll.SNL.Clients.Office.Excel.Functions.SPG($J18, "SP_PE_FWD",R$2)</f>
        <v>#NAME?</v>
      </c>
      <c r="S18" s="60" t="e" cm="1">
        <f t="array" aca="1" ref="S18" ca="1">_xll.SNL.Clients.Office.Excel.Functions.SPG($J18, "SP_PE_FWD",S$2)</f>
        <v>#NAME?</v>
      </c>
      <c r="T18" s="61" t="e" cm="1">
        <f t="array" aca="1" ref="T18" ca="1">_xll.SNL.Clients.Office.Excel.Functions.SPG($J18, "SP_PE_FWD",T$2)</f>
        <v>#NAME?</v>
      </c>
      <c r="U18" s="65" t="e" cm="1">
        <f t="array" aca="1" ref="U18" ca="1">IF((_xll.SNL.Clients.Office.Excel.Functions.SPG($J18,$U$3,U$4,"Options: Curr=USD") / _xll.SNL.Clients.Office.Excel.Functions.SPG($J18,"SP_EBITDA_EST",U$2,"Options: Curr=USD")) &lt; 0, "NM", (_xll.SNL.Clients.Office.Excel.Functions.SPG($J18,$U$3,U$4,"Options: Curr=USD") / _xll.SNL.Clients.Office.Excel.Functions.SPG($J18,"SP_EBITDA_EST",U$2,"Options: Curr=USD")))</f>
        <v>#NAME?</v>
      </c>
      <c r="V18" s="66" t="e" cm="1">
        <f t="array" aca="1" ref="V18" ca="1">_xll.SNL.Clients.Office.Excel.Functions.SPG($J18, $V$3,V$4)</f>
        <v>#NAME?</v>
      </c>
      <c r="W18" s="78" t="str">
        <f ca="1">IFERROR(0.001*AVERAGE(_xll.SNL.Clients.Office.Excel.Functions.SPG($J18,$W$4,"Ag",W$2),_xll.SNL.Clients.Office.Excel.Functions.SPG($J18,$W$3,"Ag",W$2)),"NA")</f>
        <v>NA</v>
      </c>
      <c r="X18" s="68" t="str">
        <f ca="1">IFERROR(0.001*AVERAGE(_xll.SNL.Clients.Office.Excel.Functions.SPG($J18,$W$4,"Ag",X$2),_xll.SNL.Clients.Office.Excel.Functions.SPG($J18,$W$3,"Ag",X$2)),"NA")</f>
        <v>NA</v>
      </c>
      <c r="Y18" s="79" t="str">
        <f ca="1">IFERROR(0.001*AVERAGE(_xll.SNL.Clients.Office.Excel.Functions.SPG($J18,$W$4,"Ag",Y$2),_xll.SNL.Clients.Office.Excel.Functions.SPG($J18,$W$3,"Ag",Y$2)),"NA")</f>
        <v>NA</v>
      </c>
      <c r="Z18" s="68" t="e">
        <f ca="1" xml:space="preserve"> IF(ISNUMBER(SEARCH("na",_xll.SNL.Clients.Office.Excel.Functions.SPG($J18, $Z$4, Z$2))), 0,_xll.SNL.Clients.Office.Excel.Functions.SPG($J18, $Z$4, Z$2))</f>
        <v>#NAME?</v>
      </c>
      <c r="AA18" s="68" t="e">
        <f ca="1" xml:space="preserve"> IF(ISNUMBER(SEARCH("na",_xll.SNL.Clients.Office.Excel.Functions.SPG($J18, $Z$4, AA$2))), 0,_xll.SNL.Clients.Office.Excel.Functions.SPG($J18, $Z$4, AA$2))</f>
        <v>#NAME?</v>
      </c>
      <c r="AB18" s="68" t="e">
        <f ca="1" xml:space="preserve"> IF(ISNUMBER(SEARCH("na",_xll.SNL.Clients.Office.Excel.Functions.SPG($J18, $Z$4, AB$2))), 0,_xll.SNL.Clients.Office.Excel.Functions.SPG($J18, $Z$4, AB$2))</f>
        <v>#NAME?</v>
      </c>
      <c r="AC18" s="68" t="e">
        <f ca="1" xml:space="preserve"> IF(ISNUMBER(SEARCH("na",_xll.SNL.Clients.Office.Excel.Functions.SPG($J18, $AC$4, AC$2))), 0,_xll.SNL.Clients.Office.Excel.Functions.SPG($J18, $AC$4, AC$2))</f>
        <v>#NAME?</v>
      </c>
      <c r="AD18" s="68" t="e">
        <f ca="1" xml:space="preserve"> IF(ISNUMBER(SEARCH("na",_xll.SNL.Clients.Office.Excel.Functions.SPG($J18, $AC$4, AD$2))), 0,_xll.SNL.Clients.Office.Excel.Functions.SPG($J18, $AC$4, AD$2))</f>
        <v>#NAME?</v>
      </c>
      <c r="AE18" s="68" t="e">
        <f ca="1" xml:space="preserve"> IF(ISNUMBER(SEARCH("na",_xll.SNL.Clients.Office.Excel.Functions.SPG($J18, $AC$4, AE$2))), 0,_xll.SNL.Clients.Office.Excel.Functions.SPG($J18, $AC$4, AE$2))</f>
        <v>#NAME?</v>
      </c>
      <c r="AF18" s="68" t="e">
        <f ca="1" xml:space="preserve"> IF(ISNUMBER(SEARCH("na",_xll.SNL.Clients.Office.Excel.Functions.SPG($J18, $AF$4, AF$2))), 0,_xll.SNL.Clients.Office.Excel.Functions.SPG($J18, $AF$4, AF$2))</f>
        <v>#NAME?</v>
      </c>
      <c r="AG18" s="68" t="e">
        <f ca="1" xml:space="preserve"> IF(ISNUMBER(SEARCH("na",_xll.SNL.Clients.Office.Excel.Functions.SPG($J18, $AF$4, AG$2))), 0,_xll.SNL.Clients.Office.Excel.Functions.SPG($J18, $AF$4, AG$2))</f>
        <v>#NAME?</v>
      </c>
      <c r="AH18" s="68" t="e">
        <f ca="1" xml:space="preserve"> IF(ISNUMBER(SEARCH("na",_xll.SNL.Clients.Office.Excel.Functions.SPG($J18, $AF$4, AH$2))), 0,_xll.SNL.Clients.Office.Excel.Functions.SPG($J18, $AF$4, AH$2))</f>
        <v>#NAME?</v>
      </c>
      <c r="AI18" s="68" t="e">
        <f t="shared" ref="AI18:AK21" ca="1" si="33">AC18+Z18*auprice/agprice+AF18*cuprice/agprice</f>
        <v>#NAME?</v>
      </c>
      <c r="AJ18" s="68" t="e">
        <f t="shared" ca="1" si="33"/>
        <v>#NAME?</v>
      </c>
      <c r="AK18" s="68" t="e">
        <f t="shared" ca="1" si="33"/>
        <v>#NAME?</v>
      </c>
      <c r="AL18" s="80" t="str">
        <f t="shared" ca="1" si="29"/>
        <v>NA</v>
      </c>
      <c r="AM18" s="81" t="str">
        <f t="shared" ca="1" si="29"/>
        <v>NA</v>
      </c>
      <c r="AN18" s="82" t="str">
        <f t="shared" ca="1" si="29"/>
        <v>NA</v>
      </c>
      <c r="AO18" s="68">
        <f ca="1">IFERROR(_xll.SNL.Clients.Office.Excel.Functions.SPG($J18, $AO$3, AO$2,$AO$4)/1000,0)</f>
        <v>0</v>
      </c>
      <c r="AP18" s="68">
        <f ca="1">IFERROR(_xll.SNL.Clients.Office.Excel.Functions.SPG($J18, $AO$3, AP$2,$AO$4)/1000,0)</f>
        <v>0</v>
      </c>
      <c r="AQ18" s="68">
        <f ca="1">IFERROR(_xll.SNL.Clients.Office.Excel.Functions.SPG($J18, $AR$3, AQ$2,$AO$4)/1000,0)</f>
        <v>0</v>
      </c>
      <c r="AR18" s="68">
        <f ca="1">IFERROR(_xll.SNL.Clients.Office.Excel.Functions.SPG($J18, $AR$3, AR$2,$AO$4)/1000,0)</f>
        <v>0</v>
      </c>
      <c r="AS18" s="68">
        <f ca="1">IFERROR(_xll.SNL.Clients.Office.Excel.Functions.SPG($J18, $AR$3, AS$2,$AO$4)/1000,0)</f>
        <v>0</v>
      </c>
      <c r="AT18" s="68">
        <f ca="1">IFERROR(_xll.SNL.Clients.Office.Excel.Functions.SPG($J18, $AT$3, AT$2,$AO$4)/1000,0)</f>
        <v>0</v>
      </c>
      <c r="AU18" s="68">
        <f ca="1">IFERROR(_xll.SNL.Clients.Office.Excel.Functions.SPG($J18, $AT$3, AU$2,$AO$4)/1000,0)</f>
        <v>0</v>
      </c>
      <c r="AV18" s="68">
        <f ca="1">IFERROR(_xll.SNL.Clients.Office.Excel.Functions.SPG($J18, $AW$3, AV$2,$AO$4)/1000,0)</f>
        <v>0</v>
      </c>
      <c r="AW18" s="68">
        <f ca="1">IFERROR(_xll.SNL.Clients.Office.Excel.Functions.SPG($J18, $AW$3, AW$2,$AO$4)/1000,0)</f>
        <v>0</v>
      </c>
      <c r="AX18" s="68">
        <f ca="1">IFERROR(_xll.SNL.Clients.Office.Excel.Functions.SPG($J18, $AW$3, AX$2,$AO$4)/1000,0)</f>
        <v>0</v>
      </c>
      <c r="AY18" s="68">
        <f ca="1">IFERROR(_xll.SNL.Clients.Office.Excel.Functions.SPG($J18, $AY$3, AY$2,$AO$4)/1000,0)</f>
        <v>0</v>
      </c>
      <c r="AZ18" s="68">
        <f ca="1">IFERROR(_xll.SNL.Clients.Office.Excel.Functions.SPG($J18, $AY$3, AZ$2,$AO$4)/1000,0)</f>
        <v>0</v>
      </c>
      <c r="BA18" s="68">
        <f ca="1">IFERROR(_xll.SNL.Clients.Office.Excel.Functions.SPG($J18, $BB$3, BA$2,$AO$4)/1000,0)</f>
        <v>0</v>
      </c>
      <c r="BB18" s="68">
        <f ca="1">IFERROR(_xll.SNL.Clients.Office.Excel.Functions.SPG($J18, $BB$3, BB$2,$AO$4)/1000,0)</f>
        <v>0</v>
      </c>
      <c r="BC18" s="68">
        <f ca="1">IFERROR(_xll.SNL.Clients.Office.Excel.Functions.SPG($J18, $BB$3, BC$2,$AO$4)/1000,0)</f>
        <v>0</v>
      </c>
      <c r="BD18" s="68">
        <f ca="1">AP18+AO18*auprice/agprice+AQ18*cuprice/agprice+AR18*znprice/agprice+AS18*pbprice/agprice</f>
        <v>0</v>
      </c>
      <c r="BE18" s="68">
        <f ca="1">AU18+AT18*auprice/agprice+AV18*cuprice/agprice+AW18*znprice/agprice+AX18*pbprice/agprice+BD18</f>
        <v>0</v>
      </c>
      <c r="BF18" s="68">
        <f ca="1">AZ18+AY18*auprice/agprice+BA18*cuprice/agprice+BB18*znprice/agprice+BC18*pbprice/agprice+BD18</f>
        <v>0</v>
      </c>
      <c r="BG18" s="83" t="e">
        <f t="shared" ca="1" si="30"/>
        <v>#NAME?</v>
      </c>
      <c r="BH18" s="74" t="e">
        <f t="shared" ca="1" si="30"/>
        <v>#NAME?</v>
      </c>
      <c r="BI18" s="84" t="e">
        <f t="shared" ca="1" si="30"/>
        <v>#NAME?</v>
      </c>
      <c r="BJ18" s="74" t="e">
        <f ca="1">_xll.SNL.Clients.Office.Excel.Functions.SPG($J18, $BJ$3, BJ$2, "Ag", "Options:Curr=USD")</f>
        <v>#NAME?</v>
      </c>
      <c r="BK18" s="74" t="e">
        <f ca="1">_xll.SNL.Clients.Office.Excel.Functions.SPG($J18, $BJ$3, BK$2, "Ag", "Options:Curr=USD")</f>
        <v>#NAME?</v>
      </c>
      <c r="BL18" s="74" t="e">
        <f ca="1">_xll.SNL.Clients.Office.Excel.Functions.SPG($J18, $BJ$3, BL$2, "Ag", "Options:Curr=USD")</f>
        <v>#NAME?</v>
      </c>
      <c r="BM18" s="84" t="e">
        <f ca="1">_xll.SNL.Clients.Office.Excel.Functions.SPG($J18, $BJ$3, BM$2, "Ag", "Options:Curr=USD")</f>
        <v>#NAME?</v>
      </c>
      <c r="BN18" s="74" t="str">
        <f ca="1">IFERROR(AVERAGE(_xll.SNL.Clients.Office.Excel.Functions.SPG($J18,$BM$4,"Ag",BN$2),_xll.SNL.Clients.Office.Excel.Functions.SPG($J18,$BM$3,"Ag",BN$2)),"NA")</f>
        <v>NA</v>
      </c>
      <c r="BO18" s="84" t="str">
        <f ca="1">IFERROR(AVERAGE(_xll.SNL.Clients.Office.Excel.Functions.SPG($J18,$BM$4,"Ag",BO$2),_xll.SNL.Clients.Office.Excel.Functions.SPG($J18,$BM$3,"Ag",BO$2)),"NA")</f>
        <v>NA</v>
      </c>
      <c r="BP18" s="74" t="e">
        <f ca="1">_xll.SNL.Clients.Office.Excel.Functions.SPG($J18, $BP$3, BP$2, "Ag", "Options:Curr=USD")</f>
        <v>#NAME?</v>
      </c>
      <c r="BQ18" s="74" t="e">
        <f ca="1">_xll.SNL.Clients.Office.Excel.Functions.SPG($J18, $BP$3, BQ$2, "Ag", "Options:Curr=USD")</f>
        <v>#NAME?</v>
      </c>
      <c r="BR18" s="84" t="e">
        <f ca="1">_xll.SNL.Clients.Office.Excel.Functions.SPG($J18, $BP$3, BR$2, "Ag", "Options:Curr=USD")</f>
        <v>#NAME?</v>
      </c>
      <c r="BS18" s="74" t="str">
        <f ca="1">IFERROR(AVERAGE(_xll.SNL.Clients.Office.Excel.Functions.SPG($J18,$BS$4,"Ag",BS$2, "Options:Curr=USD"),_xll.SNL.Clients.Office.Excel.Functions.SPG($J18,$BS$3,"Ag",BS$2, "Options:Curr=USD")),"NA")</f>
        <v>NA</v>
      </c>
      <c r="BT18" s="74" t="str">
        <f ca="1">IFERROR(AVERAGE(_xll.SNL.Clients.Office.Excel.Functions.SPG($J18,$BS$4,"Ag",BT$2, "Options:Curr=USD"),_xll.SNL.Clients.Office.Excel.Functions.SPG($J18,$BS$3,"Ag",BT$2, "Options:Curr=USD")),"NA")</f>
        <v>NA</v>
      </c>
      <c r="BU18" s="84" t="str">
        <f ca="1">IFERROR(AVERAGE(_xll.SNL.Clients.Office.Excel.Functions.SPG($J18,$BS$4,"Ag",BU$2, "Options:Curr=USD"),_xll.SNL.Clients.Office.Excel.Functions.SPG($J18,$BS$3,"Ag",BU$2, "Options:Curr=USD")),"NA")</f>
        <v>NA</v>
      </c>
      <c r="BW18" s="107" t="s">
        <v>85</v>
      </c>
      <c r="BX18" s="107"/>
      <c r="BY18" s="108" t="s">
        <v>86</v>
      </c>
      <c r="BZ18" s="108"/>
    </row>
    <row r="19" spans="1:78" x14ac:dyDescent="0.25">
      <c r="A19" s="54"/>
      <c r="B19" s="54"/>
      <c r="C19" s="54"/>
      <c r="D19" s="55"/>
      <c r="E19" s="55"/>
      <c r="H19" s="91"/>
      <c r="I19" s="91"/>
      <c r="J19" s="91" t="s">
        <v>113</v>
      </c>
      <c r="K19" s="92" t="e">
        <f ca="1">AVERAGE(K15:K18)</f>
        <v>#NAME?</v>
      </c>
      <c r="L19" s="93" t="e">
        <f ca="1">AVERAGE(L15:L18)</f>
        <v>#NAME?</v>
      </c>
      <c r="M19" s="94" t="e">
        <f ca="1">AVERAGE(M15:M18)</f>
        <v>#NAME?</v>
      </c>
      <c r="N19" s="95" t="e">
        <f ca="1">AVERAGE(N15:N18)</f>
        <v>#NAME?</v>
      </c>
      <c r="O19" s="96" cm="1">
        <f t="array" aca="1" ref="O19" ca="1">AVERAGE(IFERROR(O12:O18, ""))</f>
        <v>0</v>
      </c>
      <c r="P19" s="96" cm="1">
        <f t="array" aca="1" ref="P19" ca="1">AVERAGE(IFERROR(P12:P18, ""))</f>
        <v>0</v>
      </c>
      <c r="Q19" s="96" cm="1">
        <f t="array" aca="1" ref="Q19" ca="1">AVERAGE(IFERROR(Q12:Q18, ""))</f>
        <v>0</v>
      </c>
      <c r="R19" s="93" t="e">
        <f ca="1">AVERAGE(R15:R18)</f>
        <v>#NAME?</v>
      </c>
      <c r="S19" s="94" t="e">
        <f ca="1">AVERAGE(S15:S18)</f>
        <v>#NAME?</v>
      </c>
      <c r="T19" s="95" t="e">
        <f ca="1">AVERAGE(T15:T18)</f>
        <v>#NAME?</v>
      </c>
      <c r="U19" s="94"/>
      <c r="V19" s="97"/>
      <c r="W19" s="98" t="e">
        <f ca="1">AVERAGE(W15:W18)</f>
        <v>#DIV/0!</v>
      </c>
      <c r="X19" s="98" t="e">
        <f ca="1">AVERAGE(X15:X18)</f>
        <v>#DIV/0!</v>
      </c>
      <c r="Y19" s="98" t="e">
        <f ca="1">AVERAGE(Y15:Y18)</f>
        <v>#DIV/0!</v>
      </c>
      <c r="Z19" s="46"/>
      <c r="AA19" s="46"/>
      <c r="AB19" s="46"/>
      <c r="AC19" s="46"/>
      <c r="AD19" s="46"/>
      <c r="AE19" s="46"/>
      <c r="AF19" s="46"/>
      <c r="AG19" s="46"/>
      <c r="AH19" s="46"/>
      <c r="AI19" s="98" t="e">
        <f t="shared" ref="AI19:AN19" ca="1" si="34">AVERAGE(AI15:AI18)</f>
        <v>#NAME?</v>
      </c>
      <c r="AJ19" s="98" t="e">
        <f t="shared" ca="1" si="34"/>
        <v>#NAME?</v>
      </c>
      <c r="AK19" s="98" t="e">
        <f t="shared" ca="1" si="34"/>
        <v>#NAME?</v>
      </c>
      <c r="AL19" s="99" t="e">
        <f t="shared" ca="1" si="34"/>
        <v>#DIV/0!</v>
      </c>
      <c r="AM19" s="98" t="e">
        <f t="shared" ca="1" si="34"/>
        <v>#DIV/0!</v>
      </c>
      <c r="AN19" s="100" t="e">
        <f t="shared" ca="1" si="34"/>
        <v>#DIV/0!</v>
      </c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2" t="e">
        <f t="shared" ref="BG19:BU19" ca="1" si="35">AVERAGE(BG15:BG18)</f>
        <v>#NAME?</v>
      </c>
      <c r="BH19" s="103" t="e">
        <f t="shared" ca="1" si="35"/>
        <v>#NAME?</v>
      </c>
      <c r="BI19" s="104" t="e">
        <f t="shared" ca="1" si="35"/>
        <v>#NAME?</v>
      </c>
      <c r="BJ19" s="103" t="e">
        <f t="shared" ca="1" si="35"/>
        <v>#NAME?</v>
      </c>
      <c r="BK19" s="103" t="e">
        <f t="shared" ca="1" si="35"/>
        <v>#NAME?</v>
      </c>
      <c r="BL19" s="103" t="e">
        <f t="shared" ca="1" si="35"/>
        <v>#NAME?</v>
      </c>
      <c r="BM19" s="104" t="e">
        <f t="shared" ca="1" si="35"/>
        <v>#NAME?</v>
      </c>
      <c r="BN19" s="103" t="e">
        <f t="shared" ca="1" si="35"/>
        <v>#DIV/0!</v>
      </c>
      <c r="BO19" s="104" t="e">
        <f t="shared" ca="1" si="35"/>
        <v>#DIV/0!</v>
      </c>
      <c r="BP19" s="103" t="e">
        <f t="shared" ca="1" si="35"/>
        <v>#NAME?</v>
      </c>
      <c r="BQ19" s="103" t="e">
        <f t="shared" ca="1" si="35"/>
        <v>#NAME?</v>
      </c>
      <c r="BR19" s="104" t="e">
        <f t="shared" ca="1" si="35"/>
        <v>#NAME?</v>
      </c>
      <c r="BS19" s="103" t="e">
        <f t="shared" ca="1" si="35"/>
        <v>#DIV/0!</v>
      </c>
      <c r="BT19" s="103" t="e">
        <f t="shared" ca="1" si="35"/>
        <v>#DIV/0!</v>
      </c>
      <c r="BU19" s="104" t="e">
        <f t="shared" ca="1" si="35"/>
        <v>#DIV/0!</v>
      </c>
      <c r="BW19" s="34"/>
      <c r="BX19" s="34"/>
      <c r="BY19" s="34"/>
      <c r="BZ19" s="34"/>
    </row>
    <row r="20" spans="1:78" x14ac:dyDescent="0.25">
      <c r="A20" s="54"/>
      <c r="B20" s="54"/>
      <c r="C20" s="54"/>
      <c r="D20" s="54"/>
      <c r="E20" s="54"/>
    </row>
    <row r="21" spans="1:78" x14ac:dyDescent="0.2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78" x14ac:dyDescent="0.2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spans="1:78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78" x14ac:dyDescent="0.2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78" x14ac:dyDescent="0.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U25" s="109"/>
    </row>
    <row r="26" spans="1:78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78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78" x14ac:dyDescent="0.25">
      <c r="A28" s="54"/>
      <c r="B28" s="54"/>
      <c r="C28" s="54"/>
      <c r="D28" s="54"/>
      <c r="E28" s="54"/>
    </row>
    <row r="29" spans="1:78" x14ac:dyDescent="0.25">
      <c r="A29" s="54"/>
      <c r="B29" s="54"/>
      <c r="C29" s="54"/>
      <c r="D29" s="54"/>
      <c r="E29" s="54"/>
    </row>
    <row r="30" spans="1:78" x14ac:dyDescent="0.25">
      <c r="A30" s="54"/>
      <c r="B30" s="54"/>
      <c r="C30" s="54"/>
      <c r="D30" s="54"/>
      <c r="E30" s="54"/>
      <c r="T30" s="38"/>
    </row>
    <row r="31" spans="1:78" x14ac:dyDescent="0.25">
      <c r="A31" s="54"/>
      <c r="B31" s="54"/>
      <c r="C31" s="54"/>
      <c r="D31" s="54"/>
      <c r="E31" s="54"/>
    </row>
    <row r="32" spans="1:78" x14ac:dyDescent="0.25">
      <c r="A32" s="54"/>
      <c r="B32" s="54"/>
      <c r="C32" s="54"/>
      <c r="D32" s="54"/>
      <c r="E32" s="54"/>
    </row>
    <row r="33" spans="1:5" x14ac:dyDescent="0.25">
      <c r="A33" s="54"/>
      <c r="B33" s="54"/>
      <c r="C33" s="54"/>
      <c r="D33" s="54"/>
      <c r="E33" s="54"/>
    </row>
    <row r="34" spans="1:5" x14ac:dyDescent="0.25">
      <c r="A34" s="54"/>
      <c r="B34" s="54"/>
      <c r="C34" s="54"/>
      <c r="D34" s="54"/>
      <c r="E34" s="54"/>
    </row>
    <row r="35" spans="1:5" x14ac:dyDescent="0.25">
      <c r="A35" s="54"/>
      <c r="B35" s="54"/>
      <c r="C35" s="54"/>
      <c r="D35" s="54"/>
      <c r="E35" s="54"/>
    </row>
    <row r="38" spans="1:5" x14ac:dyDescent="0.25">
      <c r="A38" s="54"/>
      <c r="B38" s="54"/>
      <c r="C38" s="54"/>
      <c r="D38" s="54"/>
      <c r="E38" s="54"/>
    </row>
    <row r="39" spans="1:5" x14ac:dyDescent="0.25">
      <c r="A39" s="54"/>
      <c r="B39" s="54"/>
      <c r="C39" s="54"/>
      <c r="D39" s="54"/>
      <c r="E39" s="54"/>
    </row>
    <row r="40" spans="1:5" x14ac:dyDescent="0.25">
      <c r="A40" s="54"/>
      <c r="B40" s="54"/>
      <c r="C40" s="54"/>
      <c r="D40" s="54"/>
      <c r="E40" s="54"/>
    </row>
    <row r="41" spans="1:5" x14ac:dyDescent="0.25">
      <c r="A41" s="54"/>
      <c r="B41" s="54"/>
      <c r="C41" s="54"/>
      <c r="D41" s="54"/>
      <c r="E41" s="54"/>
    </row>
    <row r="42" spans="1:5" x14ac:dyDescent="0.25">
      <c r="A42" s="54"/>
      <c r="B42" s="54"/>
      <c r="C42" s="54"/>
      <c r="D42" s="54"/>
      <c r="E42" s="54"/>
    </row>
    <row r="43" spans="1:5" x14ac:dyDescent="0.25">
      <c r="A43" s="54"/>
      <c r="B43" s="54"/>
      <c r="C43" s="54"/>
      <c r="D43" s="54"/>
      <c r="E43" s="54"/>
    </row>
    <row r="44" spans="1:5" x14ac:dyDescent="0.25">
      <c r="A44" s="54"/>
      <c r="B44" s="54"/>
      <c r="C44" s="54"/>
      <c r="D44" s="54"/>
      <c r="E44" s="54"/>
    </row>
    <row r="45" spans="1:5" x14ac:dyDescent="0.25">
      <c r="A45" s="54"/>
      <c r="B45" s="54"/>
      <c r="C45" s="54"/>
      <c r="D45" s="54"/>
      <c r="E45" s="54"/>
    </row>
    <row r="46" spans="1:5" x14ac:dyDescent="0.25">
      <c r="A46" s="54"/>
      <c r="B46" s="54"/>
      <c r="C46" s="54"/>
      <c r="D46" s="54"/>
      <c r="E46" s="54"/>
    </row>
    <row r="47" spans="1:5" x14ac:dyDescent="0.25">
      <c r="A47" s="54"/>
      <c r="B47" s="54"/>
      <c r="C47" s="54"/>
      <c r="D47" s="54"/>
      <c r="E47" s="54"/>
    </row>
    <row r="48" spans="1:5" x14ac:dyDescent="0.25">
      <c r="A48" s="54"/>
      <c r="B48" s="54"/>
      <c r="C48" s="54"/>
      <c r="D48" s="54"/>
      <c r="E48" s="54"/>
    </row>
    <row r="49" spans="1:5" x14ac:dyDescent="0.25">
      <c r="A49" s="54"/>
      <c r="B49" s="54"/>
      <c r="C49" s="54"/>
      <c r="D49" s="54"/>
      <c r="E49" s="54"/>
    </row>
    <row r="50" spans="1:5" x14ac:dyDescent="0.25">
      <c r="A50" s="54"/>
      <c r="B50" s="54"/>
      <c r="C50" s="54"/>
      <c r="D50" s="54"/>
      <c r="E50" s="54"/>
    </row>
    <row r="51" spans="1:5" x14ac:dyDescent="0.25">
      <c r="A51" s="54"/>
      <c r="B51" s="54"/>
      <c r="C51" s="54"/>
      <c r="D51" s="54"/>
      <c r="E51" s="54"/>
    </row>
    <row r="52" spans="1:5" x14ac:dyDescent="0.25">
      <c r="A52" s="54"/>
      <c r="B52" s="54"/>
      <c r="C52" s="54"/>
      <c r="D52" s="54"/>
      <c r="E52" s="54"/>
    </row>
    <row r="53" spans="1:5" x14ac:dyDescent="0.25">
      <c r="A53" s="54"/>
      <c r="B53" s="54"/>
      <c r="C53" s="54"/>
      <c r="D53" s="54"/>
      <c r="E53" s="54"/>
    </row>
    <row r="54" spans="1:5" x14ac:dyDescent="0.25">
      <c r="A54" s="54"/>
      <c r="B54" s="54"/>
      <c r="C54" s="54"/>
      <c r="D54" s="54"/>
      <c r="E54" s="54"/>
    </row>
    <row r="55" spans="1:5" x14ac:dyDescent="0.25">
      <c r="A55" s="54"/>
      <c r="B55" s="54"/>
      <c r="C55" s="54"/>
      <c r="D55" s="54"/>
      <c r="E55" s="54"/>
    </row>
    <row r="56" spans="1:5" x14ac:dyDescent="0.25">
      <c r="A56" s="54"/>
      <c r="B56" s="54"/>
      <c r="C56" s="54"/>
      <c r="D56" s="54"/>
      <c r="E56" s="54"/>
    </row>
    <row r="57" spans="1:5" x14ac:dyDescent="0.25">
      <c r="A57" s="54"/>
      <c r="B57" s="54"/>
      <c r="C57" s="54"/>
      <c r="D57" s="54"/>
      <c r="E57" s="54"/>
    </row>
    <row r="58" spans="1:5" x14ac:dyDescent="0.25">
      <c r="A58" s="54"/>
      <c r="B58" s="54"/>
      <c r="C58" s="54"/>
      <c r="D58" s="54"/>
      <c r="E58" s="54"/>
    </row>
    <row r="59" spans="1:5" x14ac:dyDescent="0.25">
      <c r="A59" s="54"/>
      <c r="B59" s="54"/>
      <c r="C59" s="54"/>
      <c r="D59" s="54"/>
      <c r="E59" s="54"/>
    </row>
    <row r="60" spans="1:5" x14ac:dyDescent="0.25">
      <c r="A60" s="54"/>
      <c r="B60" s="54"/>
      <c r="C60" s="54"/>
      <c r="D60" s="54"/>
      <c r="E60" s="54"/>
    </row>
    <row r="61" spans="1:5" x14ac:dyDescent="0.25">
      <c r="A61" s="54"/>
      <c r="B61" s="54"/>
      <c r="C61" s="54"/>
      <c r="D61" s="54"/>
      <c r="E61" s="54"/>
    </row>
    <row r="62" spans="1:5" x14ac:dyDescent="0.25">
      <c r="A62" s="54"/>
      <c r="B62" s="54"/>
      <c r="C62" s="54"/>
      <c r="D62" s="54"/>
      <c r="E62" s="54"/>
    </row>
    <row r="63" spans="1:5" x14ac:dyDescent="0.25">
      <c r="A63" s="54"/>
      <c r="B63" s="54"/>
      <c r="C63" s="54"/>
      <c r="D63" s="54"/>
      <c r="E63" s="54"/>
    </row>
    <row r="64" spans="1:5" x14ac:dyDescent="0.25">
      <c r="A64" s="54"/>
      <c r="B64" s="54"/>
      <c r="C64" s="54"/>
      <c r="D64" s="54"/>
      <c r="E64" s="54"/>
    </row>
    <row r="65" spans="1:77" x14ac:dyDescent="0.25">
      <c r="A65" s="54"/>
      <c r="B65" s="54"/>
      <c r="C65" s="54"/>
      <c r="D65" s="54"/>
      <c r="E65" s="54"/>
    </row>
    <row r="66" spans="1:77" x14ac:dyDescent="0.25">
      <c r="A66" s="54"/>
      <c r="B66" s="54"/>
      <c r="C66" s="54"/>
      <c r="D66" s="54"/>
      <c r="E66" s="54"/>
    </row>
    <row r="67" spans="1:77" x14ac:dyDescent="0.25">
      <c r="A67" s="54"/>
      <c r="B67" s="54"/>
      <c r="C67" s="54"/>
      <c r="D67" s="54"/>
      <c r="E67" s="54"/>
    </row>
    <row r="68" spans="1:77" x14ac:dyDescent="0.25">
      <c r="A68" s="54"/>
      <c r="B68" s="54"/>
      <c r="C68" s="54"/>
      <c r="D68" s="54"/>
      <c r="E68" s="54"/>
    </row>
    <row r="69" spans="1:77" x14ac:dyDescent="0.25">
      <c r="A69" s="54"/>
      <c r="B69" s="54"/>
      <c r="C69" s="54"/>
      <c r="D69" s="54"/>
      <c r="E69" s="54"/>
    </row>
    <row r="70" spans="1:77" x14ac:dyDescent="0.25">
      <c r="A70" s="54"/>
      <c r="B70" s="54"/>
      <c r="C70" s="54"/>
      <c r="D70" s="54"/>
      <c r="E70" s="54"/>
    </row>
    <row r="71" spans="1:77" x14ac:dyDescent="0.25">
      <c r="A71" s="54"/>
      <c r="B71" s="54"/>
      <c r="C71" s="54"/>
      <c r="D71" s="54"/>
      <c r="E71" s="54"/>
    </row>
    <row r="72" spans="1:77" x14ac:dyDescent="0.25">
      <c r="A72" s="54"/>
      <c r="B72" s="54"/>
      <c r="C72" s="54"/>
      <c r="D72" s="54"/>
      <c r="E72" s="54"/>
    </row>
    <row r="73" spans="1:77" x14ac:dyDescent="0.25">
      <c r="A73" s="54"/>
      <c r="B73" s="54"/>
      <c r="C73" s="54"/>
      <c r="D73" s="54"/>
      <c r="E73" s="54"/>
    </row>
    <row r="75" spans="1:77" x14ac:dyDescent="0.25">
      <c r="A75" s="110"/>
      <c r="B75" s="110"/>
      <c r="C75" s="110"/>
      <c r="D75" s="110"/>
      <c r="E75" s="110"/>
    </row>
    <row r="77" spans="1:77" x14ac:dyDescent="0.25">
      <c r="BW77" s="110"/>
      <c r="BX77" s="110"/>
      <c r="BY77" s="110"/>
    </row>
  </sheetData>
  <mergeCells count="23">
    <mergeCell ref="BG1:BI1"/>
    <mergeCell ref="BJ1:BM1"/>
    <mergeCell ref="BN1:BO1"/>
    <mergeCell ref="BP1:BR1"/>
    <mergeCell ref="BS1:BU1"/>
    <mergeCell ref="Z1:AH1"/>
    <mergeCell ref="AI1:AK1"/>
    <mergeCell ref="AL1:AN1"/>
    <mergeCell ref="AO1:AS1"/>
    <mergeCell ref="AT1:AX1"/>
    <mergeCell ref="AY1:BC1"/>
    <mergeCell ref="G1:G2"/>
    <mergeCell ref="K1:K2"/>
    <mergeCell ref="L1:N1"/>
    <mergeCell ref="O1:Q1"/>
    <mergeCell ref="R1:T1"/>
    <mergeCell ref="W1:Y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2026-02-20T13:11:28Z</dcterms:created>
  <dcterms:modified xsi:type="dcterms:W3CDTF">2026-02-20T13:11:30Z</dcterms:modified>
</cp:coreProperties>
</file>