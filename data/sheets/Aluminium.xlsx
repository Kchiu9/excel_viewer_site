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A506CFDA-DF9E-4F2E-B955-D23C4B29B902}" xr6:coauthVersionLast="47" xr6:coauthVersionMax="47" xr10:uidLastSave="{00000000-0000-0000-0000-000000000000}"/>
  <bookViews>
    <workbookView xWindow="-108" yWindow="-108" windowWidth="23256" windowHeight="12456" xr2:uid="{6EE4D278-9D82-4981-81BA-9A2EAB7E5F12}"/>
  </bookViews>
  <sheets>
    <sheet name="Aluminium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4" i="1" l="1" a="1"/>
  <c r="Y14" i="1" s="1"/>
  <c r="X14" i="1" a="1"/>
  <c r="X14" i="1" s="1"/>
  <c r="W14" i="1" a="1"/>
  <c r="W14" i="1" s="1"/>
  <c r="V14" i="1" a="1"/>
  <c r="V14" i="1" s="1"/>
  <c r="U14" i="1" a="1"/>
  <c r="U14" i="1" s="1"/>
  <c r="T14" i="1" a="1"/>
  <c r="T14" i="1" s="1"/>
  <c r="S14" i="1" a="1"/>
  <c r="S14" i="1" s="1"/>
  <c r="R14" i="1" a="1"/>
  <c r="R14" i="1" s="1"/>
  <c r="Q14" i="1" a="1"/>
  <c r="Q14" i="1" s="1"/>
  <c r="N14" i="1" a="1"/>
  <c r="N14" i="1" s="1"/>
  <c r="M14" i="1" a="1"/>
  <c r="M14" i="1" s="1"/>
  <c r="L14" i="1" a="1"/>
  <c r="L14" i="1" s="1"/>
  <c r="K14" i="1" a="1"/>
  <c r="K14" i="1" s="1"/>
  <c r="G14" i="1"/>
  <c r="P14" i="1" s="1"/>
  <c r="F14" i="1"/>
  <c r="A14" i="1"/>
  <c r="Y13" i="1" a="1"/>
  <c r="Y13" i="1" s="1"/>
  <c r="X13" i="1"/>
  <c r="X13" i="1" a="1"/>
  <c r="W13" i="1" a="1"/>
  <c r="W13" i="1" s="1"/>
  <c r="V13" i="1"/>
  <c r="V13" i="1" a="1"/>
  <c r="U13" i="1" a="1"/>
  <c r="U13" i="1" s="1"/>
  <c r="T13" i="1"/>
  <c r="T13" i="1" a="1"/>
  <c r="S13" i="1" a="1"/>
  <c r="S13" i="1" s="1"/>
  <c r="R13" i="1"/>
  <c r="R13" i="1" a="1"/>
  <c r="Q13" i="1" a="1"/>
  <c r="Q13" i="1" s="1"/>
  <c r="P13" i="1"/>
  <c r="O13" i="1"/>
  <c r="N13" i="1" a="1"/>
  <c r="N13" i="1" s="1"/>
  <c r="N15" i="1" s="1" a="1"/>
  <c r="N15" i="1" s="1"/>
  <c r="M13" i="1"/>
  <c r="M13" i="1" a="1"/>
  <c r="L13" i="1" a="1"/>
  <c r="L13" i="1" s="1"/>
  <c r="K13" i="1"/>
  <c r="K13" i="1" a="1"/>
  <c r="G13" i="1"/>
  <c r="F13" i="1"/>
  <c r="A13" i="1"/>
  <c r="Y12" i="1"/>
  <c r="Y15" i="1" s="1" a="1"/>
  <c r="Y15" i="1" s="1"/>
  <c r="Y12" i="1" a="1"/>
  <c r="X12" i="1" a="1"/>
  <c r="X12" i="1" s="1"/>
  <c r="W12" i="1"/>
  <c r="W15" i="1" s="1" a="1"/>
  <c r="W15" i="1" s="1"/>
  <c r="W12" i="1" a="1"/>
  <c r="V12" i="1" a="1"/>
  <c r="V12" i="1" s="1"/>
  <c r="U12" i="1" a="1"/>
  <c r="U12" i="1" s="1"/>
  <c r="T12" i="1" a="1"/>
  <c r="T12" i="1" s="1"/>
  <c r="S12" i="1"/>
  <c r="S12" i="1" a="1"/>
  <c r="R12" i="1" a="1"/>
  <c r="R12" i="1" s="1"/>
  <c r="Q12" i="1" a="1"/>
  <c r="Q12" i="1" s="1"/>
  <c r="Q15" i="1" s="1" a="1"/>
  <c r="Q15" i="1" s="1"/>
  <c r="O12" i="1"/>
  <c r="N12" i="1"/>
  <c r="N12" i="1" a="1"/>
  <c r="M12" i="1" a="1"/>
  <c r="M12" i="1" s="1"/>
  <c r="M15" i="1" s="1" a="1"/>
  <c r="M15" i="1" s="1"/>
  <c r="L12" i="1" a="1"/>
  <c r="L12" i="1" s="1"/>
  <c r="K12" i="1" a="1"/>
  <c r="K12" i="1" s="1"/>
  <c r="G12" i="1"/>
  <c r="P12" i="1" s="1"/>
  <c r="P15" i="1" s="1" a="1"/>
  <c r="P15" i="1" s="1"/>
  <c r="F12" i="1"/>
  <c r="A12" i="1"/>
  <c r="R10" i="1"/>
  <c r="Y9" i="1" a="1"/>
  <c r="Y9" i="1" s="1"/>
  <c r="X9" i="1" a="1"/>
  <c r="X9" i="1" s="1"/>
  <c r="W9" i="1"/>
  <c r="W9" i="1" a="1"/>
  <c r="V9" i="1" a="1"/>
  <c r="V9" i="1" s="1"/>
  <c r="U9" i="1" a="1"/>
  <c r="U9" i="1" s="1"/>
  <c r="T9" i="1" a="1"/>
  <c r="T9" i="1" s="1"/>
  <c r="S9" i="1"/>
  <c r="S9" i="1" a="1"/>
  <c r="R9" i="1" a="1"/>
  <c r="R9" i="1" s="1"/>
  <c r="Q9" i="1" a="1"/>
  <c r="Q9" i="1" s="1"/>
  <c r="O9" i="1"/>
  <c r="N9" i="1"/>
  <c r="N9" i="1" a="1"/>
  <c r="M9" i="1" a="1"/>
  <c r="M9" i="1" s="1"/>
  <c r="L9" i="1" a="1"/>
  <c r="L9" i="1" s="1"/>
  <c r="K9" i="1" a="1"/>
  <c r="K9" i="1" s="1"/>
  <c r="G9" i="1"/>
  <c r="P9" i="1" s="1"/>
  <c r="F9" i="1"/>
  <c r="A9" i="1"/>
  <c r="Y8" i="1"/>
  <c r="Y8" i="1" a="1"/>
  <c r="X8" i="1" a="1"/>
  <c r="X8" i="1" s="1"/>
  <c r="W8" i="1"/>
  <c r="W10" i="1" s="1" a="1"/>
  <c r="W10" i="1" s="1"/>
  <c r="W8" i="1" a="1"/>
  <c r="V8" i="1" a="1"/>
  <c r="V8" i="1" s="1"/>
  <c r="V10" i="1" s="1" a="1"/>
  <c r="V10" i="1" s="1"/>
  <c r="U8" i="1"/>
  <c r="U8" i="1" a="1"/>
  <c r="T8" i="1" a="1"/>
  <c r="T8" i="1" s="1"/>
  <c r="S8" i="1"/>
  <c r="S8" i="1" a="1"/>
  <c r="R8" i="1" a="1"/>
  <c r="R8" i="1" s="1"/>
  <c r="Q8" i="1"/>
  <c r="Q8" i="1" a="1"/>
  <c r="N8" i="1"/>
  <c r="N8" i="1" a="1"/>
  <c r="M8" i="1" a="1"/>
  <c r="M8" i="1" s="1"/>
  <c r="L8" i="1"/>
  <c r="L8" i="1" a="1"/>
  <c r="K8" i="1" a="1"/>
  <c r="K8" i="1" s="1"/>
  <c r="G8" i="1"/>
  <c r="P8" i="1" s="1"/>
  <c r="F8" i="1"/>
  <c r="A8" i="1"/>
  <c r="Y7" i="1" a="1"/>
  <c r="Y7" i="1" s="1"/>
  <c r="X7" i="1" a="1"/>
  <c r="X7" i="1" s="1"/>
  <c r="W7" i="1" a="1"/>
  <c r="W7" i="1" s="1"/>
  <c r="V7" i="1"/>
  <c r="V7" i="1" a="1"/>
  <c r="U7" i="1" a="1"/>
  <c r="U7" i="1" s="1"/>
  <c r="T7" i="1" a="1"/>
  <c r="T7" i="1" s="1"/>
  <c r="S7" i="1" a="1"/>
  <c r="S7" i="1" s="1"/>
  <c r="R7" i="1"/>
  <c r="R7" i="1" a="1"/>
  <c r="Q7" i="1" a="1"/>
  <c r="Q7" i="1" s="1"/>
  <c r="N7" i="1" a="1"/>
  <c r="N7" i="1" s="1"/>
  <c r="M7" i="1"/>
  <c r="M7" i="1" a="1"/>
  <c r="L7" i="1" a="1"/>
  <c r="L7" i="1" s="1"/>
  <c r="K7" i="1" a="1"/>
  <c r="K7" i="1" s="1"/>
  <c r="G7" i="1"/>
  <c r="P7" i="1" s="1"/>
  <c r="F7" i="1"/>
  <c r="A7" i="1"/>
  <c r="Y6" i="1" a="1"/>
  <c r="Y6" i="1" s="1"/>
  <c r="Y10" i="1" s="1"/>
  <c r="X6" i="1"/>
  <c r="X6" i="1" a="1"/>
  <c r="W6" i="1" a="1"/>
  <c r="W6" i="1" s="1"/>
  <c r="V6" i="1"/>
  <c r="V6" i="1" a="1"/>
  <c r="U6" i="1" a="1"/>
  <c r="U6" i="1" s="1"/>
  <c r="T6" i="1"/>
  <c r="T6" i="1" a="1"/>
  <c r="S6" i="1" a="1"/>
  <c r="S6" i="1" s="1"/>
  <c r="S10" i="1" s="1"/>
  <c r="R6" i="1"/>
  <c r="R6" i="1" a="1"/>
  <c r="Q6" i="1" a="1"/>
  <c r="Q6" i="1" s="1"/>
  <c r="Q10" i="1" s="1"/>
  <c r="P6" i="1"/>
  <c r="P10" i="1" s="1"/>
  <c r="N6" i="1" a="1"/>
  <c r="N6" i="1" s="1"/>
  <c r="N10" i="1" s="1"/>
  <c r="M6" i="1"/>
  <c r="M10" i="1" s="1"/>
  <c r="M6" i="1" a="1"/>
  <c r="L6" i="1" a="1"/>
  <c r="L6" i="1" s="1"/>
  <c r="L10" i="1" s="1"/>
  <c r="K6" i="1"/>
  <c r="K10" i="1" s="1" a="1"/>
  <c r="K10" i="1" s="1"/>
  <c r="K6" i="1" a="1"/>
  <c r="G6" i="1"/>
  <c r="O6" i="1" s="1"/>
  <c r="O10" i="1" s="1"/>
  <c r="F6" i="1"/>
  <c r="C6" i="1"/>
  <c r="B6" i="1"/>
  <c r="A6" i="1"/>
  <c r="V15" i="1" l="1" a="1"/>
  <c r="V15" i="1" s="1"/>
  <c r="X10" i="1" a="1"/>
  <c r="X10" i="1" s="1"/>
  <c r="O15" i="1" a="1"/>
  <c r="O15" i="1" s="1"/>
  <c r="R15" i="1" a="1"/>
  <c r="R15" i="1" s="1"/>
  <c r="X15" i="1" a="1"/>
  <c r="X15" i="1" s="1"/>
  <c r="K15" i="1" a="1"/>
  <c r="K15" i="1" s="1"/>
  <c r="L15" i="1" a="1"/>
  <c r="L15" i="1" s="1"/>
  <c r="S15" i="1" a="1"/>
  <c r="S15" i="1" s="1"/>
  <c r="O14" i="1"/>
  <c r="O8" i="1"/>
  <c r="O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<sst xmlns="http://schemas.openxmlformats.org/spreadsheetml/2006/main" count="72" uniqueCount="57">
  <si>
    <t>Last Earnings Date</t>
  </si>
  <si>
    <t>Exp. Next Earnings Date (BBG)</t>
  </si>
  <si>
    <t>Confirmed / Estimated Date (BBG)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</si>
  <si>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</si>
  <si>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</si>
  <si>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</si>
  <si>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</si>
  <si>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</si>
  <si>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</si>
  <si>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</si>
  <si>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</si>
  <si>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</si>
  <si>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</si>
  <si>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EV / EBITDA</t>
  </si>
  <si>
    <t>Dividend Yield %</t>
  </si>
  <si>
    <t>Stock of Interest</t>
  </si>
  <si>
    <t>Bloomberg
Ticker</t>
  </si>
  <si>
    <t>Ticker</t>
  </si>
  <si>
    <t>FY2024</t>
  </si>
  <si>
    <t>FY2025</t>
  </si>
  <si>
    <t>FY2026</t>
  </si>
  <si>
    <t>SNL_EARNINGS_RELEASE_DATE</t>
  </si>
  <si>
    <t>EXPECTED_REPORT_DT</t>
  </si>
  <si>
    <t>EXPECTED_REPORT_TYP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</si>
  <si>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</si>
  <si>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</si>
  <si>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</si>
  <si>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</si>
  <si>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</si>
  <si>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</si>
  <si>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</si>
  <si>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SP_TEV_EBITDA_FWD</t>
  </si>
  <si>
    <t>SP_DIV_YIELD</t>
  </si>
  <si>
    <t>FQ0</t>
  </si>
  <si>
    <t>FH0</t>
  </si>
  <si>
    <t>North American</t>
  </si>
  <si>
    <t>18/10/2024</t>
  </si>
  <si>
    <t>Estimated</t>
  </si>
  <si>
    <t>Alcoa</t>
  </si>
  <si>
    <t>AA US Equity</t>
  </si>
  <si>
    <t>NYSE:AA</t>
  </si>
  <si>
    <t>YES</t>
  </si>
  <si>
    <t>Century Aluminium</t>
  </si>
  <si>
    <t>NASDAQGS:CENX</t>
  </si>
  <si>
    <t>NO</t>
  </si>
  <si>
    <t>Constellium SE</t>
  </si>
  <si>
    <t>NYSE:CSTM</t>
  </si>
  <si>
    <t>Kaiser Aluminum</t>
  </si>
  <si>
    <t>NASDAQGS:KALU</t>
  </si>
  <si>
    <t>Average</t>
  </si>
  <si>
    <t>Other</t>
  </si>
  <si>
    <t xml:space="preserve">Norsk Hydro </t>
  </si>
  <si>
    <t>OB:NHY</t>
  </si>
  <si>
    <t>Granges AB</t>
  </si>
  <si>
    <t>OM:GRNG</t>
  </si>
  <si>
    <t>AMAG Austria Metall</t>
  </si>
  <si>
    <t>WBAG:AMAG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</si>
</sst>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0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center" vertical="top"/>
    </xf>
    <xf numFmtId="0" fontId="0" fillId="4" borderId="13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164" fontId="0" fillId="0" borderId="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0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8" xfId="1" applyNumberFormat="1" applyFont="1" applyBorder="1" applyAlignment="1">
      <alignment horizontal="center" vertical="top"/>
    </xf>
    <xf numFmtId="9" fontId="0" fillId="0" borderId="14" xfId="1" applyFont="1" applyBorder="1" applyAlignment="1">
      <alignment horizontal="center" vertical="top"/>
    </xf>
    <xf numFmtId="9" fontId="0" fillId="0" borderId="9" xfId="1" applyFont="1" applyBorder="1" applyAlignment="1">
      <alignment horizontal="center" vertical="top"/>
    </xf>
    <xf numFmtId="164" fontId="0" fillId="0" borderId="11" xfId="0" applyNumberFormat="1" applyBorder="1" applyAlignment="1">
      <alignment horizontal="center" vertical="top"/>
    </xf>
    <xf numFmtId="9" fontId="0" fillId="0" borderId="6" xfId="1" applyFont="1" applyBorder="1" applyAlignment="1">
      <alignment horizontal="center" vertical="top"/>
    </xf>
    <xf numFmtId="9" fontId="0" fillId="0" borderId="11" xfId="1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9" fontId="0" fillId="0" borderId="15" xfId="1" applyFont="1" applyBorder="1" applyAlignment="1">
      <alignment horizontal="center" vertical="top"/>
    </xf>
    <xf numFmtId="9" fontId="0" fillId="0" borderId="16" xfId="1" applyFont="1" applyBorder="1" applyAlignment="1">
      <alignment horizontal="center" vertical="top"/>
    </xf>
    <xf numFmtId="0" fontId="1" fillId="5" borderId="3" xfId="0" applyFont="1" applyFill="1" applyBorder="1" applyAlignment="1">
      <alignment horizontal="right" vertical="top"/>
    </xf>
    <xf numFmtId="4" fontId="1" fillId="5" borderId="17" xfId="0" applyNumberFormat="1" applyFont="1" applyFill="1" applyBorder="1" applyAlignment="1">
      <alignment horizontal="center" vertical="top"/>
    </xf>
    <xf numFmtId="164" fontId="1" fillId="5" borderId="2" xfId="0" applyNumberFormat="1" applyFont="1" applyFill="1" applyBorder="1" applyAlignment="1">
      <alignment horizontal="center" vertical="top"/>
    </xf>
    <xf numFmtId="164" fontId="1" fillId="5" borderId="3" xfId="0" applyNumberFormat="1" applyFont="1" applyFill="1" applyBorder="1" applyAlignment="1">
      <alignment horizontal="center" vertical="top"/>
    </xf>
    <xf numFmtId="164" fontId="1" fillId="5" borderId="4" xfId="0" applyNumberFormat="1" applyFont="1" applyFill="1" applyBorder="1" applyAlignment="1">
      <alignment horizontal="center" vertical="top"/>
    </xf>
    <xf numFmtId="165" fontId="1" fillId="5" borderId="3" xfId="1" applyNumberFormat="1" applyFont="1" applyFill="1" applyBorder="1" applyAlignment="1">
      <alignment horizontal="center" vertical="top"/>
    </xf>
    <xf numFmtId="166" fontId="1" fillId="5" borderId="3" xfId="0" applyNumberFormat="1" applyFont="1" applyFill="1" applyBorder="1" applyAlignment="1">
      <alignment horizontal="center" vertical="top"/>
    </xf>
    <xf numFmtId="166" fontId="1" fillId="5" borderId="4" xfId="0" applyNumberFormat="1" applyFont="1" applyFill="1" applyBorder="1" applyAlignment="1">
      <alignment horizontal="center" vertical="top"/>
    </xf>
    <xf numFmtId="165" fontId="0" fillId="0" borderId="14" xfId="1" applyNumberFormat="1" applyFont="1" applyBorder="1" applyAlignment="1">
      <alignment horizontal="center" vertical="top"/>
    </xf>
    <xf numFmtId="165" fontId="0" fillId="0" borderId="6" xfId="1" applyNumberFormat="1" applyFont="1" applyBorder="1" applyAlignment="1">
      <alignment horizontal="center" vertical="top"/>
    </xf>
    <xf numFmtId="165" fontId="0" fillId="0" borderId="10" xfId="1" applyNumberFormat="1" applyFont="1" applyBorder="1" applyAlignment="1">
      <alignment horizontal="center" vertical="top"/>
    </xf>
    <xf numFmtId="166" fontId="1" fillId="5" borderId="2" xfId="0" applyNumberFormat="1" applyFont="1" applyFill="1" applyBorder="1" applyAlignment="1">
      <alignment horizontal="center" vertical="top"/>
    </xf>
    <xf numFmtId="166" fontId="1" fillId="5" borderId="5" xfId="0" applyNumberFormat="1" applyFont="1" applyFill="1" applyBorder="1" applyAlignment="1">
      <alignment horizontal="center" vertical="top"/>
    </xf>
    <xf numFmtId="0" fontId="0" fillId="0" borderId="16" xfId="0" applyBorder="1" applyAlignment="1">
      <alignment horizontal="left" vertical="top"/>
    </xf>
    <xf numFmtId="0" fontId="0" fillId="6" borderId="0" xfId="0" applyFill="1" applyAlignment="1">
      <alignment horizontal="left" vertical="top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0F99-61EF-4223-AF83-8FE08BAFF933}">
  <dimension ref="A1:AB50"/>
  <sheetViews>
    <sheetView showGridLines="0" tabSelected="1" workbookViewId="0">
      <pane xSplit="8" ySplit="4" topLeftCell="I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1" x14ac:dyDescent="0.25"/>
  <cols>
    <col min="1" max="1" width="10.109375" style="2" hidden="1" customWidth="1" outlineLevel="1"/>
    <col min="2" max="5" width="12.77734375" style="2" hidden="1" customWidth="1" outlineLevel="1"/>
    <col min="6" max="7" width="9.6640625" style="2" hidden="1" customWidth="1" outlineLevel="1"/>
    <col min="8" max="8" width="27.77734375" style="2" customWidth="1" collapsed="1"/>
    <col min="9" max="9" width="27.77734375" style="2" hidden="1" customWidth="1" outlineLevel="1"/>
    <col min="10" max="10" width="15.6640625" style="2" customWidth="1" collapsed="1"/>
    <col min="11" max="11" width="11.33203125" style="2" customWidth="1"/>
    <col min="12" max="12" width="7.77734375" style="2" customWidth="1"/>
    <col min="13" max="14" width="8.109375" style="2" bestFit="1" customWidth="1"/>
    <col min="15" max="15" width="8.109375" style="2" customWidth="1"/>
    <col min="16" max="16" width="8.77734375" style="2" bestFit="1" customWidth="1"/>
    <col min="17" max="17" width="8.33203125" style="2" bestFit="1" customWidth="1"/>
    <col min="18" max="18" width="7.6640625" style="2" bestFit="1" customWidth="1"/>
    <col min="19" max="19" width="8.109375" style="2" bestFit="1" customWidth="1"/>
    <col min="20" max="20" width="12.6640625" style="2" customWidth="1"/>
    <col min="21" max="21" width="8.109375" style="2" customWidth="1"/>
    <col min="22" max="22" width="8" style="2" customWidth="1"/>
    <col min="23" max="24" width="8.109375" style="2" bestFit="1" customWidth="1"/>
    <col min="25" max="25" width="14.77734375" style="2" customWidth="1"/>
    <col min="26" max="16384" width="8.88671875" style="2"/>
  </cols>
  <sheetData>
    <row r="1" spans="1:2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3" t="s">
        <v>7</v>
      </c>
      <c r="L1" s="4" t="s">
        <v>8</v>
      </c>
      <c r="M1" s="5"/>
      <c r="N1" s="6"/>
      <c r="O1" s="4" t="s">
        <v>9</v>
      </c>
      <c r="P1" s="6"/>
      <c r="Q1" s="4" t="s">
        <v>10</v>
      </c>
      <c r="R1" s="5"/>
      <c r="S1" s="6"/>
      <c r="T1" s="7" t="s">
        <v>11</v>
      </c>
      <c r="U1" s="8" t="s">
        <v>12</v>
      </c>
      <c r="V1" s="4" t="s">
        <v>13</v>
      </c>
      <c r="W1" s="5"/>
      <c r="X1" s="6"/>
      <c r="Y1" s="9" t="s">
        <v>14</v>
      </c>
      <c r="AB1" s="10" t="s">
        <v>15</v>
      </c>
    </row>
    <row r="2" spans="1:28" ht="27.6" x14ac:dyDescent="0.25">
      <c r="A2" s="1"/>
      <c r="B2" s="1"/>
      <c r="C2" s="1"/>
      <c r="D2" s="1"/>
      <c r="E2" s="1"/>
      <c r="F2" s="1"/>
      <c r="G2" s="1"/>
      <c r="I2" s="11" t="s">
        <v>16</v>
      </c>
      <c r="J2" s="12" t="s">
        <v>17</v>
      </c>
      <c r="K2" s="3"/>
      <c r="L2" s="13" t="s">
        <v>18</v>
      </c>
      <c r="M2" s="14" t="s">
        <v>19</v>
      </c>
      <c r="N2" s="15" t="s">
        <v>20</v>
      </c>
      <c r="O2" s="13" t="s">
        <v>18</v>
      </c>
      <c r="P2" s="14" t="s">
        <v>19</v>
      </c>
      <c r="Q2" s="13" t="s">
        <v>18</v>
      </c>
      <c r="R2" s="14" t="s">
        <v>19</v>
      </c>
      <c r="S2" s="15" t="s">
        <v>20</v>
      </c>
      <c r="T2" s="13" t="s">
        <v>18</v>
      </c>
      <c r="U2" s="16"/>
      <c r="V2" s="13" t="s">
        <v>18</v>
      </c>
      <c r="W2" s="14" t="s">
        <v>19</v>
      </c>
      <c r="X2" s="15" t="s">
        <v>20</v>
      </c>
      <c r="Y2" s="17"/>
      <c r="AB2" s="18"/>
    </row>
    <row r="3" spans="1:28" ht="13.5" customHeight="1" outlineLevel="1" x14ac:dyDescent="0.25">
      <c r="A3" s="19" t="s">
        <v>21</v>
      </c>
      <c r="B3" s="20" t="s">
        <v>22</v>
      </c>
      <c r="C3" s="20" t="s">
        <v>23</v>
      </c>
      <c r="D3" s="20"/>
      <c r="E3" s="20"/>
      <c r="J3" s="12"/>
      <c r="K3" s="19" t="s">
        <v>24</v>
      </c>
      <c r="L3" s="21" t="s">
        <v>25</v>
      </c>
      <c r="O3" s="21" t="s">
        <v>26</v>
      </c>
      <c r="P3" s="22" t="s">
        <v>27</v>
      </c>
      <c r="Q3" s="21" t="s">
        <v>28</v>
      </c>
      <c r="T3" s="23" t="s">
        <v>29</v>
      </c>
      <c r="U3" s="23" t="s">
        <v>30</v>
      </c>
      <c r="V3" s="21" t="s">
        <v>31</v>
      </c>
      <c r="Y3" s="24" t="s">
        <v>32</v>
      </c>
      <c r="AB3" s="25"/>
    </row>
    <row r="4" spans="1:28" ht="13.5" customHeight="1" outlineLevel="1" x14ac:dyDescent="0.25">
      <c r="J4" s="12"/>
      <c r="K4" s="19"/>
      <c r="L4" s="21"/>
      <c r="O4" s="21"/>
      <c r="P4" s="26"/>
      <c r="Q4" s="21"/>
      <c r="T4" s="23" t="s">
        <v>33</v>
      </c>
      <c r="U4" s="23" t="s">
        <v>34</v>
      </c>
      <c r="Y4" s="25"/>
      <c r="AB4" s="25"/>
    </row>
    <row r="5" spans="1:28" ht="16.8" x14ac:dyDescent="0.25">
      <c r="H5" s="27" t="s">
        <v>35</v>
      </c>
      <c r="I5" s="27"/>
      <c r="J5" s="28"/>
      <c r="K5" s="28"/>
      <c r="L5" s="29"/>
      <c r="M5" s="29"/>
      <c r="N5" s="29"/>
      <c r="O5" s="30"/>
      <c r="P5" s="29"/>
      <c r="Q5" s="29"/>
      <c r="R5" s="29"/>
      <c r="S5" s="29"/>
      <c r="T5" s="29"/>
      <c r="U5" s="29"/>
      <c r="V5" s="29"/>
      <c r="W5" s="29"/>
      <c r="X5" s="29"/>
      <c r="Y5" s="31"/>
      <c r="AB5" s="25"/>
    </row>
    <row r="6" spans="1:28" ht="13.8" x14ac:dyDescent="0.25">
      <c r="A6" s="32" t="e">
        <f ca="1">_xll.SNL.Clients.Office.Excel.Functions.SPG($J6, A$3)</f>
        <v>#NAME?</v>
      </c>
      <c r="B6" s="32" t="e">
        <f ca="1">_xll.BDP($I6,B$3)</f>
        <v>#NAME?</v>
      </c>
      <c r="C6" s="32" t="e">
        <f ca="1">_xll.BDP($I6,C$3)</f>
        <v>#NAME?</v>
      </c>
      <c r="D6" s="33" t="s">
        <v>36</v>
      </c>
      <c r="E6" s="33" t="s">
        <v>37</v>
      </c>
      <c r="F6" s="34" t="e">
        <f ca="1">_xll.SNL.Clients.Office.Excel.Functions.SPG($J6, "IQ_TEV", "Options: Curr=USD")</f>
        <v>#NAME?</v>
      </c>
      <c r="G6" s="34" t="e">
        <f ca="1">_xll.SNL.Clients.Office.Excel.Functions.SPG($J6, "SP_MARKETCAP", "Options: Curr=USD")</f>
        <v>#NAME?</v>
      </c>
      <c r="H6" s="35" t="s">
        <v>38</v>
      </c>
      <c r="I6" s="36" t="s">
        <v>39</v>
      </c>
      <c r="J6" s="36" t="s">
        <v>40</v>
      </c>
      <c r="K6" s="37" t="str" cm="1">
        <f t="array" aca="1" ref="K6" ca="1">IFERROR(_xll.SNL.Clients.Office.Excel.Functions.SPG($J6, $K$3)/100,"NA")</f>
        <v>NA</v>
      </c>
      <c r="L6" s="38" t="e" cm="1">
        <f t="array" aca="1" ref="L6" ca="1">_xll.SNL.Clients.Office.Excel.Functions.SPG($J6, "SP_PCFPS_FWD",L$2)</f>
        <v>#NAME?</v>
      </c>
      <c r="M6" s="39" t="e" cm="1">
        <f t="array" aca="1" ref="M6" ca="1">_xll.SNL.Clients.Office.Excel.Functions.SPG($J6, "SP_PCFPS_FWD",M$2)</f>
        <v>#NAME?</v>
      </c>
      <c r="N6" s="40" t="e" cm="1">
        <f t="array" aca="1" ref="N6" ca="1">_xll.SNL.Clients.Office.Excel.Functions.SPG($J6, "SP_PCFPS_FWD",N$2)</f>
        <v>#NAME?</v>
      </c>
      <c r="O6" s="41" t="e">
        <f ca="1">_xll.SNL.Clients.Office.Excel.Functions.SPG($J6, "SP_FCF_EST",O$2, "Options: Curr=USD")/1000/$G6</f>
        <v>#NAME?</v>
      </c>
      <c r="P6" s="42" t="e">
        <f ca="1">_xll.SNL.Clients.Office.Excel.Functions.SPG($J6, "SP_FCF_EST",P$2, "Options: Curr=USD")/1000/$G6</f>
        <v>#NAME?</v>
      </c>
      <c r="Q6" s="38" t="e" cm="1">
        <f t="array" aca="1" ref="Q6" ca="1">_xll.SNL.Clients.Office.Excel.Functions.SPG($J6, "SP_PE_FWD",Q$2)</f>
        <v>#NAME?</v>
      </c>
      <c r="R6" s="39" t="e" cm="1">
        <f t="array" aca="1" ref="R6" ca="1">_xll.SNL.Clients.Office.Excel.Functions.SPG($J6, "SP_PE_FWD",R$2)</f>
        <v>#NAME?</v>
      </c>
      <c r="S6" s="40" t="e" cm="1">
        <f t="array" aca="1" ref="S6" ca="1">_xll.SNL.Clients.Office.Excel.Functions.SPG($J6, "SP_PE_FWD",S$2)</f>
        <v>#NAME?</v>
      </c>
      <c r="T6" s="43" t="e" cm="1">
        <f t="array" aca="1" ref="T6" ca="1">IF((_xll.SNL.Clients.Office.Excel.Functions.SPG($J6,$T$3,T$4,"Options: Curr=USD") / _xll.SNL.Clients.Office.Excel.Functions.SPG($J6,"SP_EBITDA_EST",T$2,"Options: Curr=USD")) &lt; 0, "NM", (_xll.SNL.Clients.Office.Excel.Functions.SPG($J6,$T$3,T$4,"Options: Curr=USD") / _xll.SNL.Clients.Office.Excel.Functions.SPG($J6,"SP_EBITDA_EST",T$2,"Options: Curr=USD")))</f>
        <v>#NAME?</v>
      </c>
      <c r="U6" s="44" t="e" cm="1">
        <f t="array" aca="1" ref="U6" ca="1">_xll.SNL.Clients.Office.Excel.Functions.SPG($J6, $U$3,U$4)</f>
        <v>#NAME?</v>
      </c>
      <c r="V6" s="38" t="e" cm="1">
        <f t="array" aca="1" ref="V6" ca="1">_xll.SNL.Clients.Office.Excel.Functions.SPG($J6, $V$3,V$2)</f>
        <v>#NAME?</v>
      </c>
      <c r="W6" s="39" t="e" cm="1">
        <f t="array" aca="1" ref="W6" ca="1">_xll.SNL.Clients.Office.Excel.Functions.SPG($J6, $V$3,W$2)</f>
        <v>#NAME?</v>
      </c>
      <c r="X6" s="40" t="e" cm="1">
        <f t="array" aca="1" ref="X6" ca="1">_xll.SNL.Clients.Office.Excel.Functions.SPG($J6, $V$3,X$2)</f>
        <v>#NAME?</v>
      </c>
      <c r="Y6" s="45" t="e" cm="1">
        <f t="array" aca="1" ref="Y6" ca="1">_xll.SNL.Clients.Office.Excel.Functions.SPG($J6, $Y$3)</f>
        <v>#NAME?</v>
      </c>
      <c r="AB6" s="25" t="s">
        <v>41</v>
      </c>
    </row>
    <row r="7" spans="1:28" ht="13.8" x14ac:dyDescent="0.25">
      <c r="A7" s="32" t="e">
        <f ca="1">_xll.SNL.Clients.Office.Excel.Functions.SPG($J7, A$3)</f>
        <v>#NAME?</v>
      </c>
      <c r="B7" s="32"/>
      <c r="C7" s="32"/>
      <c r="D7" s="32"/>
      <c r="E7" s="32"/>
      <c r="F7" s="34" t="e">
        <f ca="1">_xll.SNL.Clients.Office.Excel.Functions.SPG($J7, "IQ_TEV", "Options: Curr=USD")</f>
        <v>#NAME?</v>
      </c>
      <c r="G7" s="34" t="e">
        <f ca="1">_xll.SNL.Clients.Office.Excel.Functions.SPG($J7, "SP_MARKETCAP", "Options: Curr=USD")</f>
        <v>#NAME?</v>
      </c>
      <c r="H7" s="35" t="s">
        <v>42</v>
      </c>
      <c r="I7" s="35"/>
      <c r="J7" s="36" t="s">
        <v>43</v>
      </c>
      <c r="K7" s="37" t="str" cm="1">
        <f t="array" aca="1" ref="K7" ca="1">IFERROR(_xll.SNL.Clients.Office.Excel.Functions.SPG($J7, $K$3)/100,"NA")</f>
        <v>NA</v>
      </c>
      <c r="L7" s="38" t="e" cm="1">
        <f t="array" aca="1" ref="L7" ca="1">_xll.SNL.Clients.Office.Excel.Functions.SPG($J7, "SP_PCFPS_FWD",L$2)</f>
        <v>#NAME?</v>
      </c>
      <c r="M7" s="39" t="e" cm="1">
        <f t="array" aca="1" ref="M7" ca="1">_xll.SNL.Clients.Office.Excel.Functions.SPG($J7, "SP_PCFPS_FWD",M$2)</f>
        <v>#NAME?</v>
      </c>
      <c r="N7" s="40" t="e" cm="1">
        <f t="array" aca="1" ref="N7" ca="1">_xll.SNL.Clients.Office.Excel.Functions.SPG($J7, "SP_PCFPS_FWD",N$2)</f>
        <v>#NAME?</v>
      </c>
      <c r="O7" s="41" t="e">
        <f ca="1">_xll.SNL.Clients.Office.Excel.Functions.SPG($J7, "SP_FCF_EST",O$2, "Options: Curr=USD")/1000/$G7</f>
        <v>#NAME?</v>
      </c>
      <c r="P7" s="41" t="e">
        <f ca="1">_xll.SNL.Clients.Office.Excel.Functions.SPG($J7, "SP_FCF_EST",P$2, "Options: Curr=USD")/1000/$G7</f>
        <v>#NAME?</v>
      </c>
      <c r="Q7" s="38" t="e" cm="1">
        <f t="array" aca="1" ref="Q7" ca="1">_xll.SNL.Clients.Office.Excel.Functions.SPG($J7, "SP_PE_FWD",Q$2)</f>
        <v>#NAME?</v>
      </c>
      <c r="R7" s="39" t="e" cm="1">
        <f t="array" aca="1" ref="R7" ca="1">_xll.SNL.Clients.Office.Excel.Functions.SPG($J7, "SP_PE_FWD",R$2)</f>
        <v>#NAME?</v>
      </c>
      <c r="S7" s="40" t="e" cm="1">
        <f t="array" aca="1" ref="S7" ca="1">_xll.SNL.Clients.Office.Excel.Functions.SPG($J7, "SP_PE_FWD",S$2)</f>
        <v>#NAME?</v>
      </c>
      <c r="T7" s="46" t="e" cm="1">
        <f t="array" aca="1" ref="T7" ca="1">IF((_xll.SNL.Clients.Office.Excel.Functions.SPG($J7,$T$3,T$4,"Options: Curr=USD") / _xll.SNL.Clients.Office.Excel.Functions.SPG($J7,"SP_EBITDA_EST",T$2,"Options: Curr=USD")) &lt; 0, "NM", (_xll.SNL.Clients.Office.Excel.Functions.SPG($J7,$T$3,T$4,"Options: Curr=USD") / _xll.SNL.Clients.Office.Excel.Functions.SPG($J7,"SP_EBITDA_EST",T$2,"Options: Curr=USD")))</f>
        <v>#NAME?</v>
      </c>
      <c r="U7" s="47" t="e" cm="1">
        <f t="array" aca="1" ref="U7" ca="1">_xll.SNL.Clients.Office.Excel.Functions.SPG($J7, $U$3,U$4)</f>
        <v>#NAME?</v>
      </c>
      <c r="V7" s="38" t="e" cm="1">
        <f t="array" aca="1" ref="V7" ca="1">_xll.SNL.Clients.Office.Excel.Functions.SPG($J7, $V$3,V$2)</f>
        <v>#NAME?</v>
      </c>
      <c r="W7" s="39" t="e" cm="1">
        <f t="array" aca="1" ref="W7" ca="1">_xll.SNL.Clients.Office.Excel.Functions.SPG($J7, $V$3,W$2)</f>
        <v>#NAME?</v>
      </c>
      <c r="X7" s="40" t="e" cm="1">
        <f t="array" aca="1" ref="X7" ca="1">_xll.SNL.Clients.Office.Excel.Functions.SPG($J7, $V$3,X$2)</f>
        <v>#NAME?</v>
      </c>
      <c r="Y7" s="45" t="e" cm="1">
        <f t="array" aca="1" ref="Y7" ca="1">_xll.SNL.Clients.Office.Excel.Functions.SPG($J7, $Y$3)</f>
        <v>#NAME?</v>
      </c>
      <c r="AB7" s="48" t="s">
        <v>44</v>
      </c>
    </row>
    <row r="8" spans="1:28" ht="13.8" x14ac:dyDescent="0.25">
      <c r="A8" s="32" t="e">
        <f ca="1">_xll.SNL.Clients.Office.Excel.Functions.SPG($J8, A$3)</f>
        <v>#NAME?</v>
      </c>
      <c r="B8" s="32"/>
      <c r="C8" s="32"/>
      <c r="D8" s="32"/>
      <c r="E8" s="32"/>
      <c r="F8" s="34" t="e">
        <f ca="1">_xll.SNL.Clients.Office.Excel.Functions.SPG($J8, "IQ_TEV", "Options: Curr=USD")</f>
        <v>#NAME?</v>
      </c>
      <c r="G8" s="34" t="e">
        <f ca="1">_xll.SNL.Clients.Office.Excel.Functions.SPG($J8, "SP_MARKETCAP", "Options: Curr=USD")</f>
        <v>#NAME?</v>
      </c>
      <c r="H8" s="35" t="s">
        <v>45</v>
      </c>
      <c r="I8" s="35"/>
      <c r="J8" s="36" t="s">
        <v>46</v>
      </c>
      <c r="K8" s="37" t="str" cm="1">
        <f t="array" aca="1" ref="K8" ca="1">IFERROR(_xll.SNL.Clients.Office.Excel.Functions.SPG($J8, $K$3)/100,"NA")</f>
        <v>NA</v>
      </c>
      <c r="L8" s="38" t="e" cm="1">
        <f t="array" aca="1" ref="L8" ca="1">_xll.SNL.Clients.Office.Excel.Functions.SPG($J8, "SP_PCFPS_FWD",L$2)</f>
        <v>#NAME?</v>
      </c>
      <c r="M8" s="39" t="e" cm="1">
        <f t="array" aca="1" ref="M8" ca="1">_xll.SNL.Clients.Office.Excel.Functions.SPG($J8, "SP_PCFPS_FWD",M$2)</f>
        <v>#NAME?</v>
      </c>
      <c r="N8" s="40" t="e" cm="1">
        <f t="array" aca="1" ref="N8" ca="1">_xll.SNL.Clients.Office.Excel.Functions.SPG($J8, "SP_PCFPS_FWD",N$2)</f>
        <v>#NAME?</v>
      </c>
      <c r="O8" s="41" t="e">
        <f ca="1">_xll.SNL.Clients.Office.Excel.Functions.SPG($J8, "SP_FCF_EST",O$2, "Options: Curr=USD")/1000/$G8</f>
        <v>#NAME?</v>
      </c>
      <c r="P8" s="41" t="e">
        <f ca="1">_xll.SNL.Clients.Office.Excel.Functions.SPG($J8, "SP_FCF_EST",P$2, "Options: Curr=USD")/1000/$G8</f>
        <v>#NAME?</v>
      </c>
      <c r="Q8" s="38" t="e" cm="1">
        <f t="array" aca="1" ref="Q8" ca="1">_xll.SNL.Clients.Office.Excel.Functions.SPG($J8, "SP_PE_FWD",Q$2)</f>
        <v>#NAME?</v>
      </c>
      <c r="R8" s="39" t="e" cm="1">
        <f t="array" aca="1" ref="R8" ca="1">_xll.SNL.Clients.Office.Excel.Functions.SPG($J8, "SP_PE_FWD",R$2)</f>
        <v>#NAME?</v>
      </c>
      <c r="S8" s="40" t="e" cm="1">
        <f t="array" aca="1" ref="S8" ca="1">_xll.SNL.Clients.Office.Excel.Functions.SPG($J8, "SP_PE_FWD",S$2)</f>
        <v>#NAME?</v>
      </c>
      <c r="T8" s="46" t="e" cm="1">
        <f t="array" aca="1" ref="T8" ca="1">IF((_xll.SNL.Clients.Office.Excel.Functions.SPG($J8,$T$3,T$4,"Options: Curr=USD") / _xll.SNL.Clients.Office.Excel.Functions.SPG($J8,"SP_EBITDA_EST",T$2,"Options: Curr=USD")) &lt; 0, "NM", (_xll.SNL.Clients.Office.Excel.Functions.SPG($J8,$T$3,T$4,"Options: Curr=USD") / _xll.SNL.Clients.Office.Excel.Functions.SPG($J8,"SP_EBITDA_EST",T$2,"Options: Curr=USD")))</f>
        <v>#NAME?</v>
      </c>
      <c r="U8" s="47" t="e" cm="1">
        <f t="array" aca="1" ref="U8" ca="1">_xll.SNL.Clients.Office.Excel.Functions.SPG($J8, $U$3,U$4)</f>
        <v>#NAME?</v>
      </c>
      <c r="V8" s="38" t="e" cm="1">
        <f t="array" aca="1" ref="V8" ca="1">_xll.SNL.Clients.Office.Excel.Functions.SPG($J8, $V$3,V$2)</f>
        <v>#NAME?</v>
      </c>
      <c r="W8" s="39" t="e" cm="1">
        <f t="array" aca="1" ref="W8" ca="1">_xll.SNL.Clients.Office.Excel.Functions.SPG($J8, $V$3,W$2)</f>
        <v>#NAME?</v>
      </c>
      <c r="X8" s="40" t="e" cm="1">
        <f t="array" aca="1" ref="X8" ca="1">_xll.SNL.Clients.Office.Excel.Functions.SPG($J8, $V$3,X$2)</f>
        <v>#NAME?</v>
      </c>
      <c r="Y8" s="45" t="e" cm="1">
        <f t="array" aca="1" ref="Y8" ca="1">_xll.SNL.Clients.Office.Excel.Functions.SPG($J8, $Y$3)</f>
        <v>#NAME?</v>
      </c>
      <c r="AB8" s="48" t="s">
        <v>44</v>
      </c>
    </row>
    <row r="9" spans="1:28" ht="13.8" x14ac:dyDescent="0.25">
      <c r="A9" s="32" t="e">
        <f ca="1">_xll.SNL.Clients.Office.Excel.Functions.SPG($J9, A$3)</f>
        <v>#NAME?</v>
      </c>
      <c r="B9" s="32"/>
      <c r="C9" s="32"/>
      <c r="D9" s="32"/>
      <c r="E9" s="32"/>
      <c r="F9" s="34" t="e">
        <f ca="1">_xll.SNL.Clients.Office.Excel.Functions.SPG($J9, "IQ_TEV", "Options: Curr=USD")</f>
        <v>#NAME?</v>
      </c>
      <c r="G9" s="34" t="e">
        <f ca="1">_xll.SNL.Clients.Office.Excel.Functions.SPG($J9, "SP_MARKETCAP", "Options: Curr=USD")</f>
        <v>#NAME?</v>
      </c>
      <c r="H9" s="35" t="s">
        <v>47</v>
      </c>
      <c r="I9" s="35"/>
      <c r="J9" s="36" t="s">
        <v>48</v>
      </c>
      <c r="K9" s="37" t="str" cm="1">
        <f t="array" aca="1" ref="K9" ca="1">IFERROR(_xll.SNL.Clients.Office.Excel.Functions.SPG($J9, $K$3)/100,"NA")</f>
        <v>NA</v>
      </c>
      <c r="L9" s="38" t="e" cm="1">
        <f t="array" aca="1" ref="L9" ca="1">_xll.SNL.Clients.Office.Excel.Functions.SPG($J9, "SP_PCFPS_FWD",L$2)</f>
        <v>#NAME?</v>
      </c>
      <c r="M9" s="39" t="e" cm="1">
        <f t="array" aca="1" ref="M9" ca="1">_xll.SNL.Clients.Office.Excel.Functions.SPG($J9, "SP_PCFPS_FWD",M$2)</f>
        <v>#NAME?</v>
      </c>
      <c r="N9" s="40" t="e" cm="1">
        <f t="array" aca="1" ref="N9" ca="1">_xll.SNL.Clients.Office.Excel.Functions.SPG($J9, "SP_PCFPS_FWD",N$2)</f>
        <v>#NAME?</v>
      </c>
      <c r="O9" s="41" t="e">
        <f ca="1">_xll.SNL.Clients.Office.Excel.Functions.SPG($J9, "SP_FCF_EST",O$2, "Options: Curr=USD")/1000/$G9</f>
        <v>#NAME?</v>
      </c>
      <c r="P9" s="41" t="e">
        <f ca="1">_xll.SNL.Clients.Office.Excel.Functions.SPG($J9, "SP_FCF_EST",P$2, "Options: Curr=USD")/1000/$G9</f>
        <v>#NAME?</v>
      </c>
      <c r="Q9" s="38" t="e" cm="1">
        <f t="array" aca="1" ref="Q9" ca="1">_xll.SNL.Clients.Office.Excel.Functions.SPG($J9, "SP_PE_FWD",Q$2)</f>
        <v>#NAME?</v>
      </c>
      <c r="R9" s="39" t="e" cm="1">
        <f t="array" aca="1" ref="R9" ca="1">_xll.SNL.Clients.Office.Excel.Functions.SPG($J9, "SP_PE_FWD",R$2)</f>
        <v>#NAME?</v>
      </c>
      <c r="S9" s="40" t="e" cm="1">
        <f t="array" aca="1" ref="S9" ca="1">_xll.SNL.Clients.Office.Excel.Functions.SPG($J9, "SP_PE_FWD",S$2)</f>
        <v>#NAME?</v>
      </c>
      <c r="T9" s="49" t="e" cm="1">
        <f t="array" aca="1" ref="T9" ca="1">IF((_xll.SNL.Clients.Office.Excel.Functions.SPG($J9,$T$3,T$4,"Options: Curr=USD") / _xll.SNL.Clients.Office.Excel.Functions.SPG($J9,"SP_EBITDA_EST",T$2,"Options: Curr=USD")) &lt; 0, "NM", (_xll.SNL.Clients.Office.Excel.Functions.SPG($J9,$T$3,T$4,"Options: Curr=USD") / _xll.SNL.Clients.Office.Excel.Functions.SPG($J9,"SP_EBITDA_EST",T$2,"Options: Curr=USD")))</f>
        <v>#NAME?</v>
      </c>
      <c r="U9" s="50" t="e" cm="1">
        <f t="array" aca="1" ref="U9" ca="1">_xll.SNL.Clients.Office.Excel.Functions.SPG($J9, $U$3,U$4)</f>
        <v>#NAME?</v>
      </c>
      <c r="V9" s="38" t="e" cm="1">
        <f t="array" aca="1" ref="V9" ca="1">_xll.SNL.Clients.Office.Excel.Functions.SPG($J9, $V$3,V$2)</f>
        <v>#NAME?</v>
      </c>
      <c r="W9" s="39" t="e" cm="1">
        <f t="array" aca="1" ref="W9" ca="1">_xll.SNL.Clients.Office.Excel.Functions.SPG($J9, $V$3,W$2)</f>
        <v>#NAME?</v>
      </c>
      <c r="X9" s="40" t="e" cm="1">
        <f t="array" aca="1" ref="X9" ca="1">_xll.SNL.Clients.Office.Excel.Functions.SPG($J9, $V$3,X$2)</f>
        <v>#NAME?</v>
      </c>
      <c r="Y9" s="45" t="e" cm="1">
        <f t="array" aca="1" ref="Y9" ca="1">_xll.SNL.Clients.Office.Excel.Functions.SPG($J9, $Y$3)</f>
        <v>#NAME?</v>
      </c>
      <c r="AB9" s="48" t="s">
        <v>44</v>
      </c>
    </row>
    <row r="10" spans="1:28" x14ac:dyDescent="0.25">
      <c r="A10" s="32"/>
      <c r="B10" s="32"/>
      <c r="C10" s="32"/>
      <c r="D10" s="32"/>
      <c r="E10" s="32"/>
      <c r="H10" s="51"/>
      <c r="I10" s="51"/>
      <c r="J10" s="51" t="s">
        <v>49</v>
      </c>
      <c r="K10" s="52" t="e" cm="1">
        <f t="array" aca="1" ref="K10" ca="1">AVERAGE(IFERROR(K6:K9, ""))</f>
        <v>#DIV/0!</v>
      </c>
      <c r="L10" s="53" t="e">
        <f t="shared" ref="L10:S10" ca="1" si="0">AVERAGE(L6:L9)</f>
        <v>#NAME?</v>
      </c>
      <c r="M10" s="54" t="e">
        <f t="shared" ca="1" si="0"/>
        <v>#NAME?</v>
      </c>
      <c r="N10" s="55" t="e">
        <f t="shared" ca="1" si="0"/>
        <v>#NAME?</v>
      </c>
      <c r="O10" s="56" t="e">
        <f t="shared" ca="1" si="0"/>
        <v>#NAME?</v>
      </c>
      <c r="P10" s="56" t="e">
        <f t="shared" ca="1" si="0"/>
        <v>#NAME?</v>
      </c>
      <c r="Q10" s="53" t="e">
        <f t="shared" ca="1" si="0"/>
        <v>#NAME?</v>
      </c>
      <c r="R10" s="54" t="e">
        <f t="shared" ca="1" si="0"/>
        <v>#NAME?</v>
      </c>
      <c r="S10" s="55" t="e">
        <f t="shared" ca="1" si="0"/>
        <v>#NAME?</v>
      </c>
      <c r="T10" s="54"/>
      <c r="U10" s="54"/>
      <c r="V10" s="57" t="e" cm="1">
        <f t="array" aca="1" ref="V10" ca="1">AVERAGE(IFERROR(V8:V9, ""))</f>
        <v>#DIV/0!</v>
      </c>
      <c r="W10" s="57" t="e" cm="1">
        <f t="array" aca="1" ref="W10" ca="1">AVERAGE(IFERROR(W8:W9, ""))</f>
        <v>#DIV/0!</v>
      </c>
      <c r="X10" s="57" t="e" cm="1">
        <f t="array" aca="1" ref="X10" ca="1">AVERAGE(IFERROR(X8:X9, ""))</f>
        <v>#DIV/0!</v>
      </c>
      <c r="Y10" s="58" t="e">
        <f ca="1">AVERAGE(Y6:Y9)</f>
        <v>#NAME?</v>
      </c>
      <c r="AB10" s="25"/>
    </row>
    <row r="11" spans="1:28" ht="16.8" collapsed="1" x14ac:dyDescent="0.25">
      <c r="A11" s="32"/>
      <c r="B11" s="32"/>
      <c r="C11" s="32"/>
      <c r="D11" s="32"/>
      <c r="E11" s="32"/>
      <c r="H11" s="27" t="s">
        <v>50</v>
      </c>
      <c r="I11" s="27"/>
      <c r="J11" s="28"/>
      <c r="K11" s="28"/>
      <c r="L11" s="29"/>
      <c r="M11" s="29"/>
      <c r="N11" s="29"/>
      <c r="O11" s="30"/>
      <c r="P11" s="29"/>
      <c r="Q11" s="29"/>
      <c r="R11" s="29"/>
      <c r="S11" s="29"/>
      <c r="T11" s="29"/>
      <c r="U11" s="29"/>
      <c r="V11" s="29"/>
      <c r="W11" s="29"/>
      <c r="X11" s="29"/>
      <c r="Y11" s="31"/>
      <c r="AB11" s="25"/>
    </row>
    <row r="12" spans="1:28" ht="13.8" x14ac:dyDescent="0.25">
      <c r="A12" s="32" t="e">
        <f ca="1">_xll.SNL.Clients.Office.Excel.Functions.SPG($J12, A$3)</f>
        <v>#NAME?</v>
      </c>
      <c r="B12" s="32"/>
      <c r="C12" s="32"/>
      <c r="D12" s="32"/>
      <c r="E12" s="32"/>
      <c r="F12" s="34" t="e">
        <f ca="1">_xll.SNL.Clients.Office.Excel.Functions.SPG($J12, "IQ_TEV", "Options: Curr=USD")</f>
        <v>#NAME?</v>
      </c>
      <c r="G12" s="34" t="e">
        <f ca="1">_xll.SNL.Clients.Office.Excel.Functions.SPG($J12, "SP_MARKETCAP", "Options: Curr=USD")</f>
        <v>#NAME?</v>
      </c>
      <c r="H12" s="35" t="s">
        <v>51</v>
      </c>
      <c r="I12" s="35"/>
      <c r="J12" s="36" t="s">
        <v>52</v>
      </c>
      <c r="K12" s="37" t="str" cm="1">
        <f t="array" aca="1" ref="K12" ca="1">IFERROR(_xll.SNL.Clients.Office.Excel.Functions.SPG($J12, $K$3)/100,"NA")</f>
        <v>NA</v>
      </c>
      <c r="L12" s="38" t="e" cm="1">
        <f t="array" aca="1" ref="L12" ca="1">_xll.SNL.Clients.Office.Excel.Functions.SPG($J12, "SP_PCFPS_FWD",L$2)</f>
        <v>#NAME?</v>
      </c>
      <c r="M12" s="39" t="e" cm="1">
        <f t="array" aca="1" ref="M12" ca="1">_xll.SNL.Clients.Office.Excel.Functions.SPG($J12, "SP_PCFPS_FWD",M$2)</f>
        <v>#NAME?</v>
      </c>
      <c r="N12" s="40" t="e" cm="1">
        <f t="array" aca="1" ref="N12" ca="1">_xll.SNL.Clients.Office.Excel.Functions.SPG($J12, "SP_PCFPS_FWD",N$2)</f>
        <v>#NAME?</v>
      </c>
      <c r="O12" s="59" t="e">
        <f ca="1">_xll.SNL.Clients.Office.Excel.Functions.SPG($J12, "SP_FCF_EST",O$2, "Options: Curr=USD")/1000/$G12</f>
        <v>#NAME?</v>
      </c>
      <c r="P12" s="42" t="e">
        <f ca="1">_xll.SNL.Clients.Office.Excel.Functions.SPG($J12, "SP_FCF_EST",P$2, "Options: Curr=USD")/1000/$G12</f>
        <v>#NAME?</v>
      </c>
      <c r="Q12" s="38" t="e" cm="1">
        <f t="array" aca="1" ref="Q12" ca="1">_xll.SNL.Clients.Office.Excel.Functions.SPG($J12, "SP_PE_FWD",Q$2)</f>
        <v>#NAME?</v>
      </c>
      <c r="R12" s="39" t="e" cm="1">
        <f t="array" aca="1" ref="R12" ca="1">_xll.SNL.Clients.Office.Excel.Functions.SPG($J12, "SP_PE_FWD",R$2)</f>
        <v>#NAME?</v>
      </c>
      <c r="S12" s="40" t="e" cm="1">
        <f t="array" aca="1" ref="S12" ca="1">_xll.SNL.Clients.Office.Excel.Functions.SPG($J12, "SP_PE_FWD",S$2)</f>
        <v>#NAME?</v>
      </c>
      <c r="T12" s="46" t="e" cm="1">
        <f t="array" aca="1" ref="T12" ca="1">IF((_xll.SNL.Clients.Office.Excel.Functions.SPG($J12,$T$3,T$4,"Options: Curr=USD") / _xll.SNL.Clients.Office.Excel.Functions.SPG($J12,"SP_EBITDA_EST",T$2,"Options: Curr=USD")) &lt; 0, "NM", (_xll.SNL.Clients.Office.Excel.Functions.SPG($J12,$T$3,T$4,"Options: Curr=USD") / _xll.SNL.Clients.Office.Excel.Functions.SPG($J12,"SP_EBITDA_EST",T$2,"Options: Curr=USD")))</f>
        <v>#NAME?</v>
      </c>
      <c r="U12" s="44" t="e" cm="1">
        <f t="array" aca="1" ref="U12" ca="1">_xll.SNL.Clients.Office.Excel.Functions.SPG($J12, $U$3,U$4)</f>
        <v>#NAME?</v>
      </c>
      <c r="V12" s="38" t="e" cm="1">
        <f t="array" aca="1" ref="V12" ca="1">_xll.SNL.Clients.Office.Excel.Functions.SPG($J12, $V$3,V$2)</f>
        <v>#NAME?</v>
      </c>
      <c r="W12" s="39" t="e" cm="1">
        <f t="array" aca="1" ref="W12" ca="1">_xll.SNL.Clients.Office.Excel.Functions.SPG($J12, $V$3,W$2)</f>
        <v>#NAME?</v>
      </c>
      <c r="X12" s="40" t="e" cm="1">
        <f t="array" aca="1" ref="X12" ca="1">_xll.SNL.Clients.Office.Excel.Functions.SPG($J12, $V$3,X$2)</f>
        <v>#NAME?</v>
      </c>
      <c r="Y12" s="45" t="e" cm="1">
        <f t="array" aca="1" ref="Y12" ca="1">_xll.SNL.Clients.Office.Excel.Functions.SPG($J12, $Y$3)</f>
        <v>#NAME?</v>
      </c>
      <c r="AB12" s="48" t="s">
        <v>44</v>
      </c>
    </row>
    <row r="13" spans="1:28" ht="13.8" x14ac:dyDescent="0.25">
      <c r="A13" s="32" t="e">
        <f ca="1">_xll.SNL.Clients.Office.Excel.Functions.SPG($J13, A$3)</f>
        <v>#NAME?</v>
      </c>
      <c r="B13" s="32"/>
      <c r="C13" s="32"/>
      <c r="D13" s="32"/>
      <c r="E13" s="32"/>
      <c r="F13" s="34" t="e">
        <f ca="1">_xll.SNL.Clients.Office.Excel.Functions.SPG($J13, "IQ_TEV", "Options: Curr=USD")</f>
        <v>#NAME?</v>
      </c>
      <c r="G13" s="34" t="e">
        <f ca="1">_xll.SNL.Clients.Office.Excel.Functions.SPG($J13, "SP_MARKETCAP", "Options: Curr=USD")</f>
        <v>#NAME?</v>
      </c>
      <c r="H13" s="35" t="s">
        <v>53</v>
      </c>
      <c r="I13" s="35"/>
      <c r="J13" s="36" t="s">
        <v>54</v>
      </c>
      <c r="K13" s="37" t="str" cm="1">
        <f t="array" aca="1" ref="K13" ca="1">IFERROR(_xll.SNL.Clients.Office.Excel.Functions.SPG($J13, $K$3)/100,"NA")</f>
        <v>NA</v>
      </c>
      <c r="L13" s="38" t="e" cm="1">
        <f t="array" aca="1" ref="L13" ca="1">_xll.SNL.Clients.Office.Excel.Functions.SPG($J13, "SP_PCFPS_FWD",L$2)</f>
        <v>#NAME?</v>
      </c>
      <c r="M13" s="39" t="e" cm="1">
        <f t="array" aca="1" ref="M13" ca="1">_xll.SNL.Clients.Office.Excel.Functions.SPG($J13, "SP_PCFPS_FWD",M$2)</f>
        <v>#NAME?</v>
      </c>
      <c r="N13" s="40" t="e" cm="1">
        <f t="array" aca="1" ref="N13" ca="1">_xll.SNL.Clients.Office.Excel.Functions.SPG($J13, "SP_PCFPS_FWD",N$2)</f>
        <v>#NAME?</v>
      </c>
      <c r="O13" s="60" t="e">
        <f ca="1">_xll.SNL.Clients.Office.Excel.Functions.SPG($J13, "SP_FCF_EST",O$2, "Options: Curr=USD")/1000/$G13</f>
        <v>#NAME?</v>
      </c>
      <c r="P13" s="61" t="e">
        <f ca="1">_xll.SNL.Clients.Office.Excel.Functions.SPG($J13, "SP_FCF_EST",P$2, "Options: Curr=USD")/1000/$G13</f>
        <v>#NAME?</v>
      </c>
      <c r="Q13" s="38" t="e" cm="1">
        <f t="array" aca="1" ref="Q13" ca="1">_xll.SNL.Clients.Office.Excel.Functions.SPG($J13, "SP_PE_FWD",Q$2)</f>
        <v>#NAME?</v>
      </c>
      <c r="R13" s="39" t="e" cm="1">
        <f t="array" aca="1" ref="R13" ca="1">_xll.SNL.Clients.Office.Excel.Functions.SPG($J13, "SP_PE_FWD",R$2)</f>
        <v>#NAME?</v>
      </c>
      <c r="S13" s="40" t="e" cm="1">
        <f t="array" aca="1" ref="S13" ca="1">_xll.SNL.Clients.Office.Excel.Functions.SPG($J13, "SP_PE_FWD",S$2)</f>
        <v>#NAME?</v>
      </c>
      <c r="T13" s="46" t="e" cm="1">
        <f t="array" aca="1" ref="T13" ca="1">IF((_xll.SNL.Clients.Office.Excel.Functions.SPG($J13,$T$3,T$4,"Options: Curr=USD") / _xll.SNL.Clients.Office.Excel.Functions.SPG($J13,"SP_EBITDA_EST",T$2,"Options: Curr=USD")) &lt; 0, "NM", (_xll.SNL.Clients.Office.Excel.Functions.SPG($J13,$T$3,T$4,"Options: Curr=USD") / _xll.SNL.Clients.Office.Excel.Functions.SPG($J13,"SP_EBITDA_EST",T$2,"Options: Curr=USD")))</f>
        <v>#NAME?</v>
      </c>
      <c r="U13" s="47" t="e" cm="1">
        <f t="array" aca="1" ref="U13" ca="1">_xll.SNL.Clients.Office.Excel.Functions.SPG($J13, $U$3,U$4)</f>
        <v>#NAME?</v>
      </c>
      <c r="V13" s="38" t="e" cm="1">
        <f t="array" aca="1" ref="V13" ca="1">_xll.SNL.Clients.Office.Excel.Functions.SPG($J13, $V$3,V$2)</f>
        <v>#NAME?</v>
      </c>
      <c r="W13" s="39" t="e" cm="1">
        <f t="array" aca="1" ref="W13" ca="1">_xll.SNL.Clients.Office.Excel.Functions.SPG($J13, $V$3,W$2)</f>
        <v>#NAME?</v>
      </c>
      <c r="X13" s="40" t="e" cm="1">
        <f t="array" aca="1" ref="X13" ca="1">_xll.SNL.Clients.Office.Excel.Functions.SPG($J13, $V$3,X$2)</f>
        <v>#NAME?</v>
      </c>
      <c r="Y13" s="45" t="e" cm="1">
        <f t="array" aca="1" ref="Y13" ca="1">_xll.SNL.Clients.Office.Excel.Functions.SPG($J13, $Y$3)</f>
        <v>#NAME?</v>
      </c>
      <c r="AB13" s="48" t="s">
        <v>44</v>
      </c>
    </row>
    <row r="14" spans="1:28" ht="13.8" x14ac:dyDescent="0.25">
      <c r="A14" s="32" t="e">
        <f ca="1">_xll.SNL.Clients.Office.Excel.Functions.SPG($J14, A$3)</f>
        <v>#NAME?</v>
      </c>
      <c r="B14" s="32"/>
      <c r="C14" s="32"/>
      <c r="D14" s="32"/>
      <c r="E14" s="32"/>
      <c r="F14" s="34" t="e">
        <f ca="1">_xll.SNL.Clients.Office.Excel.Functions.SPG($J14, "IQ_TEV", "Options: Curr=USD")</f>
        <v>#NAME?</v>
      </c>
      <c r="G14" s="34" t="e">
        <f ca="1">_xll.SNL.Clients.Office.Excel.Functions.SPG($J14, "SP_MARKETCAP", "Options: Curr=USD")</f>
        <v>#NAME?</v>
      </c>
      <c r="H14" s="35" t="s">
        <v>55</v>
      </c>
      <c r="I14" s="35"/>
      <c r="J14" s="36" t="s">
        <v>56</v>
      </c>
      <c r="K14" s="37" t="str" cm="1">
        <f t="array" aca="1" ref="K14" ca="1">IFERROR(_xll.SNL.Clients.Office.Excel.Functions.SPG($J14, $K$3)/100,"NA")</f>
        <v>NA</v>
      </c>
      <c r="L14" s="38" t="e" cm="1">
        <f t="array" aca="1" ref="L14" ca="1">_xll.SNL.Clients.Office.Excel.Functions.SPG($J14, "SP_PCFPS_FWD",L$2)</f>
        <v>#NAME?</v>
      </c>
      <c r="M14" s="39" t="e" cm="1">
        <f t="array" aca="1" ref="M14" ca="1">_xll.SNL.Clients.Office.Excel.Functions.SPG($J14, "SP_PCFPS_FWD",M$2)</f>
        <v>#NAME?</v>
      </c>
      <c r="N14" s="40" t="e" cm="1">
        <f t="array" aca="1" ref="N14" ca="1">_xll.SNL.Clients.Office.Excel.Functions.SPG($J14, "SP_PCFPS_FWD",N$2)</f>
        <v>#NAME?</v>
      </c>
      <c r="O14" s="60" t="e">
        <f ca="1">_xll.SNL.Clients.Office.Excel.Functions.SPG($J14, "SP_FCF_EST",O$2, "Options: Curr=USD")/1000/$G14</f>
        <v>#NAME?</v>
      </c>
      <c r="P14" s="61" t="e">
        <f ca="1">_xll.SNL.Clients.Office.Excel.Functions.SPG($J14, "SP_FCF_EST",P$2, "Options: Curr=USD")/1000/$G14</f>
        <v>#NAME?</v>
      </c>
      <c r="Q14" s="38" t="e" cm="1">
        <f t="array" aca="1" ref="Q14" ca="1">_xll.SNL.Clients.Office.Excel.Functions.SPG($J14, "SP_PE_FWD",Q$2)</f>
        <v>#NAME?</v>
      </c>
      <c r="R14" s="39" t="e" cm="1">
        <f t="array" aca="1" ref="R14" ca="1">_xll.SNL.Clients.Office.Excel.Functions.SPG($J14, "SP_PE_FWD",R$2)</f>
        <v>#NAME?</v>
      </c>
      <c r="S14" s="40" t="e" cm="1">
        <f t="array" aca="1" ref="S14" ca="1">_xll.SNL.Clients.Office.Excel.Functions.SPG($J14, "SP_PE_FWD",S$2)</f>
        <v>#NAME?</v>
      </c>
      <c r="T14" s="46" t="e" cm="1">
        <f t="array" aca="1" ref="T14" ca="1">IF((_xll.SNL.Clients.Office.Excel.Functions.SPG($J14,$T$3,T$4,"Options: Curr=USD") / _xll.SNL.Clients.Office.Excel.Functions.SPG($J14,"SP_EBITDA_EST",T$2,"Options: Curr=USD")) &lt; 0, "NM", (_xll.SNL.Clients.Office.Excel.Functions.SPG($J14,$T$3,T$4,"Options: Curr=USD") / _xll.SNL.Clients.Office.Excel.Functions.SPG($J14,"SP_EBITDA_EST",T$2,"Options: Curr=USD")))</f>
        <v>#NAME?</v>
      </c>
      <c r="U14" s="47" t="e" cm="1">
        <f t="array" aca="1" ref="U14" ca="1">_xll.SNL.Clients.Office.Excel.Functions.SPG($J14, $U$3,U$4)</f>
        <v>#NAME?</v>
      </c>
      <c r="V14" s="38" t="e" cm="1">
        <f t="array" aca="1" ref="V14" ca="1">_xll.SNL.Clients.Office.Excel.Functions.SPG($J14, $V$3,V$2)</f>
        <v>#NAME?</v>
      </c>
      <c r="W14" s="39" t="e" cm="1">
        <f t="array" aca="1" ref="W14" ca="1">_xll.SNL.Clients.Office.Excel.Functions.SPG($J14, $V$3,W$2)</f>
        <v>#NAME?</v>
      </c>
      <c r="X14" s="40" t="e" cm="1">
        <f t="array" aca="1" ref="X14" ca="1">_xll.SNL.Clients.Office.Excel.Functions.SPG($J14, $V$3,X$2)</f>
        <v>#NAME?</v>
      </c>
      <c r="Y14" s="45" t="e" cm="1">
        <f t="array" aca="1" ref="Y14" ca="1">_xll.SNL.Clients.Office.Excel.Functions.SPG($J14, $Y$3)</f>
        <v>#NAME?</v>
      </c>
      <c r="AB14" s="48" t="s">
        <v>44</v>
      </c>
    </row>
    <row r="15" spans="1:28" x14ac:dyDescent="0.25">
      <c r="A15" s="32"/>
      <c r="B15" s="32"/>
      <c r="C15" s="32"/>
      <c r="D15" s="32"/>
      <c r="E15" s="32"/>
      <c r="H15" s="51"/>
      <c r="I15" s="51"/>
      <c r="J15" s="51" t="s">
        <v>49</v>
      </c>
      <c r="K15" s="52" t="e" cm="1">
        <f t="array" aca="1" ref="K15" ca="1">AVERAGE(IFERROR(K12:K14, ""))</f>
        <v>#DIV/0!</v>
      </c>
      <c r="L15" s="62" t="e" cm="1">
        <f t="array" aca="1" ref="L15" ca="1">AVERAGE(IFERROR(L12:L14, ""))</f>
        <v>#DIV/0!</v>
      </c>
      <c r="M15" s="57" t="e" cm="1">
        <f t="array" aca="1" ref="M15" ca="1">AVERAGE(IFERROR(M12:M14, ""))</f>
        <v>#DIV/0!</v>
      </c>
      <c r="N15" s="58" t="e" cm="1">
        <f t="array" aca="1" ref="N15" ca="1">AVERAGE(IFERROR(N12:N14, ""))</f>
        <v>#DIV/0!</v>
      </c>
      <c r="O15" s="57" t="e" cm="1">
        <f t="array" aca="1" ref="O15" ca="1">AVERAGE(IFERROR(O12:O14, ""))</f>
        <v>#DIV/0!</v>
      </c>
      <c r="P15" s="57" t="e" cm="1">
        <f t="array" aca="1" ref="P15" ca="1">AVERAGE(IFERROR(P12:P14, ""))</f>
        <v>#DIV/0!</v>
      </c>
      <c r="Q15" s="62" t="e" cm="1">
        <f t="array" aca="1" ref="Q15" ca="1">AVERAGE(IFERROR(Q12:Q14, ""))</f>
        <v>#DIV/0!</v>
      </c>
      <c r="R15" s="57" t="e" cm="1">
        <f t="array" aca="1" ref="R15" ca="1">AVERAGE(IFERROR(R12:R14, ""))</f>
        <v>#DIV/0!</v>
      </c>
      <c r="S15" s="58" t="e" cm="1">
        <f t="array" aca="1" ref="S15" ca="1">AVERAGE(IFERROR(S12:S14, ""))</f>
        <v>#DIV/0!</v>
      </c>
      <c r="T15" s="57"/>
      <c r="U15" s="57"/>
      <c r="V15" s="57" t="e" cm="1">
        <f t="array" aca="1" ref="V15" ca="1">AVERAGE(IFERROR(V12:V14, ""))</f>
        <v>#DIV/0!</v>
      </c>
      <c r="W15" s="57" t="e" cm="1">
        <f t="array" aca="1" ref="W15" ca="1">AVERAGE(IFERROR(W12:W14, ""))</f>
        <v>#DIV/0!</v>
      </c>
      <c r="X15" s="57" t="e" cm="1">
        <f t="array" aca="1" ref="X15" ca="1">AVERAGE(IFERROR(X12:X14, ""))</f>
        <v>#DIV/0!</v>
      </c>
      <c r="Y15" s="63" t="e" cm="1">
        <f t="array" aca="1" ref="Y15" ca="1">AVERAGE(IFERROR(Y12:Y14, ""))</f>
        <v>#DIV/0!</v>
      </c>
      <c r="AB15" s="64"/>
    </row>
    <row r="16" spans="1:28" x14ac:dyDescent="0.25">
      <c r="A16" s="32"/>
      <c r="B16" s="32"/>
      <c r="C16" s="32"/>
      <c r="D16" s="32"/>
      <c r="E16" s="32"/>
    </row>
    <row r="17" spans="1:5" x14ac:dyDescent="0.25">
      <c r="A17" s="32"/>
      <c r="B17" s="32"/>
      <c r="C17" s="32"/>
      <c r="D17" s="32"/>
      <c r="E17" s="32"/>
    </row>
    <row r="18" spans="1:5" x14ac:dyDescent="0.25">
      <c r="A18" s="32"/>
      <c r="B18" s="32"/>
      <c r="C18" s="32"/>
      <c r="D18" s="32"/>
      <c r="E18" s="32"/>
    </row>
    <row r="19" spans="1:5" x14ac:dyDescent="0.25">
      <c r="A19" s="32"/>
      <c r="B19" s="32"/>
      <c r="C19" s="32"/>
      <c r="D19" s="32"/>
      <c r="E19" s="32"/>
    </row>
    <row r="20" spans="1:5" x14ac:dyDescent="0.25">
      <c r="A20" s="32"/>
      <c r="B20" s="32"/>
      <c r="C20" s="32"/>
      <c r="D20" s="32"/>
      <c r="E20" s="32"/>
    </row>
    <row r="21" spans="1:5" x14ac:dyDescent="0.25">
      <c r="A21" s="32"/>
      <c r="B21" s="32"/>
      <c r="C21" s="32"/>
      <c r="D21" s="32"/>
      <c r="E21" s="32"/>
    </row>
    <row r="22" spans="1:5" x14ac:dyDescent="0.25">
      <c r="A22" s="32"/>
      <c r="B22" s="32"/>
      <c r="C22" s="32"/>
      <c r="D22" s="32"/>
      <c r="E22" s="32"/>
    </row>
    <row r="23" spans="1:5" x14ac:dyDescent="0.25">
      <c r="A23" s="32"/>
      <c r="B23" s="32"/>
      <c r="C23" s="32"/>
      <c r="D23" s="32"/>
      <c r="E23" s="32"/>
    </row>
    <row r="24" spans="1:5" x14ac:dyDescent="0.25">
      <c r="A24" s="32"/>
      <c r="B24" s="32"/>
      <c r="C24" s="32"/>
      <c r="D24" s="32"/>
      <c r="E24" s="32"/>
    </row>
    <row r="25" spans="1:5" x14ac:dyDescent="0.25">
      <c r="A25" s="32"/>
      <c r="B25" s="32"/>
      <c r="C25" s="32"/>
      <c r="D25" s="32"/>
      <c r="E25" s="32"/>
    </row>
    <row r="26" spans="1:5" x14ac:dyDescent="0.25">
      <c r="A26" s="32"/>
      <c r="B26" s="32"/>
      <c r="C26" s="32"/>
      <c r="D26" s="32"/>
      <c r="E26" s="32"/>
    </row>
    <row r="27" spans="1:5" x14ac:dyDescent="0.25">
      <c r="A27" s="32"/>
      <c r="B27" s="32"/>
      <c r="C27" s="32"/>
      <c r="D27" s="32"/>
      <c r="E27" s="32"/>
    </row>
    <row r="28" spans="1:5" x14ac:dyDescent="0.25">
      <c r="A28" s="32"/>
      <c r="B28" s="32"/>
      <c r="C28" s="32"/>
      <c r="D28" s="32"/>
      <c r="E28" s="32"/>
    </row>
    <row r="29" spans="1:5" x14ac:dyDescent="0.25">
      <c r="A29" s="32"/>
      <c r="B29" s="32"/>
      <c r="C29" s="32"/>
      <c r="D29" s="32"/>
      <c r="E29" s="32"/>
    </row>
    <row r="30" spans="1:5" x14ac:dyDescent="0.25">
      <c r="A30" s="32"/>
      <c r="B30" s="32"/>
      <c r="C30" s="32"/>
      <c r="D30" s="32"/>
      <c r="E30" s="32"/>
    </row>
    <row r="31" spans="1:5" x14ac:dyDescent="0.25">
      <c r="A31" s="32"/>
      <c r="B31" s="32"/>
      <c r="C31" s="32"/>
      <c r="D31" s="32"/>
      <c r="E31" s="32"/>
    </row>
    <row r="32" spans="1:5" x14ac:dyDescent="0.25">
      <c r="A32" s="32"/>
      <c r="B32" s="32"/>
      <c r="C32" s="32"/>
      <c r="D32" s="32"/>
      <c r="E32" s="32"/>
    </row>
    <row r="33" spans="1:5" x14ac:dyDescent="0.25">
      <c r="A33" s="32"/>
      <c r="B33" s="32"/>
      <c r="C33" s="32"/>
      <c r="D33" s="32"/>
      <c r="E33" s="32"/>
    </row>
    <row r="34" spans="1:5" x14ac:dyDescent="0.25">
      <c r="A34" s="32"/>
      <c r="B34" s="32"/>
      <c r="C34" s="32"/>
      <c r="D34" s="32"/>
      <c r="E34" s="32"/>
    </row>
    <row r="35" spans="1:5" x14ac:dyDescent="0.25">
      <c r="A35" s="32"/>
      <c r="B35" s="32"/>
      <c r="C35" s="32"/>
      <c r="D35" s="32"/>
      <c r="E35" s="32"/>
    </row>
    <row r="36" spans="1:5" x14ac:dyDescent="0.25">
      <c r="A36" s="32"/>
      <c r="B36" s="32"/>
      <c r="C36" s="32"/>
      <c r="D36" s="32"/>
      <c r="E36" s="32"/>
    </row>
    <row r="37" spans="1:5" x14ac:dyDescent="0.25">
      <c r="A37" s="32"/>
      <c r="B37" s="32"/>
      <c r="C37" s="32"/>
      <c r="D37" s="32"/>
      <c r="E37" s="32"/>
    </row>
    <row r="38" spans="1:5" x14ac:dyDescent="0.25">
      <c r="A38" s="32"/>
      <c r="B38" s="32"/>
      <c r="C38" s="32"/>
      <c r="D38" s="32"/>
      <c r="E38" s="32"/>
    </row>
    <row r="39" spans="1:5" x14ac:dyDescent="0.25">
      <c r="A39" s="32"/>
      <c r="B39" s="32"/>
      <c r="C39" s="32"/>
      <c r="D39" s="32"/>
      <c r="E39" s="32"/>
    </row>
    <row r="40" spans="1:5" x14ac:dyDescent="0.25">
      <c r="A40" s="32"/>
      <c r="B40" s="32"/>
      <c r="C40" s="32"/>
      <c r="D40" s="32"/>
      <c r="E40" s="32"/>
    </row>
    <row r="41" spans="1:5" x14ac:dyDescent="0.25">
      <c r="A41" s="32"/>
      <c r="B41" s="32"/>
      <c r="C41" s="32"/>
      <c r="D41" s="32"/>
      <c r="E41" s="32"/>
    </row>
    <row r="42" spans="1:5" x14ac:dyDescent="0.25">
      <c r="A42" s="32"/>
      <c r="B42" s="32"/>
      <c r="C42" s="32"/>
      <c r="D42" s="32"/>
      <c r="E42" s="32"/>
    </row>
    <row r="43" spans="1:5" x14ac:dyDescent="0.25">
      <c r="A43" s="32"/>
      <c r="B43" s="32"/>
      <c r="C43" s="32"/>
      <c r="D43" s="32"/>
      <c r="E43" s="32"/>
    </row>
    <row r="44" spans="1:5" x14ac:dyDescent="0.25">
      <c r="A44" s="32"/>
      <c r="B44" s="32"/>
      <c r="C44" s="32"/>
      <c r="D44" s="32"/>
      <c r="E44" s="32"/>
    </row>
    <row r="45" spans="1:5" x14ac:dyDescent="0.25">
      <c r="A45" s="32"/>
      <c r="B45" s="32"/>
      <c r="C45" s="32"/>
      <c r="D45" s="32"/>
      <c r="E45" s="32"/>
    </row>
    <row r="46" spans="1:5" x14ac:dyDescent="0.25">
      <c r="A46" s="32"/>
      <c r="B46" s="32"/>
      <c r="C46" s="32"/>
      <c r="D46" s="32"/>
      <c r="E46" s="32"/>
    </row>
    <row r="47" spans="1:5" x14ac:dyDescent="0.25">
      <c r="A47" s="32"/>
      <c r="B47" s="32"/>
      <c r="C47" s="32"/>
      <c r="D47" s="32"/>
      <c r="E47" s="32"/>
    </row>
    <row r="48" spans="1:5" x14ac:dyDescent="0.25">
      <c r="A48" s="32"/>
      <c r="B48" s="32"/>
      <c r="C48" s="32"/>
      <c r="D48" s="32"/>
      <c r="E48" s="32"/>
    </row>
    <row r="50" spans="1:5" x14ac:dyDescent="0.25">
      <c r="A50" s="65"/>
      <c r="B50" s="65"/>
      <c r="C50" s="65"/>
      <c r="D50" s="65"/>
      <c r="E50" s="65"/>
    </row>
  </sheetData>
  <mergeCells count="12">
    <mergeCell ref="G1:G2"/>
    <mergeCell ref="K1:K2"/>
    <mergeCell ref="L1:N1"/>
    <mergeCell ref="O1:P1"/>
    <mergeCell ref="Q1:S1"/>
    <mergeCell ref="V1:X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Aluminium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2026-02-20T13:12:44Z</dcterms:created>
  <dcterms:modified xsi:type="dcterms:W3CDTF">2026-02-20T13:12:45Z</dcterms:modified>
</cp:coreProperties>
</file>