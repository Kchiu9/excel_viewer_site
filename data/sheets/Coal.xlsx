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825D57E8-F6DE-4900-A2DD-AC076F66262E}" xr6:coauthVersionLast="47" xr6:coauthVersionMax="47" xr10:uidLastSave="{00000000-0000-0000-0000-000000000000}"/>
  <bookViews>
    <workbookView xWindow="-108" yWindow="-108" windowWidth="23256" windowHeight="12456" xr2:uid="{9E985F99-C649-459C-BE10-DBAE90EBF5D6}"/>
  </bookViews>
  <sheets>
    <sheet name="Coal" sheetId="2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46064.7990046296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25" i="2" l="1"/>
  <c r="AT25" i="2"/>
  <c r="AS25" i="2"/>
  <c r="AR25" i="2"/>
  <c r="AQ25" i="2"/>
  <c r="AP25" i="2"/>
  <c r="AL25" i="2"/>
  <c r="AK25" i="2"/>
  <c r="AJ25" i="2"/>
  <c r="AF25" i="2"/>
  <c r="AE25" i="2"/>
  <c r="AD25" i="2"/>
  <c r="AC25" i="2"/>
  <c r="AB25" i="2"/>
  <c r="AA25" i="2"/>
  <c r="Z25" i="2" a="1"/>
  <c r="Z25" i="2" s="1"/>
  <c r="Y25" i="2" a="1"/>
  <c r="Y25" i="2" s="1"/>
  <c r="X25" i="2" a="1"/>
  <c r="X25" i="2" s="1"/>
  <c r="W25" i="2"/>
  <c r="W25" i="2" a="1"/>
  <c r="V25" i="2" a="1"/>
  <c r="V25" i="2" s="1"/>
  <c r="U25" i="2" a="1"/>
  <c r="U25" i="2" s="1"/>
  <c r="T25" i="2"/>
  <c r="T25" i="2" a="1"/>
  <c r="S25" i="2" a="1"/>
  <c r="S25" i="2" s="1"/>
  <c r="P25" i="2" a="1"/>
  <c r="P25" i="2" s="1"/>
  <c r="O25" i="2"/>
  <c r="O25" i="2" a="1"/>
  <c r="N25" i="2" a="1"/>
  <c r="N25" i="2" s="1"/>
  <c r="M25" i="2" a="1"/>
  <c r="M25" i="2" s="1"/>
  <c r="I25" i="2"/>
  <c r="R25" i="2" s="1"/>
  <c r="H25" i="2"/>
  <c r="AI25" i="2" s="1"/>
  <c r="D25" i="2"/>
  <c r="C25" i="2"/>
  <c r="B25" i="2"/>
  <c r="A25" i="2"/>
  <c r="AU24" i="2"/>
  <c r="AT24" i="2"/>
  <c r="AS24" i="2"/>
  <c r="AR24" i="2"/>
  <c r="AQ24" i="2"/>
  <c r="AP24" i="2"/>
  <c r="AO24" i="2"/>
  <c r="AL24" i="2"/>
  <c r="AK24" i="2"/>
  <c r="AN24" i="2" s="1"/>
  <c r="AJ24" i="2"/>
  <c r="AF24" i="2"/>
  <c r="AE24" i="2"/>
  <c r="AD24" i="2"/>
  <c r="AC24" i="2"/>
  <c r="AB24" i="2"/>
  <c r="AA24" i="2"/>
  <c r="Z24" i="2" a="1"/>
  <c r="Z24" i="2" s="1"/>
  <c r="Y24" i="2" a="1"/>
  <c r="Y24" i="2" s="1"/>
  <c r="X24" i="2" a="1"/>
  <c r="X24" i="2" s="1"/>
  <c r="W24" i="2" a="1"/>
  <c r="W24" i="2" s="1"/>
  <c r="V24" i="2" a="1"/>
  <c r="V24" i="2" s="1"/>
  <c r="U24" i="2"/>
  <c r="U24" i="2" a="1"/>
  <c r="T24" i="2" a="1"/>
  <c r="T24" i="2" s="1"/>
  <c r="S24" i="2"/>
  <c r="S24" i="2" a="1"/>
  <c r="P24" i="2" a="1"/>
  <c r="P24" i="2" s="1"/>
  <c r="O24" i="2" a="1"/>
  <c r="O24" i="2" s="1"/>
  <c r="N24" i="2"/>
  <c r="N24" i="2" a="1"/>
  <c r="M24" i="2" a="1"/>
  <c r="M24" i="2" s="1"/>
  <c r="I24" i="2"/>
  <c r="R24" i="2" s="1"/>
  <c r="H24" i="2"/>
  <c r="AH24" i="2" s="1"/>
  <c r="D24" i="2"/>
  <c r="C24" i="2"/>
  <c r="B24" i="2"/>
  <c r="A24" i="2"/>
  <c r="AU23" i="2"/>
  <c r="AT23" i="2"/>
  <c r="AS23" i="2"/>
  <c r="AR23" i="2"/>
  <c r="AQ23" i="2"/>
  <c r="AP23" i="2"/>
  <c r="AO23" i="2"/>
  <c r="AN23" i="2"/>
  <c r="AL23" i="2"/>
  <c r="AK23" i="2"/>
  <c r="AJ23" i="2"/>
  <c r="AF23" i="2"/>
  <c r="AE23" i="2"/>
  <c r="AD23" i="2"/>
  <c r="AC23" i="2"/>
  <c r="AB23" i="2"/>
  <c r="AA23" i="2"/>
  <c r="Z23" i="2" a="1"/>
  <c r="Z23" i="2" s="1"/>
  <c r="Y23" i="2" a="1"/>
  <c r="Y23" i="2" s="1"/>
  <c r="X23" i="2" a="1"/>
  <c r="X23" i="2" s="1"/>
  <c r="W23" i="2" a="1"/>
  <c r="W23" i="2" s="1"/>
  <c r="V23" i="2" a="1"/>
  <c r="V23" i="2" s="1"/>
  <c r="U23" i="2"/>
  <c r="U23" i="2" a="1"/>
  <c r="T23" i="2" a="1"/>
  <c r="T23" i="2" s="1"/>
  <c r="S23" i="2" a="1"/>
  <c r="S23" i="2" s="1"/>
  <c r="P23" i="2" a="1"/>
  <c r="P23" i="2" s="1"/>
  <c r="O23" i="2" a="1"/>
  <c r="O23" i="2" s="1"/>
  <c r="N23" i="2" a="1"/>
  <c r="N23" i="2" s="1"/>
  <c r="M23" i="2" a="1"/>
  <c r="M23" i="2" s="1"/>
  <c r="I23" i="2"/>
  <c r="R23" i="2" s="1"/>
  <c r="H23" i="2"/>
  <c r="AM23" i="2" s="1"/>
  <c r="D23" i="2"/>
  <c r="C23" i="2"/>
  <c r="B23" i="2"/>
  <c r="A23" i="2"/>
  <c r="AU22" i="2"/>
  <c r="AT22" i="2"/>
  <c r="AS22" i="2"/>
  <c r="AR22" i="2"/>
  <c r="AQ22" i="2"/>
  <c r="AP22" i="2"/>
  <c r="AL22" i="2"/>
  <c r="AK22" i="2"/>
  <c r="AJ22" i="2"/>
  <c r="AF22" i="2"/>
  <c r="AE22" i="2"/>
  <c r="AD22" i="2"/>
  <c r="AC22" i="2"/>
  <c r="AB22" i="2"/>
  <c r="AA22" i="2"/>
  <c r="Z22" i="2" a="1"/>
  <c r="Z22" i="2" s="1"/>
  <c r="Y22" i="2" a="1"/>
  <c r="Y22" i="2" s="1"/>
  <c r="X22" i="2" a="1"/>
  <c r="X22" i="2" s="1"/>
  <c r="W22" i="2" a="1"/>
  <c r="W22" i="2" s="1"/>
  <c r="V22" i="2"/>
  <c r="V22" i="2" a="1"/>
  <c r="U22" i="2" a="1"/>
  <c r="U22" i="2" s="1"/>
  <c r="T22" i="2" a="1"/>
  <c r="T22" i="2" s="1"/>
  <c r="S22" i="2" a="1"/>
  <c r="S22" i="2" s="1"/>
  <c r="R22" i="2"/>
  <c r="P22" i="2" a="1"/>
  <c r="P22" i="2" s="1"/>
  <c r="O22" i="2" a="1"/>
  <c r="O22" i="2" s="1"/>
  <c r="N22" i="2" a="1"/>
  <c r="N22" i="2" s="1"/>
  <c r="M22" i="2" a="1"/>
  <c r="M22" i="2" s="1"/>
  <c r="I22" i="2"/>
  <c r="Q22" i="2" s="1"/>
  <c r="H22" i="2"/>
  <c r="AI22" i="2" s="1"/>
  <c r="D22" i="2"/>
  <c r="C22" i="2"/>
  <c r="B22" i="2"/>
  <c r="A22" i="2"/>
  <c r="AU21" i="2"/>
  <c r="AT21" i="2"/>
  <c r="AS21" i="2"/>
  <c r="AR21" i="2"/>
  <c r="AQ21" i="2"/>
  <c r="AP21" i="2"/>
  <c r="AL21" i="2"/>
  <c r="AK21" i="2"/>
  <c r="AJ21" i="2"/>
  <c r="AF21" i="2"/>
  <c r="AE21" i="2"/>
  <c r="AD21" i="2"/>
  <c r="AC21" i="2"/>
  <c r="AB21" i="2"/>
  <c r="AA21" i="2"/>
  <c r="Z21" i="2"/>
  <c r="Z21" i="2" a="1"/>
  <c r="Y21" i="2" a="1"/>
  <c r="Y21" i="2" s="1"/>
  <c r="X21" i="2" a="1"/>
  <c r="X21" i="2" s="1"/>
  <c r="W21" i="2"/>
  <c r="W21" i="2" a="1"/>
  <c r="V21" i="2" a="1"/>
  <c r="V21" i="2" s="1"/>
  <c r="U21" i="2" a="1"/>
  <c r="U21" i="2" s="1"/>
  <c r="T21" i="2" a="1"/>
  <c r="T21" i="2" s="1"/>
  <c r="S21" i="2"/>
  <c r="S21" i="2" a="1"/>
  <c r="R21" i="2"/>
  <c r="P21" i="2" a="1"/>
  <c r="P21" i="2" s="1"/>
  <c r="O21" i="2" a="1"/>
  <c r="O21" i="2" s="1"/>
  <c r="N21" i="2" a="1"/>
  <c r="N21" i="2" s="1"/>
  <c r="M21" i="2" a="1"/>
  <c r="M21" i="2" s="1"/>
  <c r="I21" i="2"/>
  <c r="Q21" i="2" s="1"/>
  <c r="H21" i="2"/>
  <c r="AO21" i="2" s="1"/>
  <c r="D21" i="2"/>
  <c r="C21" i="2"/>
  <c r="B21" i="2"/>
  <c r="A21" i="2"/>
  <c r="AU20" i="2"/>
  <c r="AT20" i="2"/>
  <c r="AS20" i="2"/>
  <c r="AR20" i="2"/>
  <c r="AQ20" i="2"/>
  <c r="AP20" i="2"/>
  <c r="AL20" i="2"/>
  <c r="AK20" i="2"/>
  <c r="AJ20" i="2"/>
  <c r="AF20" i="2"/>
  <c r="AE20" i="2"/>
  <c r="AD20" i="2"/>
  <c r="AC20" i="2"/>
  <c r="AB20" i="2"/>
  <c r="AA20" i="2"/>
  <c r="Z20" i="2" a="1"/>
  <c r="Z20" i="2" s="1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/>
  <c r="S20" i="2" a="1"/>
  <c r="P20" i="2" a="1"/>
  <c r="P20" i="2" s="1"/>
  <c r="O20" i="2" a="1"/>
  <c r="O20" i="2" s="1"/>
  <c r="N20" i="2"/>
  <c r="N20" i="2" a="1"/>
  <c r="M20" i="2" a="1"/>
  <c r="M20" i="2" s="1"/>
  <c r="I20" i="2"/>
  <c r="R20" i="2" s="1"/>
  <c r="H20" i="2"/>
  <c r="D20" i="2"/>
  <c r="C20" i="2"/>
  <c r="B20" i="2"/>
  <c r="A20" i="2"/>
  <c r="AU19" i="2"/>
  <c r="AT19" i="2"/>
  <c r="AS19" i="2"/>
  <c r="AS26" i="2" s="1" a="1"/>
  <c r="AS26" i="2" s="1"/>
  <c r="AR19" i="2"/>
  <c r="AQ19" i="2"/>
  <c r="AP19" i="2"/>
  <c r="AO19" i="2"/>
  <c r="AL19" i="2"/>
  <c r="AK19" i="2"/>
  <c r="AJ19" i="2"/>
  <c r="AH19" i="2"/>
  <c r="AF19" i="2"/>
  <c r="AF26" i="2" s="1" a="1"/>
  <c r="AF26" i="2" s="1"/>
  <c r="AE19" i="2"/>
  <c r="AE26" i="2" s="1" a="1"/>
  <c r="AE26" i="2" s="1"/>
  <c r="AD19" i="2"/>
  <c r="AD26" i="2" s="1" a="1"/>
  <c r="AD26" i="2" s="1"/>
  <c r="AC19" i="2"/>
  <c r="AB19" i="2"/>
  <c r="AB26" i="2" s="1" a="1"/>
  <c r="AB26" i="2" s="1"/>
  <c r="AA19" i="2"/>
  <c r="AA26" i="2" s="1" a="1"/>
  <c r="AA26" i="2" s="1"/>
  <c r="Z19" i="2" a="1"/>
  <c r="Z19" i="2" s="1"/>
  <c r="Z26" i="2" s="1"/>
  <c r="Y19" i="2" a="1"/>
  <c r="Y19" i="2" s="1"/>
  <c r="Y26" i="2" s="1"/>
  <c r="X19" i="2"/>
  <c r="X26" i="2" s="1"/>
  <c r="X19" i="2" a="1"/>
  <c r="W19" i="2"/>
  <c r="W19" i="2" a="1"/>
  <c r="V19" i="2" a="1"/>
  <c r="V19" i="2" s="1"/>
  <c r="U19" i="2" a="1"/>
  <c r="U19" i="2" s="1"/>
  <c r="T19" i="2"/>
  <c r="T19" i="2" a="1"/>
  <c r="S19" i="2"/>
  <c r="S19" i="2" a="1"/>
  <c r="P19" i="2" a="1"/>
  <c r="P19" i="2" s="1"/>
  <c r="O19" i="2" a="1"/>
  <c r="O19" i="2" s="1"/>
  <c r="O26" i="2" s="1" a="1"/>
  <c r="O26" i="2" s="1"/>
  <c r="N19" i="2" a="1"/>
  <c r="N19" i="2" s="1"/>
  <c r="M19" i="2" a="1"/>
  <c r="M19" i="2" s="1"/>
  <c r="I19" i="2"/>
  <c r="Q19" i="2" s="1"/>
  <c r="H19" i="2"/>
  <c r="D19" i="2"/>
  <c r="C19" i="2"/>
  <c r="B19" i="2"/>
  <c r="A19" i="2"/>
  <c r="AU16" i="2"/>
  <c r="AT16" i="2"/>
  <c r="AS16" i="2"/>
  <c r="AR16" i="2"/>
  <c r="AQ16" i="2"/>
  <c r="AP16" i="2"/>
  <c r="AL16" i="2"/>
  <c r="AK16" i="2"/>
  <c r="AJ16" i="2"/>
  <c r="AF16" i="2"/>
  <c r="AE16" i="2"/>
  <c r="AD16" i="2"/>
  <c r="AC16" i="2"/>
  <c r="AB16" i="2"/>
  <c r="AA16" i="2"/>
  <c r="Z16" i="2"/>
  <c r="Z16" i="2" a="1"/>
  <c r="Y16" i="2" a="1"/>
  <c r="Y16" i="2" s="1"/>
  <c r="X16" i="2" a="1"/>
  <c r="X16" i="2" s="1"/>
  <c r="W16" i="2"/>
  <c r="W16" i="2" a="1"/>
  <c r="V16" i="2" a="1"/>
  <c r="V16" i="2" s="1"/>
  <c r="U16" i="2" a="1"/>
  <c r="U16" i="2" s="1"/>
  <c r="T16" i="2" a="1"/>
  <c r="T16" i="2" s="1"/>
  <c r="S16" i="2" a="1"/>
  <c r="S16" i="2" s="1"/>
  <c r="P16" i="2" a="1"/>
  <c r="P16" i="2" s="1"/>
  <c r="O16" i="2" a="1"/>
  <c r="O16" i="2" s="1"/>
  <c r="N16" i="2" a="1"/>
  <c r="N16" i="2" s="1"/>
  <c r="M16" i="2"/>
  <c r="M16" i="2" a="1"/>
  <c r="I16" i="2"/>
  <c r="Q16" i="2" s="1"/>
  <c r="H16" i="2"/>
  <c r="D16" i="2"/>
  <c r="C16" i="2"/>
  <c r="B16" i="2"/>
  <c r="A16" i="2"/>
  <c r="AU15" i="2"/>
  <c r="AT15" i="2"/>
  <c r="AS15" i="2"/>
  <c r="AR15" i="2"/>
  <c r="AQ15" i="2"/>
  <c r="AP15" i="2"/>
  <c r="AL15" i="2"/>
  <c r="AK15" i="2"/>
  <c r="AJ15" i="2"/>
  <c r="AF15" i="2"/>
  <c r="AE15" i="2"/>
  <c r="AD15" i="2"/>
  <c r="AC15" i="2"/>
  <c r="AB15" i="2"/>
  <c r="AA15" i="2"/>
  <c r="Z15" i="2" a="1"/>
  <c r="Z15" i="2" s="1"/>
  <c r="Y15" i="2" a="1"/>
  <c r="Y15" i="2" s="1"/>
  <c r="X15" i="2" a="1"/>
  <c r="X15" i="2" s="1"/>
  <c r="W15" i="2"/>
  <c r="W15" i="2" a="1"/>
  <c r="V15" i="2" a="1"/>
  <c r="V15" i="2" s="1"/>
  <c r="U15" i="2" a="1"/>
  <c r="U15" i="2" s="1"/>
  <c r="T15" i="2" a="1"/>
  <c r="T15" i="2" s="1"/>
  <c r="S15" i="2"/>
  <c r="S15" i="2" a="1"/>
  <c r="P15" i="2" a="1"/>
  <c r="P15" i="2" s="1"/>
  <c r="O15" i="2" a="1"/>
  <c r="O15" i="2" s="1"/>
  <c r="N15" i="2"/>
  <c r="N15" i="2" a="1"/>
  <c r="M15" i="2" a="1"/>
  <c r="M15" i="2" s="1"/>
  <c r="I15" i="2"/>
  <c r="R15" i="2" s="1"/>
  <c r="H15" i="2"/>
  <c r="AI15" i="2" s="1"/>
  <c r="D15" i="2"/>
  <c r="C15" i="2"/>
  <c r="B15" i="2"/>
  <c r="A15" i="2"/>
  <c r="AU14" i="2"/>
  <c r="AT14" i="2"/>
  <c r="AS14" i="2"/>
  <c r="AR14" i="2"/>
  <c r="AQ14" i="2"/>
  <c r="AP14" i="2"/>
  <c r="AL14" i="2"/>
  <c r="AK14" i="2"/>
  <c r="AJ14" i="2"/>
  <c r="AF14" i="2"/>
  <c r="AE14" i="2"/>
  <c r="AH14" i="2" s="1"/>
  <c r="AD14" i="2"/>
  <c r="AC14" i="2"/>
  <c r="AB14" i="2"/>
  <c r="AA14" i="2"/>
  <c r="Z14" i="2" a="1"/>
  <c r="Z14" i="2" s="1"/>
  <c r="Y14" i="2" a="1"/>
  <c r="Y14" i="2" s="1"/>
  <c r="X14" i="2" a="1"/>
  <c r="X14" i="2" s="1"/>
  <c r="W14" i="2" a="1"/>
  <c r="W14" i="2" s="1"/>
  <c r="V14" i="2" a="1"/>
  <c r="V14" i="2" s="1"/>
  <c r="U14" i="2" a="1"/>
  <c r="U14" i="2" s="1"/>
  <c r="T14" i="2"/>
  <c r="T14" i="2" a="1"/>
  <c r="S14" i="2" a="1"/>
  <c r="S14" i="2" s="1"/>
  <c r="Q14" i="2"/>
  <c r="P14" i="2" a="1"/>
  <c r="P14" i="2" s="1"/>
  <c r="O14" i="2" a="1"/>
  <c r="O14" i="2" s="1"/>
  <c r="N14" i="2"/>
  <c r="N14" i="2" a="1"/>
  <c r="M14" i="2" a="1"/>
  <c r="M14" i="2" s="1"/>
  <c r="I14" i="2"/>
  <c r="R14" i="2" s="1"/>
  <c r="H14" i="2"/>
  <c r="AI14" i="2" s="1"/>
  <c r="D14" i="2"/>
  <c r="C14" i="2"/>
  <c r="B14" i="2"/>
  <c r="A14" i="2"/>
  <c r="AU13" i="2"/>
  <c r="AT13" i="2"/>
  <c r="AS13" i="2"/>
  <c r="AR13" i="2"/>
  <c r="AQ13" i="2"/>
  <c r="AP13" i="2"/>
  <c r="AL13" i="2"/>
  <c r="AO13" i="2" s="1"/>
  <c r="AK13" i="2"/>
  <c r="AJ13" i="2"/>
  <c r="AI13" i="2"/>
  <c r="AF13" i="2"/>
  <c r="AE13" i="2"/>
  <c r="AD13" i="2"/>
  <c r="AG13" i="2" s="1"/>
  <c r="AC13" i="2"/>
  <c r="AB13" i="2"/>
  <c r="AA13" i="2"/>
  <c r="Z13" i="2" a="1"/>
  <c r="Z13" i="2" s="1"/>
  <c r="Y13" i="2" a="1"/>
  <c r="Y13" i="2" s="1"/>
  <c r="X13" i="2"/>
  <c r="X13" i="2" a="1"/>
  <c r="W13" i="2" a="1"/>
  <c r="W13" i="2" s="1"/>
  <c r="V13" i="2" a="1"/>
  <c r="V13" i="2" s="1"/>
  <c r="U13" i="2" a="1"/>
  <c r="U13" i="2" s="1"/>
  <c r="T13" i="2" a="1"/>
  <c r="T13" i="2" s="1"/>
  <c r="S13" i="2" a="1"/>
  <c r="S13" i="2" s="1"/>
  <c r="R13" i="2"/>
  <c r="P13" i="2" a="1"/>
  <c r="P13" i="2" s="1"/>
  <c r="O13" i="2"/>
  <c r="O13" i="2" a="1"/>
  <c r="N13" i="2" a="1"/>
  <c r="N13" i="2" s="1"/>
  <c r="M13" i="2" a="1"/>
  <c r="M13" i="2" s="1"/>
  <c r="I13" i="2"/>
  <c r="Q13" i="2" s="1"/>
  <c r="H13" i="2"/>
  <c r="AN13" i="2" s="1"/>
  <c r="D13" i="2"/>
  <c r="C13" i="2"/>
  <c r="B13" i="2"/>
  <c r="A13" i="2"/>
  <c r="AU12" i="2"/>
  <c r="AT12" i="2"/>
  <c r="AS12" i="2"/>
  <c r="AR12" i="2"/>
  <c r="AQ12" i="2"/>
  <c r="AP12" i="2"/>
  <c r="AL12" i="2"/>
  <c r="AK12" i="2"/>
  <c r="AJ12" i="2"/>
  <c r="AF12" i="2"/>
  <c r="AE12" i="2"/>
  <c r="AD12" i="2"/>
  <c r="AC12" i="2"/>
  <c r="AB12" i="2"/>
  <c r="AA12" i="2"/>
  <c r="Z12" i="2"/>
  <c r="Z12" i="2" a="1"/>
  <c r="Y12" i="2"/>
  <c r="Y12" i="2" a="1"/>
  <c r="X12" i="2" a="1"/>
  <c r="X12" i="2" s="1"/>
  <c r="W12" i="2" a="1"/>
  <c r="W12" i="2" s="1"/>
  <c r="V12" i="2" a="1"/>
  <c r="V12" i="2" s="1"/>
  <c r="U12" i="2" a="1"/>
  <c r="U12" i="2" s="1"/>
  <c r="T12" i="2" a="1"/>
  <c r="T12" i="2" s="1"/>
  <c r="S12" i="2" a="1"/>
  <c r="S12" i="2" s="1"/>
  <c r="P12" i="2"/>
  <c r="P12" i="2" a="1"/>
  <c r="O12" i="2"/>
  <c r="O12" i="2" a="1"/>
  <c r="N12" i="2" a="1"/>
  <c r="N12" i="2" s="1"/>
  <c r="M12" i="2" a="1"/>
  <c r="M12" i="2" s="1"/>
  <c r="I12" i="2"/>
  <c r="R12" i="2" s="1"/>
  <c r="H12" i="2"/>
  <c r="AH12" i="2" s="1"/>
  <c r="D12" i="2"/>
  <c r="C12" i="2"/>
  <c r="B12" i="2"/>
  <c r="A12" i="2"/>
  <c r="AU11" i="2"/>
  <c r="AT11" i="2"/>
  <c r="AS11" i="2"/>
  <c r="AR11" i="2"/>
  <c r="AQ11" i="2"/>
  <c r="AP11" i="2"/>
  <c r="AN11" i="2"/>
  <c r="AL11" i="2"/>
  <c r="AK11" i="2"/>
  <c r="AJ11" i="2"/>
  <c r="AF11" i="2"/>
  <c r="AI11" i="2" s="1"/>
  <c r="AE11" i="2"/>
  <c r="AD11" i="2"/>
  <c r="AC11" i="2"/>
  <c r="AB11" i="2"/>
  <c r="AA11" i="2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S11" i="2" a="1"/>
  <c r="S11" i="2" s="1"/>
  <c r="P11" i="2"/>
  <c r="P11" i="2" a="1"/>
  <c r="O11" i="2" a="1"/>
  <c r="O11" i="2" s="1"/>
  <c r="N11" i="2" a="1"/>
  <c r="N11" i="2" s="1"/>
  <c r="M11" i="2" a="1"/>
  <c r="M11" i="2" s="1"/>
  <c r="I11" i="2"/>
  <c r="R11" i="2" s="1"/>
  <c r="H11" i="2"/>
  <c r="D11" i="2"/>
  <c r="C11" i="2"/>
  <c r="B11" i="2"/>
  <c r="A11" i="2"/>
  <c r="AU10" i="2"/>
  <c r="AU17" i="2" s="1"/>
  <c r="AT10" i="2"/>
  <c r="AS10" i="2"/>
  <c r="AR10" i="2"/>
  <c r="AQ10" i="2"/>
  <c r="AP10" i="2"/>
  <c r="AL10" i="2"/>
  <c r="AK10" i="2"/>
  <c r="AN10" i="2" s="1"/>
  <c r="AJ10" i="2"/>
  <c r="AF10" i="2"/>
  <c r="AF17" i="2" s="1"/>
  <c r="AE10" i="2"/>
  <c r="AE17" i="2" s="1"/>
  <c r="AD10" i="2"/>
  <c r="AD17" i="2" s="1"/>
  <c r="AC10" i="2"/>
  <c r="AB10" i="2"/>
  <c r="AA10" i="2"/>
  <c r="AA17" i="2" s="1"/>
  <c r="Z10" i="2" a="1"/>
  <c r="Z10" i="2" s="1"/>
  <c r="Z17" i="2" s="1"/>
  <c r="Y10" i="2" a="1"/>
  <c r="Y10" i="2" s="1"/>
  <c r="Y17" i="2" s="1"/>
  <c r="X10" i="2" a="1"/>
  <c r="X10" i="2" s="1"/>
  <c r="X17" i="2" s="1"/>
  <c r="W10" i="2"/>
  <c r="W10" i="2" a="1"/>
  <c r="V10" i="2"/>
  <c r="V10" i="2" a="1"/>
  <c r="U10" i="2"/>
  <c r="U17" i="2" s="1"/>
  <c r="U10" i="2" a="1"/>
  <c r="T10" i="2" a="1"/>
  <c r="T10" i="2" s="1"/>
  <c r="T17" i="2" s="1"/>
  <c r="S10" i="2"/>
  <c r="S17" i="2" s="1"/>
  <c r="S10" i="2" a="1"/>
  <c r="P10" i="2" a="1"/>
  <c r="P10" i="2" s="1"/>
  <c r="P17" i="2" s="1"/>
  <c r="O10" i="2" a="1"/>
  <c r="O10" i="2" s="1"/>
  <c r="O17" i="2" s="1"/>
  <c r="N10" i="2"/>
  <c r="N17" i="2" s="1"/>
  <c r="N10" i="2" a="1"/>
  <c r="M10" i="2" a="1"/>
  <c r="M10" i="2" s="1"/>
  <c r="I10" i="2"/>
  <c r="R10" i="2" s="1"/>
  <c r="H10" i="2"/>
  <c r="D10" i="2"/>
  <c r="C10" i="2"/>
  <c r="B10" i="2"/>
  <c r="A10" i="2"/>
  <c r="AS8" i="2"/>
  <c r="AU7" i="2"/>
  <c r="AT7" i="2"/>
  <c r="AS7" i="2"/>
  <c r="AR7" i="2"/>
  <c r="AQ7" i="2"/>
  <c r="AP7" i="2"/>
  <c r="AO7" i="2"/>
  <c r="AL7" i="2"/>
  <c r="AK7" i="2"/>
  <c r="AJ7" i="2"/>
  <c r="AF7" i="2"/>
  <c r="AE7" i="2"/>
  <c r="AD7" i="2"/>
  <c r="AC7" i="2"/>
  <c r="AB7" i="2"/>
  <c r="AA7" i="2"/>
  <c r="Z7" i="2" a="1"/>
  <c r="Z7" i="2" s="1"/>
  <c r="Y7" i="2" a="1"/>
  <c r="Y7" i="2" s="1"/>
  <c r="X7" i="2"/>
  <c r="X7" i="2" a="1"/>
  <c r="W7" i="2" a="1"/>
  <c r="W7" i="2" s="1"/>
  <c r="V7" i="2" a="1"/>
  <c r="V7" i="2" s="1"/>
  <c r="U7" i="2" a="1"/>
  <c r="U7" i="2" s="1"/>
  <c r="T7" i="2" a="1"/>
  <c r="T7" i="2" s="1"/>
  <c r="S7" i="2" a="1"/>
  <c r="S7" i="2" s="1"/>
  <c r="R7" i="2"/>
  <c r="P7" i="2" a="1"/>
  <c r="P7" i="2" s="1"/>
  <c r="O7" i="2"/>
  <c r="O7" i="2" a="1"/>
  <c r="N7" i="2" a="1"/>
  <c r="N7" i="2" s="1"/>
  <c r="M7" i="2" a="1"/>
  <c r="M7" i="2" s="1"/>
  <c r="I7" i="2"/>
  <c r="Q7" i="2" s="1"/>
  <c r="H7" i="2"/>
  <c r="AN7" i="2" s="1"/>
  <c r="D7" i="2"/>
  <c r="C7" i="2"/>
  <c r="B7" i="2"/>
  <c r="A7" i="2"/>
  <c r="AU6" i="2"/>
  <c r="AU8" i="2" s="1"/>
  <c r="AT6" i="2"/>
  <c r="AT8" i="2" s="1"/>
  <c r="AS6" i="2"/>
  <c r="AR6" i="2"/>
  <c r="AR8" i="2" s="1"/>
  <c r="AR17" i="2" s="1"/>
  <c r="AQ6" i="2"/>
  <c r="AQ8" i="2" s="1"/>
  <c r="AQ17" i="2" s="1"/>
  <c r="AP6" i="2"/>
  <c r="AP8" i="2" s="1"/>
  <c r="AP17" i="2" s="1"/>
  <c r="AN6" i="2"/>
  <c r="AL6" i="2"/>
  <c r="AK6" i="2"/>
  <c r="AJ6" i="2"/>
  <c r="AF6" i="2"/>
  <c r="AF8" i="2" s="1"/>
  <c r="AE6" i="2"/>
  <c r="AE8" i="2" s="1"/>
  <c r="AD6" i="2"/>
  <c r="AD8" i="2" s="1"/>
  <c r="AC6" i="2"/>
  <c r="AC8" i="2" s="1"/>
  <c r="AB6" i="2"/>
  <c r="AB8" i="2" s="1"/>
  <c r="AA6" i="2"/>
  <c r="AA8" i="2" s="1"/>
  <c r="Z6" i="2"/>
  <c r="Z8" i="2" s="1" a="1"/>
  <c r="Z8" i="2" s="1"/>
  <c r="Z6" i="2" a="1"/>
  <c r="Y6" i="2"/>
  <c r="Y8" i="2" s="1" a="1"/>
  <c r="Y8" i="2" s="1"/>
  <c r="Y6" i="2" a="1"/>
  <c r="X6" i="2" a="1"/>
  <c r="X6" i="2" s="1"/>
  <c r="X8" i="2" s="1" a="1"/>
  <c r="X8" i="2" s="1"/>
  <c r="W6" i="2" a="1"/>
  <c r="W6" i="2" s="1"/>
  <c r="V6" i="2" a="1"/>
  <c r="V6" i="2" s="1"/>
  <c r="U6" i="2" a="1"/>
  <c r="U6" i="2" s="1"/>
  <c r="U8" i="2" s="1"/>
  <c r="T6" i="2" a="1"/>
  <c r="T6" i="2" s="1"/>
  <c r="T8" i="2" s="1"/>
  <c r="S6" i="2" a="1"/>
  <c r="S6" i="2" s="1"/>
  <c r="S8" i="2" s="1"/>
  <c r="P6" i="2"/>
  <c r="P8" i="2" s="1"/>
  <c r="P6" i="2" a="1"/>
  <c r="O6" i="2"/>
  <c r="O8" i="2" s="1"/>
  <c r="O6" i="2" a="1"/>
  <c r="N6" i="2" a="1"/>
  <c r="N6" i="2" s="1"/>
  <c r="N8" i="2" s="1"/>
  <c r="M6" i="2" a="1"/>
  <c r="M6" i="2" s="1"/>
  <c r="M8" i="2" s="1"/>
  <c r="I6" i="2"/>
  <c r="R6" i="2" s="1"/>
  <c r="R8" i="2" s="1"/>
  <c r="H6" i="2"/>
  <c r="AH6" i="2" s="1"/>
  <c r="D6" i="2"/>
  <c r="C6" i="2"/>
  <c r="B6" i="2"/>
  <c r="A6" i="2"/>
  <c r="R19" i="2" l="1"/>
  <c r="AG24" i="2"/>
  <c r="AM10" i="2"/>
  <c r="AB17" i="2"/>
  <c r="AO10" i="2"/>
  <c r="Q15" i="2"/>
  <c r="M26" i="2"/>
  <c r="AP26" i="2" a="1"/>
  <c r="AP26" i="2" s="1"/>
  <c r="AC17" i="2"/>
  <c r="AG14" i="2"/>
  <c r="S26" i="2" a="1"/>
  <c r="S26" i="2" s="1"/>
  <c r="AQ26" i="2" a="1"/>
  <c r="AQ26" i="2" s="1"/>
  <c r="Q20" i="2"/>
  <c r="AN12" i="2"/>
  <c r="AG19" i="2"/>
  <c r="AR26" i="2" a="1"/>
  <c r="AR26" i="2" s="1"/>
  <c r="AI20" i="2"/>
  <c r="AH11" i="2"/>
  <c r="AT26" i="2" a="1"/>
  <c r="AT26" i="2" s="1"/>
  <c r="AG23" i="2"/>
  <c r="AH10" i="2"/>
  <c r="AS17" i="2"/>
  <c r="AU26" i="2" a="1"/>
  <c r="AU26" i="2" s="1"/>
  <c r="AH23" i="2"/>
  <c r="AI6" i="2"/>
  <c r="AG7" i="2"/>
  <c r="AT17" i="2"/>
  <c r="AI12" i="2"/>
  <c r="AH13" i="2"/>
  <c r="AO14" i="2"/>
  <c r="AO16" i="2"/>
  <c r="R16" i="2"/>
  <c r="R17" i="2" s="1"/>
  <c r="AI19" i="2"/>
  <c r="AC26" i="2" a="1"/>
  <c r="AC26" i="2" s="1"/>
  <c r="AI24" i="2"/>
  <c r="R26" i="2"/>
  <c r="AN8" i="2" a="1"/>
  <c r="AN8" i="2" s="1"/>
  <c r="N26" i="2" a="1"/>
  <c r="N26" i="2" s="1"/>
  <c r="M17" i="2"/>
  <c r="T26" i="2" a="1"/>
  <c r="T26" i="2" s="1"/>
  <c r="U26" i="2" a="1"/>
  <c r="U26" i="2" s="1"/>
  <c r="P26" i="2" a="1"/>
  <c r="P26" i="2" s="1"/>
  <c r="AM15" i="2"/>
  <c r="AH16" i="2"/>
  <c r="AM20" i="2"/>
  <c r="AH21" i="2"/>
  <c r="AM6" i="2"/>
  <c r="AH7" i="2"/>
  <c r="AH8" i="2" s="1"/>
  <c r="Q10" i="2"/>
  <c r="AG10" i="2"/>
  <c r="AM12" i="2"/>
  <c r="AM17" i="2" s="1" a="1"/>
  <c r="AM17" i="2" s="1"/>
  <c r="AN15" i="2"/>
  <c r="AI16" i="2"/>
  <c r="AN20" i="2"/>
  <c r="AI21" i="2"/>
  <c r="Q23" i="2"/>
  <c r="AM25" i="2"/>
  <c r="AI7" i="2"/>
  <c r="AI8" i="2" s="1"/>
  <c r="AG15" i="2"/>
  <c r="AO15" i="2"/>
  <c r="AG20" i="2"/>
  <c r="AG26" i="2" s="1" a="1"/>
  <c r="AG26" i="2" s="1"/>
  <c r="AO20" i="2"/>
  <c r="AM22" i="2"/>
  <c r="AN25" i="2"/>
  <c r="Q6" i="2"/>
  <c r="Q8" i="2" s="1"/>
  <c r="AG6" i="2"/>
  <c r="AG8" i="2" s="1"/>
  <c r="AO6" i="2"/>
  <c r="AO8" i="2" s="1" a="1"/>
  <c r="AO8" i="2" s="1"/>
  <c r="AI10" i="2"/>
  <c r="Q12" i="2"/>
  <c r="AG12" i="2"/>
  <c r="AO12" i="2"/>
  <c r="AM14" i="2"/>
  <c r="AH15" i="2"/>
  <c r="AM19" i="2"/>
  <c r="AH20" i="2"/>
  <c r="AH26" i="2" s="1" a="1"/>
  <c r="AH26" i="2" s="1"/>
  <c r="AN22" i="2"/>
  <c r="AI23" i="2"/>
  <c r="Q25" i="2"/>
  <c r="AG25" i="2"/>
  <c r="AO25" i="2"/>
  <c r="AM11" i="2"/>
  <c r="AN14" i="2"/>
  <c r="AN19" i="2"/>
  <c r="AG22" i="2"/>
  <c r="AO22" i="2"/>
  <c r="AO26" i="2" s="1" a="1"/>
  <c r="AO26" i="2" s="1"/>
  <c r="AM24" i="2"/>
  <c r="AH25" i="2"/>
  <c r="AM16" i="2"/>
  <c r="AM21" i="2"/>
  <c r="AH22" i="2"/>
  <c r="AM7" i="2"/>
  <c r="Q11" i="2"/>
  <c r="AG11" i="2"/>
  <c r="AO11" i="2"/>
  <c r="AM13" i="2"/>
  <c r="AN16" i="2"/>
  <c r="AN21" i="2"/>
  <c r="Q24" i="2"/>
  <c r="AG16" i="2"/>
  <c r="AG21" i="2"/>
  <c r="AO17" i="2" l="1" a="1"/>
  <c r="AO17" i="2" s="1"/>
  <c r="AN26" i="2" a="1"/>
  <c r="AN26" i="2" s="1"/>
  <c r="AM26" i="2" a="1"/>
  <c r="AM26" i="2" s="1"/>
  <c r="Q26" i="2"/>
  <c r="AI17" i="2"/>
  <c r="AN17" i="2" a="1"/>
  <c r="AN17" i="2" s="1"/>
  <c r="AH17" i="2"/>
  <c r="Q17" i="2"/>
  <c r="AI26" i="2" a="1"/>
  <c r="AI26" i="2" s="1"/>
  <c r="AG17" i="2"/>
  <c r="AM8" i="2" a="1"/>
  <c r="AM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<sst xmlns="http://schemas.openxmlformats.org/spreadsheetml/2006/main" count="224" uniqueCount="145">
  <si>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</si>
  <si>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</si>
  <si>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</si>
  <si>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</si>
  <si>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</si>
  <si>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</si>
  <si>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</si>
  <si>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</si>
  <si>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</si>
  <si>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</si>
  <si>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</si>
  <si>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</si>
  <si>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</si>
  <si>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</si>
  <si>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EV / EBITDA</t>
  </si>
  <si>
    <t>Production guidance Coal (kt)</t>
  </si>
  <si>
    <t>Production Coal consensus (kt)</t>
  </si>
  <si>
    <t>EV/Production Coal ($/t)</t>
  </si>
  <si>
    <t>Attributable Reserves</t>
  </si>
  <si>
    <t>Attributable M&amp;I Resources</t>
  </si>
  <si>
    <t>Attributable Total Resources</t>
  </si>
  <si>
    <t>EV/Metrics Coal ($/t)</t>
  </si>
  <si>
    <t>Cash Costs Reported ($/t)</t>
  </si>
  <si>
    <t>Cash Cost Guidance ($/t)</t>
  </si>
  <si>
    <t>Model (Y/N)</t>
  </si>
  <si>
    <t>Priority?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</si>
  <si>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</si>
  <si>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</si>
  <si>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</si>
  <si>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</si>
  <si>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</si>
  <si>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</si>
  <si>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</si>
  <si>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</si>
  <si>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</si>
  <si>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2024Y</t>
  </si>
  <si>
    <t>2025Y</t>
  </si>
  <si>
    <t>2026Y</t>
  </si>
  <si>
    <t>Coal</t>
  </si>
  <si>
    <t>Reserves</t>
  </si>
  <si>
    <t>M&amp;I</t>
  </si>
  <si>
    <t>M,I&amp;I</t>
  </si>
  <si>
    <t>2021Y</t>
  </si>
  <si>
    <t>2022Y</t>
  </si>
  <si>
    <t>2023Y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</si>
  <si>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</si>
  <si>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</si>
  <si>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</si>
  <si>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</si>
  <si>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</si>
  <si>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</si>
  <si>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</si>
  <si>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</si>
  <si>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</si>
  <si>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</si>
  <si>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</si>
  <si>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SP_TEV_EBITDA_FWD</t>
  </si>
  <si>
    <t>SNL_CONS_PRODUCTION_PROJECTION_HIGH_TONNE</t>
  </si>
  <si>
    <t>SNL_ATTRIBUTABLE_RESV_TONNES</t>
  </si>
  <si>
    <t>SNL_ATTRIBUTABLE_M_AND_I_RESRC_TONNES</t>
  </si>
  <si>
    <t>SNL_ATTRIBUTABLE_TOTAL_RESRC_TONNES</t>
  </si>
  <si>
    <t>SNL_CASH_COST_TONNE</t>
  </si>
  <si>
    <t>SNL_PROJ_CASH_COST_HIGH_TONNE</t>
  </si>
  <si>
    <t>FQ0</t>
  </si>
  <si>
    <t>FH0</t>
  </si>
  <si>
    <t>SNL_CONS_PRODUCTION_PROJECTION_LOW_TONNE</t>
  </si>
  <si>
    <t>SP_COAL_PRODUCTION_EST</t>
  </si>
  <si>
    <t>MRQ</t>
  </si>
  <si>
    <t>SNL_PROJ_CASH_COST_LOW_TONNE</t>
  </si>
  <si>
    <t>Africa</t>
  </si>
  <si>
    <t>#N/A N/A</t>
  </si>
  <si>
    <t>14/03/2025</t>
  </si>
  <si>
    <t>Estimated</t>
  </si>
  <si>
    <t>Exxaro Resources</t>
  </si>
  <si>
    <t>EXX SJ Equity</t>
  </si>
  <si>
    <t>JSE:EXX</t>
  </si>
  <si>
    <t>N</t>
  </si>
  <si>
    <t>NO</t>
  </si>
  <si>
    <t>10/12/2024</t>
  </si>
  <si>
    <t>18/03/2025</t>
  </si>
  <si>
    <t>Thungela Resources</t>
  </si>
  <si>
    <t>TGA SJ Equity</t>
  </si>
  <si>
    <t>JSE:TGA</t>
  </si>
  <si>
    <t>YES</t>
  </si>
  <si>
    <t>Average</t>
  </si>
  <si>
    <t>North America</t>
  </si>
  <si>
    <t>25/10/2024</t>
  </si>
  <si>
    <t>Peabody Energy</t>
  </si>
  <si>
    <t>BTU US Equity</t>
  </si>
  <si>
    <t>NYSE:BTU</t>
  </si>
  <si>
    <t>28/10/2024</t>
  </si>
  <si>
    <t>Alliance Resource Partners</t>
  </si>
  <si>
    <t>CNR US Equity</t>
  </si>
  <si>
    <t>NASDAQGS:ARLP</t>
  </si>
  <si>
    <t>Core Natural Resources</t>
  </si>
  <si>
    <t>ARCH US Equity</t>
  </si>
  <si>
    <t>NYSE:CNR</t>
  </si>
  <si>
    <t>01/11/2024</t>
  </si>
  <si>
    <t>Warrior Met Coal</t>
  </si>
  <si>
    <t>HCC US Equity</t>
  </si>
  <si>
    <t>NYSE:HCC</t>
  </si>
  <si>
    <t>Alpha Metallurgical Resources</t>
  </si>
  <si>
    <t>AMR US Equity</t>
  </si>
  <si>
    <t>NYSE:AMR</t>
  </si>
  <si>
    <t>07/11/2024</t>
  </si>
  <si>
    <t>Ramaco Resources</t>
  </si>
  <si>
    <t>METC US Equity</t>
  </si>
  <si>
    <t>NASDAQGS:METC</t>
  </si>
  <si>
    <t>04/11/2024</t>
  </si>
  <si>
    <t xml:space="preserve">Natural Resource Partners </t>
  </si>
  <si>
    <t>NRP US Equity</t>
  </si>
  <si>
    <t>NYSE:NRP</t>
  </si>
  <si>
    <t>Australia</t>
  </si>
  <si>
    <t>30/07/2025</t>
  </si>
  <si>
    <t>Bathurst Resources</t>
  </si>
  <si>
    <t>BRL AU Equity</t>
  </si>
  <si>
    <t>ASX:BRL</t>
  </si>
  <si>
    <t>20/02/2025</t>
  </si>
  <si>
    <t>Coronado Global Resources</t>
  </si>
  <si>
    <t>CRN AU Equity</t>
  </si>
  <si>
    <t>ASX:CRN</t>
  </si>
  <si>
    <t>13/02/2025</t>
  </si>
  <si>
    <t>Whitehaven Coal</t>
  </si>
  <si>
    <t>WHC AU Equity</t>
  </si>
  <si>
    <t>ASX:WHC</t>
  </si>
  <si>
    <t>Y</t>
  </si>
  <si>
    <t>22/10/2024</t>
  </si>
  <si>
    <t>25/02/2025</t>
  </si>
  <si>
    <t>Stanmore Resources</t>
  </si>
  <si>
    <t>SMR AU Equity</t>
  </si>
  <si>
    <t>ASX:SMR</t>
  </si>
  <si>
    <t>17/10/2024</t>
  </si>
  <si>
    <t>21/02/2025</t>
  </si>
  <si>
    <t>Yancoal Australia</t>
  </si>
  <si>
    <t>YAL AU Equity</t>
  </si>
  <si>
    <t>ASX:YAL</t>
  </si>
  <si>
    <t>01/09/2025</t>
  </si>
  <si>
    <t>TerraCom Limited</t>
  </si>
  <si>
    <t>TER AU Equity</t>
  </si>
  <si>
    <t>ASX:TER</t>
  </si>
  <si>
    <t>18/11/2024</t>
  </si>
  <si>
    <t>17/09/2025</t>
  </si>
  <si>
    <t xml:space="preserve">New Hope Corporation </t>
  </si>
  <si>
    <t>NHC AU Equity</t>
  </si>
  <si>
    <t>ASX:NHC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</si>
</sst>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6"/>
      <color rgb="FF525252"/>
      <name val="Arial Narrow"/>
      <family val="2"/>
    </font>
    <font>
      <sz val="7"/>
      <color rgb="FF525252"/>
      <name val="Arial"/>
      <family val="2"/>
    </font>
    <font>
      <sz val="7"/>
      <color rgb="FF000000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1" fillId="0" borderId="0" applyFont="0" applyFill="0" applyBorder="0" applyAlignment="0" applyProtection="0"/>
  </cellStyleXfs>
  <cellXfs count="125">
    <xf numFmtId="0" fontId="0" fillId="0" borderId="0" xfId="0"/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top" wrapText="1"/>
    </xf>
    <xf numFmtId="0" fontId="1" fillId="0" borderId="0" xfId="1" applyAlignment="1">
      <alignment horizontal="left" vertical="top"/>
    </xf>
    <xf numFmtId="0" fontId="2" fillId="0" borderId="1" xfId="1" applyFont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4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5" xfId="1" applyFont="1" applyFill="1" applyBorder="1" applyAlignment="1">
      <alignment horizontal="center" vertical="top" wrapText="1"/>
    </xf>
    <xf numFmtId="0" fontId="2" fillId="4" borderId="6" xfId="1" applyFont="1" applyFill="1" applyBorder="1" applyAlignment="1">
      <alignment horizontal="center" vertical="top" wrapText="1"/>
    </xf>
    <xf numFmtId="0" fontId="2" fillId="5" borderId="5" xfId="1" applyFont="1" applyFill="1" applyBorder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top"/>
    </xf>
    <xf numFmtId="0" fontId="3" fillId="0" borderId="6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9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3" fillId="0" borderId="8" xfId="1" applyFont="1" applyBorder="1" applyAlignment="1">
      <alignment horizontal="center" vertical="top"/>
    </xf>
    <xf numFmtId="0" fontId="3" fillId="0" borderId="6" xfId="1" applyFont="1" applyBorder="1" applyAlignment="1">
      <alignment horizontal="center" vertical="top"/>
    </xf>
    <xf numFmtId="0" fontId="3" fillId="0" borderId="10" xfId="1" applyFont="1" applyBorder="1" applyAlignment="1">
      <alignment horizontal="center" vertical="top"/>
    </xf>
    <xf numFmtId="0" fontId="2" fillId="0" borderId="11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1" fillId="0" borderId="11" xfId="1" applyBorder="1" applyAlignment="1">
      <alignment horizontal="left" vertical="top"/>
    </xf>
    <xf numFmtId="0" fontId="1" fillId="0" borderId="9" xfId="1" applyBorder="1" applyAlignment="1">
      <alignment horizontal="left" vertical="top"/>
    </xf>
    <xf numFmtId="0" fontId="1" fillId="0" borderId="8" xfId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6" xfId="1" applyFont="1" applyBorder="1" applyAlignment="1">
      <alignment horizontal="left" vertical="top"/>
    </xf>
    <xf numFmtId="0" fontId="1" fillId="0" borderId="10" xfId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6" xfId="1" applyBorder="1" applyAlignment="1">
      <alignment horizontal="left" vertical="top"/>
    </xf>
    <xf numFmtId="0" fontId="6" fillId="0" borderId="6" xfId="1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10" xfId="1" applyFont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1" fillId="0" borderId="13" xfId="1" applyBorder="1" applyAlignment="1">
      <alignment horizontal="left" vertical="top"/>
    </xf>
    <xf numFmtId="0" fontId="1" fillId="0" borderId="14" xfId="1" applyBorder="1" applyAlignment="1">
      <alignment horizontal="left" vertical="top"/>
    </xf>
    <xf numFmtId="0" fontId="1" fillId="0" borderId="15" xfId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9" fillId="5" borderId="3" xfId="1" applyFont="1" applyFill="1" applyBorder="1" applyAlignment="1">
      <alignment horizontal="left" vertical="top"/>
    </xf>
    <xf numFmtId="0" fontId="1" fillId="5" borderId="3" xfId="1" applyFill="1" applyBorder="1" applyAlignment="1">
      <alignment horizontal="left" vertical="top"/>
    </xf>
    <xf numFmtId="164" fontId="1" fillId="5" borderId="16" xfId="1" applyNumberFormat="1" applyFill="1" applyBorder="1" applyAlignment="1">
      <alignment horizontal="center" vertical="top"/>
    </xf>
    <xf numFmtId="0" fontId="1" fillId="5" borderId="2" xfId="1" applyFill="1" applyBorder="1" applyAlignment="1">
      <alignment horizontal="center" vertical="top"/>
    </xf>
    <xf numFmtId="0" fontId="1" fillId="5" borderId="3" xfId="1" applyFill="1" applyBorder="1" applyAlignment="1">
      <alignment horizontal="center" vertical="top"/>
    </xf>
    <xf numFmtId="0" fontId="1" fillId="5" borderId="4" xfId="1" applyFill="1" applyBorder="1" applyAlignment="1">
      <alignment horizontal="center" vertical="top"/>
    </xf>
    <xf numFmtId="14" fontId="1" fillId="0" borderId="0" xfId="1" applyNumberFormat="1" applyAlignment="1">
      <alignment horizontal="center"/>
    </xf>
    <xf numFmtId="14" fontId="10" fillId="0" borderId="0" xfId="1" applyNumberFormat="1" applyFont="1" applyAlignment="1">
      <alignment horizontal="center"/>
    </xf>
    <xf numFmtId="4" fontId="11" fillId="0" borderId="0" xfId="1" applyNumberFormat="1" applyFont="1" applyAlignment="1">
      <alignment horizontal="right" vertical="top"/>
    </xf>
    <xf numFmtId="0" fontId="12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2" fontId="1" fillId="0" borderId="1" xfId="1" applyNumberFormat="1" applyBorder="1" applyAlignment="1">
      <alignment horizontal="center" vertical="top"/>
    </xf>
    <xf numFmtId="164" fontId="1" fillId="0" borderId="6" xfId="1" applyNumberFormat="1" applyBorder="1" applyAlignment="1">
      <alignment horizontal="center" vertical="top"/>
    </xf>
    <xf numFmtId="164" fontId="1" fillId="0" borderId="0" xfId="1" applyNumberFormat="1" applyAlignment="1">
      <alignment horizontal="center" vertical="top"/>
    </xf>
    <xf numFmtId="164" fontId="1" fillId="0" borderId="10" xfId="1" applyNumberFormat="1" applyBorder="1" applyAlignment="1">
      <alignment horizontal="center" vertical="top"/>
    </xf>
    <xf numFmtId="165" fontId="0" fillId="0" borderId="0" xfId="2" applyNumberFormat="1" applyFont="1" applyBorder="1" applyAlignment="1">
      <alignment horizontal="center" vertical="top"/>
    </xf>
    <xf numFmtId="9" fontId="0" fillId="0" borderId="11" xfId="2" applyFont="1" applyBorder="1" applyAlignment="1">
      <alignment horizontal="center" vertical="top"/>
    </xf>
    <xf numFmtId="9" fontId="0" fillId="0" borderId="9" xfId="2" applyFont="1" applyBorder="1" applyAlignment="1">
      <alignment horizontal="center" vertical="top"/>
    </xf>
    <xf numFmtId="164" fontId="1" fillId="0" borderId="7" xfId="1" applyNumberFormat="1" applyBorder="1" applyAlignment="1">
      <alignment horizontal="center" vertical="top"/>
    </xf>
    <xf numFmtId="164" fontId="1" fillId="0" borderId="8" xfId="1" applyNumberFormat="1" applyBorder="1" applyAlignment="1">
      <alignment horizontal="center" vertical="top"/>
    </xf>
    <xf numFmtId="3" fontId="1" fillId="0" borderId="7" xfId="1" applyNumberForma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3" fontId="1" fillId="0" borderId="0" xfId="1" applyNumberFormat="1" applyAlignment="1">
      <alignment horizontal="center"/>
    </xf>
    <xf numFmtId="3" fontId="1" fillId="0" borderId="11" xfId="1" applyNumberFormat="1" applyBorder="1" applyAlignment="1">
      <alignment horizontal="center" vertical="top"/>
    </xf>
    <xf numFmtId="3" fontId="1" fillId="0" borderId="7" xfId="1" applyNumberFormat="1" applyBorder="1" applyAlignment="1">
      <alignment horizontal="center" vertical="top"/>
    </xf>
    <xf numFmtId="3" fontId="1" fillId="0" borderId="8" xfId="1" applyNumberFormat="1" applyBorder="1" applyAlignment="1">
      <alignment horizontal="center" vertical="top"/>
    </xf>
    <xf numFmtId="166" fontId="1" fillId="0" borderId="11" xfId="1" applyNumberFormat="1" applyBorder="1" applyAlignment="1">
      <alignment horizontal="center"/>
    </xf>
    <xf numFmtId="166" fontId="1" fillId="0" borderId="0" xfId="1" applyNumberFormat="1" applyAlignment="1">
      <alignment horizontal="center"/>
    </xf>
    <xf numFmtId="166" fontId="1" fillId="0" borderId="8" xfId="1" applyNumberFormat="1" applyBorder="1" applyAlignment="1">
      <alignment horizontal="center"/>
    </xf>
    <xf numFmtId="166" fontId="1" fillId="0" borderId="6" xfId="1" applyNumberFormat="1" applyBorder="1" applyAlignment="1">
      <alignment horizontal="center"/>
    </xf>
    <xf numFmtId="166" fontId="1" fillId="0" borderId="10" xfId="1" applyNumberFormat="1" applyBorder="1" applyAlignment="1">
      <alignment horizontal="center"/>
    </xf>
    <xf numFmtId="0" fontId="1" fillId="0" borderId="12" xfId="1" applyBorder="1" applyAlignment="1">
      <alignment horizontal="center" vertical="top"/>
    </xf>
    <xf numFmtId="0" fontId="11" fillId="0" borderId="12" xfId="1" applyFont="1" applyBorder="1" applyAlignment="1">
      <alignment horizontal="left" vertical="top"/>
    </xf>
    <xf numFmtId="9" fontId="0" fillId="0" borderId="13" xfId="2" applyFont="1" applyBorder="1" applyAlignment="1">
      <alignment horizontal="center" vertical="top"/>
    </xf>
    <xf numFmtId="9" fontId="0" fillId="0" borderId="17" xfId="2" applyFont="1" applyBorder="1" applyAlignment="1">
      <alignment horizontal="center" vertical="top"/>
    </xf>
    <xf numFmtId="164" fontId="1" fillId="0" borderId="15" xfId="1" applyNumberFormat="1" applyBorder="1" applyAlignment="1">
      <alignment horizontal="center" vertical="top"/>
    </xf>
    <xf numFmtId="3" fontId="1" fillId="0" borderId="10" xfId="1" applyNumberFormat="1" applyBorder="1" applyAlignment="1">
      <alignment horizontal="center"/>
    </xf>
    <xf numFmtId="3" fontId="1" fillId="0" borderId="6" xfId="1" applyNumberFormat="1" applyBorder="1" applyAlignment="1">
      <alignment horizontal="center" vertical="top"/>
    </xf>
    <xf numFmtId="3" fontId="1" fillId="0" borderId="0" xfId="1" applyNumberFormat="1" applyAlignment="1">
      <alignment horizontal="center" vertical="top"/>
    </xf>
    <xf numFmtId="3" fontId="1" fillId="0" borderId="10" xfId="1" applyNumberFormat="1" applyBorder="1" applyAlignment="1">
      <alignment horizontal="center" vertical="top"/>
    </xf>
    <xf numFmtId="0" fontId="10" fillId="0" borderId="0" xfId="1" applyFont="1" applyAlignment="1">
      <alignment horizontal="left" vertical="top"/>
    </xf>
    <xf numFmtId="0" fontId="2" fillId="6" borderId="3" xfId="1" applyFont="1" applyFill="1" applyBorder="1" applyAlignment="1">
      <alignment horizontal="right" vertical="top"/>
    </xf>
    <xf numFmtId="2" fontId="2" fillId="6" borderId="16" xfId="1" applyNumberFormat="1" applyFont="1" applyFill="1" applyBorder="1" applyAlignment="1">
      <alignment horizontal="center" vertical="top"/>
    </xf>
    <xf numFmtId="164" fontId="2" fillId="6" borderId="2" xfId="1" applyNumberFormat="1" applyFont="1" applyFill="1" applyBorder="1" applyAlignment="1">
      <alignment horizontal="center" vertical="top"/>
    </xf>
    <xf numFmtId="164" fontId="2" fillId="6" borderId="3" xfId="1" applyNumberFormat="1" applyFont="1" applyFill="1" applyBorder="1" applyAlignment="1">
      <alignment horizontal="center" vertical="top"/>
    </xf>
    <xf numFmtId="164" fontId="2" fillId="6" borderId="4" xfId="1" applyNumberFormat="1" applyFont="1" applyFill="1" applyBorder="1" applyAlignment="1">
      <alignment horizontal="center" vertical="top"/>
    </xf>
    <xf numFmtId="165" fontId="2" fillId="6" borderId="3" xfId="2" applyNumberFormat="1" applyFont="1" applyFill="1" applyBorder="1" applyAlignment="1">
      <alignment horizontal="center" vertical="top"/>
    </xf>
    <xf numFmtId="166" fontId="2" fillId="6" borderId="3" xfId="1" applyNumberFormat="1" applyFont="1" applyFill="1" applyBorder="1" applyAlignment="1">
      <alignment horizontal="center" vertical="top"/>
    </xf>
    <xf numFmtId="3" fontId="2" fillId="6" borderId="3" xfId="1" applyNumberFormat="1" applyFont="1" applyFill="1" applyBorder="1" applyAlignment="1">
      <alignment horizontal="center" vertical="top"/>
    </xf>
    <xf numFmtId="3" fontId="2" fillId="6" borderId="4" xfId="1" applyNumberFormat="1" applyFont="1" applyFill="1" applyBorder="1" applyAlignment="1">
      <alignment horizontal="center" vertical="top"/>
    </xf>
    <xf numFmtId="3" fontId="2" fillId="6" borderId="2" xfId="1" applyNumberFormat="1" applyFont="1" applyFill="1" applyBorder="1" applyAlignment="1">
      <alignment horizontal="center" vertical="top"/>
    </xf>
    <xf numFmtId="3" fontId="2" fillId="6" borderId="8" xfId="1" applyNumberFormat="1" applyFont="1" applyFill="1" applyBorder="1" applyAlignment="1">
      <alignment horizontal="center" vertical="top"/>
    </xf>
    <xf numFmtId="3" fontId="2" fillId="6" borderId="0" xfId="1" applyNumberFormat="1" applyFont="1" applyFill="1" applyAlignment="1">
      <alignment horizontal="center" vertical="top"/>
    </xf>
    <xf numFmtId="166" fontId="2" fillId="6" borderId="2" xfId="1" applyNumberFormat="1" applyFont="1" applyFill="1" applyBorder="1" applyAlignment="1">
      <alignment horizontal="center" vertical="top"/>
    </xf>
    <xf numFmtId="166" fontId="2" fillId="6" borderId="4" xfId="1" applyNumberFormat="1" applyFont="1" applyFill="1" applyBorder="1" applyAlignment="1">
      <alignment horizontal="center" vertical="top"/>
    </xf>
    <xf numFmtId="2" fontId="1" fillId="5" borderId="3" xfId="1" applyNumberFormat="1" applyFill="1" applyBorder="1" applyAlignment="1">
      <alignment horizontal="center" vertical="top"/>
    </xf>
    <xf numFmtId="0" fontId="1" fillId="5" borderId="14" xfId="1" applyFill="1" applyBorder="1" applyAlignment="1">
      <alignment horizontal="center" vertical="top"/>
    </xf>
    <xf numFmtId="166" fontId="1" fillId="0" borderId="7" xfId="1" applyNumberFormat="1" applyBorder="1" applyAlignment="1">
      <alignment horizontal="center"/>
    </xf>
    <xf numFmtId="9" fontId="0" fillId="0" borderId="6" xfId="2" applyFont="1" applyBorder="1" applyAlignment="1">
      <alignment horizontal="center" vertical="top"/>
    </xf>
    <xf numFmtId="9" fontId="0" fillId="0" borderId="12" xfId="2" applyFont="1" applyBorder="1" applyAlignment="1">
      <alignment horizontal="center" vertical="top"/>
    </xf>
    <xf numFmtId="166" fontId="1" fillId="0" borderId="13" xfId="1" applyNumberFormat="1" applyBorder="1" applyAlignment="1">
      <alignment horizontal="center"/>
    </xf>
    <xf numFmtId="166" fontId="1" fillId="0" borderId="14" xfId="1" applyNumberFormat="1" applyBorder="1" applyAlignment="1">
      <alignment horizontal="center"/>
    </xf>
    <xf numFmtId="166" fontId="1" fillId="0" borderId="15" xfId="1" applyNumberFormat="1" applyBorder="1" applyAlignment="1">
      <alignment horizontal="center"/>
    </xf>
    <xf numFmtId="3" fontId="2" fillId="6" borderId="10" xfId="1" applyNumberFormat="1" applyFont="1" applyFill="1" applyBorder="1" applyAlignment="1">
      <alignment horizontal="center" vertical="top"/>
    </xf>
    <xf numFmtId="2" fontId="1" fillId="5" borderId="14" xfId="1" applyNumberFormat="1" applyFill="1" applyBorder="1" applyAlignment="1">
      <alignment horizontal="center" vertical="top"/>
    </xf>
    <xf numFmtId="0" fontId="1" fillId="5" borderId="15" xfId="1" applyFill="1" applyBorder="1" applyAlignment="1">
      <alignment horizontal="center" vertical="top"/>
    </xf>
    <xf numFmtId="0" fontId="1" fillId="5" borderId="13" xfId="1" applyFill="1" applyBorder="1" applyAlignment="1">
      <alignment horizontal="center" vertical="top"/>
    </xf>
    <xf numFmtId="0" fontId="1" fillId="7" borderId="12" xfId="1" applyFill="1" applyBorder="1" applyAlignment="1">
      <alignment horizontal="center" vertical="top"/>
    </xf>
    <xf numFmtId="0" fontId="1" fillId="0" borderId="17" xfId="1" applyBorder="1" applyAlignment="1">
      <alignment horizontal="center" vertical="top"/>
    </xf>
    <xf numFmtId="0" fontId="11" fillId="0" borderId="17" xfId="1" applyFont="1" applyBorder="1" applyAlignment="1">
      <alignment horizontal="left" vertical="top"/>
    </xf>
    <xf numFmtId="0" fontId="1" fillId="0" borderId="17" xfId="1" applyBorder="1" applyAlignment="1">
      <alignment horizontal="left" vertical="top"/>
    </xf>
    <xf numFmtId="0" fontId="1" fillId="0" borderId="3" xfId="1" applyBorder="1" applyAlignment="1">
      <alignment horizontal="left" vertical="top"/>
    </xf>
    <xf numFmtId="2" fontId="2" fillId="6" borderId="18" xfId="1" applyNumberFormat="1" applyFont="1" applyFill="1" applyBorder="1" applyAlignment="1">
      <alignment horizontal="center" vertical="top"/>
    </xf>
    <xf numFmtId="0" fontId="1" fillId="4" borderId="0" xfId="1" applyFill="1" applyAlignment="1">
      <alignment horizontal="left" vertical="top"/>
    </xf>
    <xf numFmtId="0" fontId="2" fillId="4" borderId="7" xfId="1" applyFont="1" applyFill="1" applyBorder="1" applyAlignment="1">
      <alignment horizontal="right" vertical="top"/>
    </xf>
    <xf numFmtId="2" fontId="2" fillId="4" borderId="0" xfId="1" applyNumberFormat="1" applyFont="1" applyFill="1" applyAlignment="1">
      <alignment horizontal="center" vertical="top"/>
    </xf>
    <xf numFmtId="164" fontId="2" fillId="4" borderId="0" xfId="1" applyNumberFormat="1" applyFont="1" applyFill="1" applyAlignment="1">
      <alignment horizontal="center" vertical="top"/>
    </xf>
    <xf numFmtId="165" fontId="2" fillId="4" borderId="0" xfId="2" applyNumberFormat="1" applyFont="1" applyFill="1" applyBorder="1" applyAlignment="1">
      <alignment horizontal="center" vertical="top"/>
    </xf>
    <xf numFmtId="3" fontId="2" fillId="4" borderId="0" xfId="1" applyNumberFormat="1" applyFont="1" applyFill="1" applyAlignment="1">
      <alignment horizontal="center" vertical="top"/>
    </xf>
    <xf numFmtId="3" fontId="2" fillId="4" borderId="7" xfId="1" applyNumberFormat="1" applyFont="1" applyFill="1" applyBorder="1" applyAlignment="1">
      <alignment horizontal="center" vertical="top"/>
    </xf>
  </cellXfs>
  <cellStyles count="3">
    <cellStyle name="常规" xfId="0" builtinId="0"/>
    <cellStyle name="常规 2" xfId="1" xr:uid="{A7C9A432-9594-4264-A233-27935BBCC7CB}"/>
    <cellStyle name="百分比 2" xfId="2" xr:uid="{BE69E075-0876-4FF2-9241-307BA2204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B2D5-1625-4D84-9987-655E0F226CD3}">
  <dimension ref="A1:AZ27"/>
  <sheetViews>
    <sheetView showGridLines="0" tabSelected="1" workbookViewId="0">
      <pane xSplit="10" ySplit="4" topLeftCell="M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1" x14ac:dyDescent="0.3"/>
  <cols>
    <col min="1" max="1" width="10.33203125" style="3" hidden="1" customWidth="1" outlineLevel="1"/>
    <col min="2" max="7" width="12.77734375" style="3" hidden="1" customWidth="1" outlineLevel="1"/>
    <col min="8" max="8" width="10.77734375" style="3" hidden="1" customWidth="1" outlineLevel="1"/>
    <col min="9" max="9" width="9.6640625" style="3" hidden="1" customWidth="1" outlineLevel="1"/>
    <col min="10" max="10" width="28.77734375" style="3" bestFit="1" customWidth="1" collapsed="1"/>
    <col min="11" max="11" width="25.77734375" style="3" customWidth="1" outlineLevel="1"/>
    <col min="12" max="12" width="20.33203125" style="3" customWidth="1"/>
    <col min="13" max="13" width="11.33203125" style="3" customWidth="1"/>
    <col min="14" max="14" width="8.33203125" style="3" customWidth="1"/>
    <col min="15" max="15" width="8" style="3" customWidth="1"/>
    <col min="16" max="16" width="8.109375" style="3" bestFit="1" customWidth="1"/>
    <col min="17" max="17" width="8.33203125" style="3" customWidth="1"/>
    <col min="18" max="18" width="8" style="3" customWidth="1"/>
    <col min="19" max="19" width="8.109375" style="3" customWidth="1"/>
    <col min="20" max="20" width="8.33203125" style="3" customWidth="1"/>
    <col min="21" max="21" width="8.109375" style="3" customWidth="1"/>
    <col min="22" max="22" width="10.77734375" style="3" customWidth="1"/>
    <col min="23" max="26" width="8.109375" style="3" customWidth="1"/>
    <col min="27" max="28" width="8.77734375" style="3" customWidth="1"/>
    <col min="29" max="29" width="9.77734375" style="3" customWidth="1"/>
    <col min="30" max="30" width="8.6640625" style="3" customWidth="1"/>
    <col min="31" max="31" width="8.109375" style="3" customWidth="1"/>
    <col min="32" max="32" width="9.33203125" style="3" customWidth="1"/>
    <col min="33" max="34" width="7.33203125" style="3" bestFit="1" customWidth="1"/>
    <col min="35" max="35" width="8.6640625" style="3" customWidth="1"/>
    <col min="36" max="36" width="21.77734375" style="3" hidden="1" customWidth="1" outlineLevel="1"/>
    <col min="37" max="37" width="25.77734375" style="3" hidden="1" customWidth="1" outlineLevel="1"/>
    <col min="38" max="38" width="25.109375" style="3" hidden="1" customWidth="1" outlineLevel="1"/>
    <col min="39" max="39" width="8.33203125" style="3" bestFit="1" customWidth="1" collapsed="1"/>
    <col min="40" max="40" width="7.109375" style="3" bestFit="1" customWidth="1"/>
    <col min="41" max="43" width="6" style="3" customWidth="1"/>
    <col min="44" max="44" width="9.109375" style="3" customWidth="1"/>
    <col min="45" max="46" width="8.88671875" style="3"/>
    <col min="47" max="47" width="10.33203125" style="3" customWidth="1"/>
    <col min="48" max="48" width="8.88671875" style="3"/>
    <col min="49" max="50" width="10.44140625" style="3" customWidth="1"/>
    <col min="51" max="16384" width="8.88671875" style="3"/>
  </cols>
  <sheetData>
    <row r="1" spans="1:52" ht="26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5" t="s">
        <v>10</v>
      </c>
      <c r="R1" s="6"/>
      <c r="S1" s="5" t="s">
        <v>11</v>
      </c>
      <c r="T1" s="6"/>
      <c r="U1" s="7"/>
      <c r="V1" s="8" t="s">
        <v>12</v>
      </c>
      <c r="W1" s="9" t="s">
        <v>13</v>
      </c>
      <c r="X1" s="5" t="s">
        <v>14</v>
      </c>
      <c r="Y1" s="6"/>
      <c r="Z1" s="7"/>
      <c r="AA1" s="6" t="s">
        <v>15</v>
      </c>
      <c r="AB1" s="6"/>
      <c r="AC1" s="6"/>
      <c r="AD1" s="5" t="s">
        <v>16</v>
      </c>
      <c r="AE1" s="6"/>
      <c r="AF1" s="6"/>
      <c r="AG1" s="5" t="s">
        <v>17</v>
      </c>
      <c r="AH1" s="6"/>
      <c r="AI1" s="7"/>
      <c r="AJ1" s="10" t="s">
        <v>18</v>
      </c>
      <c r="AK1" s="10" t="s">
        <v>19</v>
      </c>
      <c r="AL1" s="10" t="s">
        <v>20</v>
      </c>
      <c r="AM1" s="5" t="s">
        <v>21</v>
      </c>
      <c r="AN1" s="6"/>
      <c r="AO1" s="7"/>
      <c r="AP1" s="5" t="s">
        <v>22</v>
      </c>
      <c r="AQ1" s="6"/>
      <c r="AR1" s="6"/>
      <c r="AS1" s="5" t="s">
        <v>23</v>
      </c>
      <c r="AT1" s="6"/>
      <c r="AU1" s="7"/>
      <c r="AW1" s="11" t="s">
        <v>24</v>
      </c>
      <c r="AX1" s="11" t="s">
        <v>25</v>
      </c>
      <c r="AY1" s="11" t="s">
        <v>26</v>
      </c>
      <c r="AZ1" s="11" t="s">
        <v>27</v>
      </c>
    </row>
    <row r="2" spans="1:52" ht="30" customHeight="1" x14ac:dyDescent="0.3">
      <c r="A2" s="1"/>
      <c r="B2" s="1"/>
      <c r="C2" s="1"/>
      <c r="D2" s="2" t="s">
        <v>28</v>
      </c>
      <c r="E2" s="2" t="s">
        <v>29</v>
      </c>
      <c r="F2" s="1"/>
      <c r="G2" s="1"/>
      <c r="H2" s="1"/>
      <c r="I2" s="1"/>
      <c r="K2" s="12" t="s">
        <v>30</v>
      </c>
      <c r="L2" s="13" t="s">
        <v>31</v>
      </c>
      <c r="M2" s="4"/>
      <c r="N2" s="14" t="s">
        <v>32</v>
      </c>
      <c r="O2" s="15" t="s">
        <v>33</v>
      </c>
      <c r="P2" s="16" t="s">
        <v>34</v>
      </c>
      <c r="Q2" s="17" t="s">
        <v>32</v>
      </c>
      <c r="R2" s="15" t="s">
        <v>33</v>
      </c>
      <c r="S2" s="14" t="s">
        <v>32</v>
      </c>
      <c r="T2" s="15" t="s">
        <v>33</v>
      </c>
      <c r="U2" s="16" t="s">
        <v>34</v>
      </c>
      <c r="V2" s="14" t="s">
        <v>32</v>
      </c>
      <c r="W2" s="18"/>
      <c r="X2" s="14" t="s">
        <v>32</v>
      </c>
      <c r="Y2" s="15" t="s">
        <v>33</v>
      </c>
      <c r="Z2" s="16" t="s">
        <v>34</v>
      </c>
      <c r="AA2" s="19" t="s">
        <v>35</v>
      </c>
      <c r="AB2" s="20" t="s">
        <v>36</v>
      </c>
      <c r="AC2" s="21" t="s">
        <v>37</v>
      </c>
      <c r="AD2" s="20" t="s">
        <v>32</v>
      </c>
      <c r="AE2" s="20" t="s">
        <v>33</v>
      </c>
      <c r="AF2" s="20" t="s">
        <v>34</v>
      </c>
      <c r="AG2" s="22" t="s">
        <v>35</v>
      </c>
      <c r="AH2" s="20" t="s">
        <v>36</v>
      </c>
      <c r="AI2" s="23" t="s">
        <v>37</v>
      </c>
      <c r="AJ2" s="20" t="s">
        <v>38</v>
      </c>
      <c r="AK2" s="20" t="s">
        <v>38</v>
      </c>
      <c r="AL2" s="20" t="s">
        <v>38</v>
      </c>
      <c r="AM2" s="24" t="s">
        <v>39</v>
      </c>
      <c r="AN2" s="25" t="s">
        <v>40</v>
      </c>
      <c r="AO2" s="26" t="s">
        <v>41</v>
      </c>
      <c r="AP2" s="20" t="s">
        <v>42</v>
      </c>
      <c r="AQ2" s="20" t="s">
        <v>43</v>
      </c>
      <c r="AR2" s="21" t="s">
        <v>44</v>
      </c>
      <c r="AS2" s="20" t="s">
        <v>35</v>
      </c>
      <c r="AT2" s="20" t="s">
        <v>36</v>
      </c>
      <c r="AU2" s="23" t="s">
        <v>37</v>
      </c>
      <c r="AW2" s="27"/>
      <c r="AX2" s="27"/>
      <c r="AY2" s="28"/>
      <c r="AZ2" s="29"/>
    </row>
    <row r="3" spans="1:52" hidden="1" outlineLevel="1" x14ac:dyDescent="0.3">
      <c r="A3" s="30" t="s">
        <v>45</v>
      </c>
      <c r="B3" s="31" t="s">
        <v>46</v>
      </c>
      <c r="C3" s="31" t="s">
        <v>47</v>
      </c>
      <c r="D3" s="31" t="s">
        <v>48</v>
      </c>
      <c r="E3" s="31"/>
      <c r="F3" s="31"/>
      <c r="G3" s="31"/>
      <c r="L3" s="13"/>
      <c r="M3" s="30" t="s">
        <v>49</v>
      </c>
      <c r="N3" s="32" t="s">
        <v>50</v>
      </c>
      <c r="P3" s="33"/>
      <c r="Q3" s="31" t="s">
        <v>51</v>
      </c>
      <c r="R3" s="31" t="s">
        <v>52</v>
      </c>
      <c r="S3" s="32" t="s">
        <v>53</v>
      </c>
      <c r="U3" s="33"/>
      <c r="V3" s="34" t="s">
        <v>54</v>
      </c>
      <c r="W3" s="34" t="s">
        <v>55</v>
      </c>
      <c r="X3" s="32" t="s">
        <v>56</v>
      </c>
      <c r="Z3" s="33"/>
      <c r="AA3" s="31" t="s">
        <v>57</v>
      </c>
      <c r="AC3" s="33"/>
      <c r="AG3" s="35"/>
      <c r="AI3" s="33"/>
      <c r="AJ3" s="36" t="s">
        <v>58</v>
      </c>
      <c r="AK3" s="37" t="s">
        <v>59</v>
      </c>
      <c r="AL3" s="37" t="s">
        <v>60</v>
      </c>
      <c r="AM3" s="36"/>
      <c r="AN3" s="37"/>
      <c r="AO3" s="38"/>
      <c r="AP3" s="32" t="s">
        <v>61</v>
      </c>
      <c r="AS3" s="31" t="s">
        <v>62</v>
      </c>
      <c r="AU3" s="33"/>
      <c r="AV3" s="37"/>
      <c r="AW3" s="35"/>
      <c r="AX3" s="35"/>
      <c r="AY3" s="39"/>
      <c r="AZ3" s="33"/>
    </row>
    <row r="4" spans="1:52" hidden="1" outlineLevel="1" x14ac:dyDescent="0.3">
      <c r="L4" s="13"/>
      <c r="M4" s="30"/>
      <c r="N4" s="32"/>
      <c r="P4" s="33"/>
      <c r="Q4" s="31"/>
      <c r="R4" s="31"/>
      <c r="S4" s="32"/>
      <c r="U4" s="33"/>
      <c r="V4" s="34" t="s">
        <v>63</v>
      </c>
      <c r="W4" s="34" t="s">
        <v>64</v>
      </c>
      <c r="Z4" s="33"/>
      <c r="AA4" s="31" t="s">
        <v>65</v>
      </c>
      <c r="AC4" s="33"/>
      <c r="AD4" s="40" t="s">
        <v>66</v>
      </c>
      <c r="AG4" s="41"/>
      <c r="AH4" s="42"/>
      <c r="AI4" s="43"/>
      <c r="AJ4" s="36" t="s">
        <v>67</v>
      </c>
      <c r="AM4" s="41"/>
      <c r="AN4" s="42"/>
      <c r="AO4" s="43"/>
      <c r="AP4" s="44"/>
      <c r="AS4" s="31" t="s">
        <v>68</v>
      </c>
      <c r="AU4" s="33"/>
      <c r="AW4" s="35"/>
      <c r="AX4" s="35"/>
      <c r="AY4" s="39"/>
      <c r="AZ4" s="33"/>
    </row>
    <row r="5" spans="1:52" ht="16.8" collapsed="1" x14ac:dyDescent="0.3">
      <c r="J5" s="45" t="s">
        <v>69</v>
      </c>
      <c r="K5" s="45"/>
      <c r="L5" s="46"/>
      <c r="M5" s="47"/>
      <c r="N5" s="48"/>
      <c r="O5" s="49"/>
      <c r="P5" s="50"/>
      <c r="Q5" s="49"/>
      <c r="R5" s="49"/>
      <c r="S5" s="48"/>
      <c r="T5" s="49"/>
      <c r="U5" s="50"/>
      <c r="V5" s="49"/>
      <c r="W5" s="49"/>
      <c r="X5" s="49"/>
      <c r="Y5" s="49"/>
      <c r="Z5" s="50"/>
      <c r="AA5" s="49"/>
      <c r="AB5" s="49"/>
      <c r="AC5" s="50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50"/>
      <c r="AP5" s="49"/>
      <c r="AQ5" s="49"/>
      <c r="AR5" s="49"/>
      <c r="AS5" s="49"/>
      <c r="AT5" s="49"/>
      <c r="AU5" s="50"/>
      <c r="AW5" s="35"/>
      <c r="AX5" s="35"/>
      <c r="AY5" s="39"/>
      <c r="AZ5" s="33"/>
    </row>
    <row r="6" spans="1:52" ht="14.4" x14ac:dyDescent="0.25">
      <c r="A6" s="51" t="e">
        <f ca="1">_xll.SNL.Clients.Office.Excel.Functions.SPG($L6, A$3)</f>
        <v>#NAME?</v>
      </c>
      <c r="B6" s="51" t="e">
        <f ca="1">_xll.BDP($K6,B$3)</f>
        <v>#NAME?</v>
      </c>
      <c r="C6" s="51" t="e">
        <f ca="1">_xll.BDP($K6,C$3)</f>
        <v>#NAME?</v>
      </c>
      <c r="D6" s="51" t="e">
        <f ca="1">_xll.BDP($K6,D$3)</f>
        <v>#NAME?</v>
      </c>
      <c r="E6" s="52" t="s">
        <v>70</v>
      </c>
      <c r="F6" s="52" t="s">
        <v>71</v>
      </c>
      <c r="G6" s="52" t="s">
        <v>72</v>
      </c>
      <c r="H6" s="53" t="e">
        <f ca="1">_xll.SNL.Clients.Office.Excel.Functions.SPG($L6, "IQ_TEV", "Options: Curr=USD")</f>
        <v>#NAME?</v>
      </c>
      <c r="I6" s="53" t="e">
        <f ca="1">_xll.SNL.Clients.Office.Excel.Functions.SPG($L6, "SP_MARKETCAP", "Options: Curr=USD")</f>
        <v>#NAME?</v>
      </c>
      <c r="J6" s="54" t="s">
        <v>73</v>
      </c>
      <c r="K6" s="55" t="s">
        <v>74</v>
      </c>
      <c r="L6" s="55" t="s">
        <v>75</v>
      </c>
      <c r="M6" s="56" t="e" cm="1">
        <f t="array" aca="1" ref="M6" ca="1">_xll.SNL.Clients.Office.Excel.Functions.SPG($L6, $M$3)/100</f>
        <v>#NAME?</v>
      </c>
      <c r="N6" s="57" t="e" cm="1">
        <f t="array" aca="1" ref="N6" ca="1">_xll.SNL.Clients.Office.Excel.Functions.SPG($L6, "SP_PCFPS_FWD",N$2)</f>
        <v>#NAME?</v>
      </c>
      <c r="O6" s="58" t="e" cm="1">
        <f t="array" aca="1" ref="O6" ca="1">_xll.SNL.Clients.Office.Excel.Functions.SPG($L6, "SP_PCFPS_FWD",O$2)</f>
        <v>#NAME?</v>
      </c>
      <c r="P6" s="59" t="e" cm="1">
        <f t="array" aca="1" ref="P6" ca="1">_xll.SNL.Clients.Office.Excel.Functions.SPG($L6, "SP_PCFPS_FWD",P$2)</f>
        <v>#NAME?</v>
      </c>
      <c r="Q6" s="60" t="str">
        <f ca="1">IFERROR(_xll.SNL.Clients.Office.Excel.Functions.SPG($L6, "SP_FCF_EST",Q$2, "Options: Curr=USD")/1000/I6,"NA")</f>
        <v>NA</v>
      </c>
      <c r="R6" s="60" t="str">
        <f ca="1">IFERROR(_xll.SNL.Clients.Office.Excel.Functions.SPG($L6, "SP_FCF_EST",R$2, "Options: Curr=USD")/1000/I6,"NA")</f>
        <v>NA</v>
      </c>
      <c r="S6" s="57" t="e" cm="1">
        <f t="array" aca="1" ref="S6" ca="1">_xll.SNL.Clients.Office.Excel.Functions.SPG($L6, "SP_PE_FWD",S$2)</f>
        <v>#NAME?</v>
      </c>
      <c r="T6" s="58" t="e" cm="1">
        <f t="array" aca="1" ref="T6" ca="1">_xll.SNL.Clients.Office.Excel.Functions.SPG($L6, "SP_PE_FWD",T$2)</f>
        <v>#NAME?</v>
      </c>
      <c r="U6" s="59" t="e" cm="1">
        <f t="array" aca="1" ref="U6" ca="1">_xll.SNL.Clients.Office.Excel.Functions.SPG($L6, "SP_PE_FWD",U$2)</f>
        <v>#NAME?</v>
      </c>
      <c r="V6" s="61" t="e" cm="1">
        <f t="array" aca="1" ref="V6" ca="1">IF((_xll.SNL.Clients.Office.Excel.Functions.SPG($L6,$V$3,V$4,"Options: Curr=USD") / _xll.SNL.Clients.Office.Excel.Functions.SPG($L6,"SP_EBITDA_EST",V$2,"Options: Curr=USD")) &lt; 0, "NM", (_xll.SNL.Clients.Office.Excel.Functions.SPG($L6,$V$3,V$4,"Options: Curr=USD") / _xll.SNL.Clients.Office.Excel.Functions.SPG($L6,"SP_EBITDA_EST",V$2,"Options: Curr=USD")))</f>
        <v>#NAME?</v>
      </c>
      <c r="W6" s="62" t="e" cm="1">
        <f t="array" aca="1" ref="W6" ca="1">_xll.SNL.Clients.Office.Excel.Functions.SPG($L6, $W$3,W$4)</f>
        <v>#NAME?</v>
      </c>
      <c r="X6" s="57" t="e" cm="1">
        <f t="array" aca="1" ref="X6" ca="1">_xll.SNL.Clients.Office.Excel.Functions.SPG($L6, $X$3,X$2)</f>
        <v>#NAME?</v>
      </c>
      <c r="Y6" s="63" t="e" cm="1">
        <f t="array" aca="1" ref="Y6" ca="1">_xll.SNL.Clients.Office.Excel.Functions.SPG($L6, $X$3,Y$2)</f>
        <v>#NAME?</v>
      </c>
      <c r="Z6" s="64" t="e" cm="1">
        <f t="array" aca="1" ref="Z6" ca="1">_xll.SNL.Clients.Office.Excel.Functions.SPG($L6, $X$3,Z$2)</f>
        <v>#NAME?</v>
      </c>
      <c r="AA6" s="65" t="str">
        <f ca="1">IFERROR(0.001*AVERAGE(_xll.SNL.Clients.Office.Excel.Functions.SPG($L6,$AA$4,"Coal",AA$2),_xll.SNL.Clients.Office.Excel.Functions.SPG($L6,$AA$3,"Coal",AA$2)),"NA")</f>
        <v>NA</v>
      </c>
      <c r="AB6" s="65" t="str">
        <f ca="1">IFERROR(0.001*AVERAGE(_xll.SNL.Clients.Office.Excel.Functions.SPG($L6,$AA$4,"Coal",AB$2),_xll.SNL.Clients.Office.Excel.Functions.SPG($L6,$AA$3,"Coal",AB$2)),"NA")</f>
        <v>NA</v>
      </c>
      <c r="AC6" s="66" t="str">
        <f ca="1">IFERROR(0.001*AVERAGE(_xll.SNL.Clients.Office.Excel.Functions.SPG($L6,$AA$4,"Coal",AC$2),_xll.SNL.Clients.Office.Excel.Functions.SPG($L6,$AA$3,"Coal",AC$2)),"NA")</f>
        <v>NA</v>
      </c>
      <c r="AD6" s="67" t="e">
        <f ca="1" xml:space="preserve"> IF(ISNUMBER(SEARCH("na",_xll.SNL.Clients.Office.Excel.Functions.SPG($L6, $AD$4, AD$2))), 0,_xll.SNL.Clients.Office.Excel.Functions.SPG($L6, $AD$4, AD$2))</f>
        <v>#NAME?</v>
      </c>
      <c r="AE6" s="67" t="e">
        <f ca="1" xml:space="preserve"> IF(ISNUMBER(SEARCH("na",_xll.SNL.Clients.Office.Excel.Functions.SPG($L6, $AD$4, AE$2))), 0,_xll.SNL.Clients.Office.Excel.Functions.SPG($L6, $AD$4, AE$2))</f>
        <v>#NAME?</v>
      </c>
      <c r="AF6" s="67" t="e">
        <f ca="1" xml:space="preserve"> IF(ISNUMBER(SEARCH("na",_xll.SNL.Clients.Office.Excel.Functions.SPG($L6, $AD$4, AF$2))), 0,_xll.SNL.Clients.Office.Excel.Functions.SPG($L6, $AD$4, AF$2))</f>
        <v>#NAME?</v>
      </c>
      <c r="AG6" s="68" t="str">
        <f t="shared" ref="AG6:AI7" ca="1" si="0">IFERROR($H6/AD6*1000,"NA")</f>
        <v>NA</v>
      </c>
      <c r="AH6" s="69" t="str">
        <f t="shared" ca="1" si="0"/>
        <v>NA</v>
      </c>
      <c r="AI6" s="70" t="str">
        <f t="shared" ca="1" si="0"/>
        <v>NA</v>
      </c>
      <c r="AJ6" s="67">
        <f ca="1">IFERROR(_xll.SNL.Clients.Office.Excel.Functions.SPG($L6, $AJ$3, AJ$2,$AJ$4)/1000,0)</f>
        <v>0</v>
      </c>
      <c r="AK6" s="67">
        <f ca="1">IFERROR(_xll.SNL.Clients.Office.Excel.Functions.SPG($L6, $AK$3, AK$2,$AJ$4)/1000,0)</f>
        <v>0</v>
      </c>
      <c r="AL6" s="67">
        <f ca="1">IFERROR(_xll.SNL.Clients.Office.Excel.Functions.SPG($L6, $AL$3, AL$2,$AJ$4)/1000,0)</f>
        <v>0</v>
      </c>
      <c r="AM6" s="71" t="e">
        <f t="shared" ref="AM6:AO7" ca="1" si="1">$H6*1000/AJ6</f>
        <v>#NAME?</v>
      </c>
      <c r="AN6" s="72" t="e">
        <f t="shared" ca="1" si="1"/>
        <v>#NAME?</v>
      </c>
      <c r="AO6" s="73" t="e">
        <f t="shared" ca="1" si="1"/>
        <v>#NAME?</v>
      </c>
      <c r="AP6" s="72" t="e">
        <f ca="1">_xll.SNL.Clients.Office.Excel.Functions.SPG($L6, $AP$3, AP$2, "Coal", "Options:Curr=USD")</f>
        <v>#NAME?</v>
      </c>
      <c r="AQ6" s="72" t="e">
        <f ca="1">_xll.SNL.Clients.Office.Excel.Functions.SPG($L6, $AP$3, AQ$2, "Coal", "Options:Curr=USD")</f>
        <v>#NAME?</v>
      </c>
      <c r="AR6" s="72" t="e">
        <f ca="1">_xll.SNL.Clients.Office.Excel.Functions.SPG($L6, $AP$3, AR$2, "Coal", "Options:Curr=USD")</f>
        <v>#NAME?</v>
      </c>
      <c r="AS6" s="74" t="str">
        <f ca="1">IFERROR(AVERAGE(_xll.SNL.Clients.Office.Excel.Functions.SPG($L6,$AS$4,"Coal",AS$2,"Options:Curr=USD"),_xll.SNL.Clients.Office.Excel.Functions.SPG($L6,$AS$3,"Coal",AS$2, "Options:Curr=USD")),"NA")</f>
        <v>NA</v>
      </c>
      <c r="AT6" s="72" t="str">
        <f ca="1">IFERROR(AVERAGE(_xll.SNL.Clients.Office.Excel.Functions.SPG($L6,$AS$4,"Coal",AT$2,"Options:Curr=USD"),_xll.SNL.Clients.Office.Excel.Functions.SPG($L6,$AS$3,"Coal",AT$2, "Options:Curr=USD")),"NA")</f>
        <v>NA</v>
      </c>
      <c r="AU6" s="75" t="str">
        <f ca="1">IFERROR(AVERAGE(_xll.SNL.Clients.Office.Excel.Functions.SPG($L6,$AS$4,"Coal",AU$2,"Options:Curr=USD"),_xll.SNL.Clients.Office.Excel.Functions.SPG($L6,$AS$3,"Coal",AU$2, "Options:Curr=USD")),"NA")</f>
        <v>NA</v>
      </c>
      <c r="AW6" s="76" t="s">
        <v>76</v>
      </c>
      <c r="AX6" s="76"/>
      <c r="AY6" s="77" t="s">
        <v>77</v>
      </c>
      <c r="AZ6" s="39"/>
    </row>
    <row r="7" spans="1:52" ht="14.4" x14ac:dyDescent="0.25">
      <c r="A7" s="51" t="e">
        <f ca="1">_xll.SNL.Clients.Office.Excel.Functions.SPG($L7, A$3)</f>
        <v>#NAME?</v>
      </c>
      <c r="B7" s="51" t="e">
        <f ca="1">_xll.BDP($K7,B$3)</f>
        <v>#NAME?</v>
      </c>
      <c r="C7" s="51" t="e">
        <f ca="1">_xll.BDP($K7,C$3)</f>
        <v>#NAME?</v>
      </c>
      <c r="D7" s="51" t="e">
        <f ca="1">_xll.BDP($K7,D$3)</f>
        <v>#NAME?</v>
      </c>
      <c r="E7" s="52" t="s">
        <v>78</v>
      </c>
      <c r="F7" s="52" t="s">
        <v>79</v>
      </c>
      <c r="G7" s="52" t="s">
        <v>72</v>
      </c>
      <c r="H7" s="53" t="e">
        <f ca="1">_xll.SNL.Clients.Office.Excel.Functions.SPG($L7, "IQ_TEV", "Options: Curr=USD")</f>
        <v>#NAME?</v>
      </c>
      <c r="I7" s="53" t="e">
        <f ca="1">_xll.SNL.Clients.Office.Excel.Functions.SPG($L7, "SP_MARKETCAP", "Options: Curr=USD")</f>
        <v>#NAME?</v>
      </c>
      <c r="J7" s="54" t="s">
        <v>80</v>
      </c>
      <c r="K7" s="55" t="s">
        <v>81</v>
      </c>
      <c r="L7" s="55" t="s">
        <v>82</v>
      </c>
      <c r="M7" s="56" t="e" cm="1">
        <f t="array" aca="1" ref="M7" ca="1">_xll.SNL.Clients.Office.Excel.Functions.SPG($L7, $M$3)/100</f>
        <v>#NAME?</v>
      </c>
      <c r="N7" s="57" t="e" cm="1">
        <f t="array" aca="1" ref="N7" ca="1">_xll.SNL.Clients.Office.Excel.Functions.SPG($L7, "SP_PCFPS_FWD",N$2)</f>
        <v>#NAME?</v>
      </c>
      <c r="O7" s="58" t="e" cm="1">
        <f t="array" aca="1" ref="O7" ca="1">_xll.SNL.Clients.Office.Excel.Functions.SPG($L7, "SP_PCFPS_FWD",O$2)</f>
        <v>#NAME?</v>
      </c>
      <c r="P7" s="59" t="e" cm="1">
        <f t="array" aca="1" ref="P7" ca="1">_xll.SNL.Clients.Office.Excel.Functions.SPG($L7, "SP_PCFPS_FWD",P$2)</f>
        <v>#NAME?</v>
      </c>
      <c r="Q7" s="60" t="str">
        <f ca="1">IFERROR(_xll.SNL.Clients.Office.Excel.Functions.SPG($L7, "SP_FCF_EST",Q$2, "Options: Curr=USD")/1000/I7,"NA")</f>
        <v>NA</v>
      </c>
      <c r="R7" s="60" t="str">
        <f ca="1">IFERROR(_xll.SNL.Clients.Office.Excel.Functions.SPG($L7, "SP_FCF_EST",R$2, "Options: Curr=USD")/1000/I7,"NA")</f>
        <v>NA</v>
      </c>
      <c r="S7" s="57" t="e" cm="1">
        <f t="array" aca="1" ref="S7" ca="1">_xll.SNL.Clients.Office.Excel.Functions.SPG($L7, "SP_PE_FWD",S$2)</f>
        <v>#NAME?</v>
      </c>
      <c r="T7" s="58" t="e" cm="1">
        <f t="array" aca="1" ref="T7" ca="1">_xll.SNL.Clients.Office.Excel.Functions.SPG($L7, "SP_PE_FWD",T$2)</f>
        <v>#NAME?</v>
      </c>
      <c r="U7" s="59" t="e" cm="1">
        <f t="array" aca="1" ref="U7" ca="1">_xll.SNL.Clients.Office.Excel.Functions.SPG($L7, "SP_PE_FWD",U$2)</f>
        <v>#NAME?</v>
      </c>
      <c r="V7" s="78" t="e" cm="1">
        <f t="array" aca="1" ref="V7" ca="1">IF((_xll.SNL.Clients.Office.Excel.Functions.SPG($L7,$V$3,V$4,"Options: Curr=USD") / _xll.SNL.Clients.Office.Excel.Functions.SPG($L7,"SP_EBITDA_EST",V$2,"Options: Curr=USD")) &lt; 0, "NM", (_xll.SNL.Clients.Office.Excel.Functions.SPG($L7,$V$3,V$4,"Options: Curr=USD") / _xll.SNL.Clients.Office.Excel.Functions.SPG($L7,"SP_EBITDA_EST",V$2,"Options: Curr=USD")))</f>
        <v>#NAME?</v>
      </c>
      <c r="W7" s="79" t="e" cm="1">
        <f t="array" aca="1" ref="W7" ca="1">_xll.SNL.Clients.Office.Excel.Functions.SPG($L7, $W$3,W$4)</f>
        <v>#NAME?</v>
      </c>
      <c r="X7" s="58" t="e" cm="1">
        <f t="array" aca="1" ref="X7" ca="1">_xll.SNL.Clients.Office.Excel.Functions.SPG($L7, $X$3,X$2)</f>
        <v>#NAME?</v>
      </c>
      <c r="Y7" s="58" t="e" cm="1">
        <f t="array" aca="1" ref="Y7" ca="1">_xll.SNL.Clients.Office.Excel.Functions.SPG($L7, $X$3,Y$2)</f>
        <v>#NAME?</v>
      </c>
      <c r="Z7" s="80" t="e" cm="1">
        <f t="array" aca="1" ref="Z7" ca="1">_xll.SNL.Clients.Office.Excel.Functions.SPG($L7, $X$3,Z$2)</f>
        <v>#NAME?</v>
      </c>
      <c r="AA7" s="67" t="str">
        <f ca="1">IFERROR(0.001*AVERAGE(_xll.SNL.Clients.Office.Excel.Functions.SPG($L7,$AA$4,"Coal",AA$2),_xll.SNL.Clients.Office.Excel.Functions.SPG($L7,$AA$3,"Coal",AA$2)),"NA")</f>
        <v>NA</v>
      </c>
      <c r="AB7" s="67" t="str">
        <f ca="1">IFERROR(0.001*AVERAGE(_xll.SNL.Clients.Office.Excel.Functions.SPG($L7,$AA$4,"Coal",AB$2),_xll.SNL.Clients.Office.Excel.Functions.SPG($L7,$AA$3,"Coal",AB$2)),"NA")</f>
        <v>NA</v>
      </c>
      <c r="AC7" s="81" t="str">
        <f ca="1">IFERROR(0.001*AVERAGE(_xll.SNL.Clients.Office.Excel.Functions.SPG($L7,$AA$4,"Coal",AC$2),_xll.SNL.Clients.Office.Excel.Functions.SPG($L7,$AA$3,"Coal",AC$2)),"NA")</f>
        <v>NA</v>
      </c>
      <c r="AD7" s="67" t="e">
        <f ca="1" xml:space="preserve"> IF(ISNUMBER(SEARCH("na",_xll.SNL.Clients.Office.Excel.Functions.SPG($L7, $AD$4, AD$2))), 0,_xll.SNL.Clients.Office.Excel.Functions.SPG($L7, $AD$4, AD$2))</f>
        <v>#NAME?</v>
      </c>
      <c r="AE7" s="67" t="e">
        <f ca="1" xml:space="preserve"> IF(ISNUMBER(SEARCH("na",_xll.SNL.Clients.Office.Excel.Functions.SPG($L7, $AD$4, AE$2))), 0,_xll.SNL.Clients.Office.Excel.Functions.SPG($L7, $AD$4, AE$2))</f>
        <v>#NAME?</v>
      </c>
      <c r="AF7" s="67" t="e">
        <f ca="1" xml:space="preserve"> IF(ISNUMBER(SEARCH("na",_xll.SNL.Clients.Office.Excel.Functions.SPG($L7, $AD$4, AF$2))), 0,_xll.SNL.Clients.Office.Excel.Functions.SPG($L7, $AD$4, AF$2))</f>
        <v>#NAME?</v>
      </c>
      <c r="AG7" s="82" t="str">
        <f t="shared" ca="1" si="0"/>
        <v>NA</v>
      </c>
      <c r="AH7" s="83" t="str">
        <f t="shared" ca="1" si="0"/>
        <v>NA</v>
      </c>
      <c r="AI7" s="84" t="str">
        <f t="shared" ca="1" si="0"/>
        <v>NA</v>
      </c>
      <c r="AJ7" s="67">
        <f ca="1">IFERROR(_xll.SNL.Clients.Office.Excel.Functions.SPG($L7, $AJ$3, AJ$2,$AJ$4)/1000,0)</f>
        <v>0</v>
      </c>
      <c r="AK7" s="67">
        <f ca="1">IFERROR(_xll.SNL.Clients.Office.Excel.Functions.SPG($L7, $AK$3, AK$2,$AJ$4)/1000,0)</f>
        <v>0</v>
      </c>
      <c r="AL7" s="67">
        <f ca="1">IFERROR(_xll.SNL.Clients.Office.Excel.Functions.SPG($L7, $AL$3, AL$2,$AJ$4)/1000,0)</f>
        <v>0</v>
      </c>
      <c r="AM7" s="74" t="e">
        <f t="shared" ca="1" si="1"/>
        <v>#NAME?</v>
      </c>
      <c r="AN7" s="72" t="e">
        <f t="shared" ca="1" si="1"/>
        <v>#NAME?</v>
      </c>
      <c r="AO7" s="75" t="e">
        <f t="shared" ca="1" si="1"/>
        <v>#NAME?</v>
      </c>
      <c r="AP7" s="72" t="e">
        <f ca="1">_xll.SNL.Clients.Office.Excel.Functions.SPG($L7, $AP$3, AP$2, "Coal", "Options:Curr=USD")</f>
        <v>#NAME?</v>
      </c>
      <c r="AQ7" s="72" t="e">
        <f ca="1">_xll.SNL.Clients.Office.Excel.Functions.SPG($L7, $AP$3, AQ$2, "Coal", "Options:Curr=USD")</f>
        <v>#NAME?</v>
      </c>
      <c r="AR7" s="72" t="e">
        <f ca="1">_xll.SNL.Clients.Office.Excel.Functions.SPG($L7, $AP$3, AR$2, "Coal", "Options:Curr=USD")</f>
        <v>#NAME?</v>
      </c>
      <c r="AS7" s="74" t="str">
        <f ca="1">IFERROR(AVERAGE(_xll.SNL.Clients.Office.Excel.Functions.SPG($L7,$AS$4,"Coal",AS$2,"Options:Curr=USD"),_xll.SNL.Clients.Office.Excel.Functions.SPG($L7,$AS$3,"Coal",AS$2, "Options:Curr=USD")),"NA")</f>
        <v>NA</v>
      </c>
      <c r="AT7" s="72" t="str">
        <f ca="1">IFERROR(AVERAGE(_xll.SNL.Clients.Office.Excel.Functions.SPG($L7,$AS$4,"Coal",AT$2,"Options:Curr=USD"),_xll.SNL.Clients.Office.Excel.Functions.SPG($L7,$AS$3,"Coal",AT$2, "Options:Curr=USD")),"NA")</f>
        <v>NA</v>
      </c>
      <c r="AU7" s="75" t="str">
        <f ca="1">IFERROR(AVERAGE(_xll.SNL.Clients.Office.Excel.Functions.SPG($L7,$AS$4,"Coal",AU$2,"Options:Curr=USD"),_xll.SNL.Clients.Office.Excel.Functions.SPG($L7,$AS$3,"Coal",AU$2, "Options:Curr=USD")),"NA")</f>
        <v>NA</v>
      </c>
      <c r="AW7" s="76" t="s">
        <v>76</v>
      </c>
      <c r="AX7" s="76"/>
      <c r="AY7" s="77" t="s">
        <v>83</v>
      </c>
      <c r="AZ7" s="39"/>
    </row>
    <row r="8" spans="1:52" x14ac:dyDescent="0.3">
      <c r="E8" s="85"/>
      <c r="F8" s="85"/>
      <c r="G8" s="85"/>
      <c r="J8" s="86"/>
      <c r="K8" s="86"/>
      <c r="L8" s="86" t="s">
        <v>84</v>
      </c>
      <c r="M8" s="87" t="e">
        <f t="shared" ref="M8:U8" ca="1" si="2">AVERAGE(M5:M7)</f>
        <v>#NAME?</v>
      </c>
      <c r="N8" s="88" t="e">
        <f t="shared" ca="1" si="2"/>
        <v>#NAME?</v>
      </c>
      <c r="O8" s="89" t="e">
        <f t="shared" ca="1" si="2"/>
        <v>#NAME?</v>
      </c>
      <c r="P8" s="90" t="e">
        <f t="shared" ca="1" si="2"/>
        <v>#NAME?</v>
      </c>
      <c r="Q8" s="91" t="e">
        <f t="shared" ca="1" si="2"/>
        <v>#DIV/0!</v>
      </c>
      <c r="R8" s="91" t="e">
        <f t="shared" ca="1" si="2"/>
        <v>#DIV/0!</v>
      </c>
      <c r="S8" s="88" t="e">
        <f t="shared" ca="1" si="2"/>
        <v>#NAME?</v>
      </c>
      <c r="T8" s="89" t="e">
        <f t="shared" ca="1" si="2"/>
        <v>#NAME?</v>
      </c>
      <c r="U8" s="90" t="e">
        <f t="shared" ca="1" si="2"/>
        <v>#NAME?</v>
      </c>
      <c r="V8" s="89"/>
      <c r="W8" s="89"/>
      <c r="X8" s="92" t="e" cm="1">
        <f t="array" aca="1" ref="X8" ca="1">AVERAGE(IFERROR(X6:X7, ""))</f>
        <v>#DIV/0!</v>
      </c>
      <c r="Y8" s="92" t="e" cm="1">
        <f t="array" aca="1" ref="Y8" ca="1">AVERAGE(IFERROR(Y6:Y7, ""))</f>
        <v>#DIV/0!</v>
      </c>
      <c r="Z8" s="92" t="e" cm="1">
        <f t="array" aca="1" ref="Z8" ca="1">AVERAGE(IFERROR(Z6:Z7, ""))</f>
        <v>#DIV/0!</v>
      </c>
      <c r="AA8" s="93" t="e">
        <f t="shared" ref="AA8:AI8" ca="1" si="3">AVERAGE(AA5:AA7)</f>
        <v>#DIV/0!</v>
      </c>
      <c r="AB8" s="93" t="e">
        <f t="shared" ca="1" si="3"/>
        <v>#DIV/0!</v>
      </c>
      <c r="AC8" s="94" t="e">
        <f t="shared" ca="1" si="3"/>
        <v>#DIV/0!</v>
      </c>
      <c r="AD8" s="93" t="e">
        <f t="shared" ca="1" si="3"/>
        <v>#NAME?</v>
      </c>
      <c r="AE8" s="93" t="e">
        <f t="shared" ca="1" si="3"/>
        <v>#NAME?</v>
      </c>
      <c r="AF8" s="93" t="e">
        <f t="shared" ca="1" si="3"/>
        <v>#NAME?</v>
      </c>
      <c r="AG8" s="95" t="e">
        <f t="shared" ca="1" si="3"/>
        <v>#DIV/0!</v>
      </c>
      <c r="AH8" s="93" t="e">
        <f t="shared" ca="1" si="3"/>
        <v>#DIV/0!</v>
      </c>
      <c r="AI8" s="96" t="e">
        <f t="shared" ca="1" si="3"/>
        <v>#DIV/0!</v>
      </c>
      <c r="AJ8" s="97"/>
      <c r="AK8" s="97"/>
      <c r="AL8" s="97"/>
      <c r="AM8" s="92" t="e" cm="1">
        <f t="array" aca="1" ref="AM8" ca="1">AVERAGE(IFERROR(AM6:AM7, ""))</f>
        <v>#DIV/0!</v>
      </c>
      <c r="AN8" s="92" t="e" cm="1">
        <f t="array" aca="1" ref="AN8" ca="1">AVERAGE(IFERROR(AN6:AN7, ""))</f>
        <v>#DIV/0!</v>
      </c>
      <c r="AO8" s="92" t="e" cm="1">
        <f t="array" aca="1" ref="AO8" ca="1">AVERAGE(IFERROR(AO6:AO7, ""))</f>
        <v>#DIV/0!</v>
      </c>
      <c r="AP8" s="92" t="e">
        <f t="shared" ref="AP8:AU8" ca="1" si="4">AVERAGE(AP5:AP7)</f>
        <v>#NAME?</v>
      </c>
      <c r="AQ8" s="92" t="e">
        <f t="shared" ca="1" si="4"/>
        <v>#NAME?</v>
      </c>
      <c r="AR8" s="92" t="e">
        <f t="shared" ca="1" si="4"/>
        <v>#NAME?</v>
      </c>
      <c r="AS8" s="98" t="e">
        <f t="shared" ca="1" si="4"/>
        <v>#DIV/0!</v>
      </c>
      <c r="AT8" s="92" t="e">
        <f t="shared" ca="1" si="4"/>
        <v>#DIV/0!</v>
      </c>
      <c r="AU8" s="99" t="e">
        <f t="shared" ca="1" si="4"/>
        <v>#DIV/0!</v>
      </c>
      <c r="AW8" s="76"/>
      <c r="AX8" s="76"/>
      <c r="AY8" s="39"/>
      <c r="AZ8" s="39"/>
    </row>
    <row r="9" spans="1:52" ht="16.8" x14ac:dyDescent="0.3">
      <c r="E9" s="85"/>
      <c r="F9" s="85"/>
      <c r="G9" s="85"/>
      <c r="J9" s="45" t="s">
        <v>85</v>
      </c>
      <c r="K9" s="46"/>
      <c r="L9" s="46"/>
      <c r="M9" s="100"/>
      <c r="N9" s="49"/>
      <c r="O9" s="49"/>
      <c r="P9" s="50"/>
      <c r="Q9" s="49"/>
      <c r="R9" s="49"/>
      <c r="S9" s="48"/>
      <c r="T9" s="49"/>
      <c r="U9" s="50"/>
      <c r="V9" s="49"/>
      <c r="W9" s="49"/>
      <c r="X9" s="49"/>
      <c r="Y9" s="49"/>
      <c r="Z9" s="50"/>
      <c r="AA9" s="49"/>
      <c r="AB9" s="49"/>
      <c r="AC9" s="50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50"/>
      <c r="AP9" s="49"/>
      <c r="AQ9" s="49"/>
      <c r="AR9" s="101"/>
      <c r="AS9" s="49"/>
      <c r="AT9" s="49"/>
      <c r="AU9" s="50"/>
      <c r="AW9" s="76"/>
      <c r="AX9" s="76"/>
      <c r="AY9" s="39"/>
      <c r="AZ9" s="39"/>
    </row>
    <row r="10" spans="1:52" ht="14.4" x14ac:dyDescent="0.25">
      <c r="A10" s="51" t="e">
        <f ca="1">_xll.SNL.Clients.Office.Excel.Functions.SPG($L10, A$3)</f>
        <v>#NAME?</v>
      </c>
      <c r="B10" s="51" t="e">
        <f ca="1">_xll.BDP($K10,B$3)</f>
        <v>#NAME?</v>
      </c>
      <c r="C10" s="51" t="e">
        <f ca="1">_xll.BDP($K10,C$3)</f>
        <v>#NAME?</v>
      </c>
      <c r="D10" s="51" t="e">
        <f ca="1">_xll.BDP($K10,D$3)</f>
        <v>#NAME?</v>
      </c>
      <c r="E10" s="52" t="s">
        <v>70</v>
      </c>
      <c r="F10" s="52" t="s">
        <v>86</v>
      </c>
      <c r="G10" s="52" t="s">
        <v>72</v>
      </c>
      <c r="H10" s="53" t="e">
        <f ca="1">_xll.SNL.Clients.Office.Excel.Functions.SPG($L10, "IQ_TEV", "Options: Curr=USD")</f>
        <v>#NAME?</v>
      </c>
      <c r="I10" s="53" t="e">
        <f ca="1">_xll.SNL.Clients.Office.Excel.Functions.SPG($L10, "SP_MARKETCAP", "Options: Curr=USD")</f>
        <v>#NAME?</v>
      </c>
      <c r="J10" s="54" t="s">
        <v>87</v>
      </c>
      <c r="K10" s="55" t="s">
        <v>88</v>
      </c>
      <c r="L10" s="55" t="s">
        <v>89</v>
      </c>
      <c r="M10" s="56" t="str" cm="1">
        <f t="array" aca="1" ref="M10" ca="1">IFERROR(_xll.SNL.Clients.Office.Excel.Functions.SPG($L10, $M$3)/100,"NA")</f>
        <v>NA</v>
      </c>
      <c r="N10" s="57" t="e" cm="1">
        <f t="array" aca="1" ref="N10" ca="1">_xll.SNL.Clients.Office.Excel.Functions.SPG($L10, "SP_PCFPS_FWD",N$2)</f>
        <v>#NAME?</v>
      </c>
      <c r="O10" s="58" t="e" cm="1">
        <f t="array" aca="1" ref="O10" ca="1">_xll.SNL.Clients.Office.Excel.Functions.SPG($L10, "SP_PCFPS_FWD",O$2)</f>
        <v>#NAME?</v>
      </c>
      <c r="P10" s="59" t="e" cm="1">
        <f t="array" aca="1" ref="P10" ca="1">_xll.SNL.Clients.Office.Excel.Functions.SPG($L10, "SP_PCFPS_FWD",P$2)</f>
        <v>#NAME?</v>
      </c>
      <c r="Q10" s="60" t="str">
        <f ca="1">IFERROR(_xll.SNL.Clients.Office.Excel.Functions.SPG($L10, "SP_FCF_EST",Q$2, "Options: Curr=USD")/1000/I10,"NA")</f>
        <v>NA</v>
      </c>
      <c r="R10" s="60" t="str">
        <f ca="1">IFERROR(_xll.SNL.Clients.Office.Excel.Functions.SPG($L10, "SP_FCF_EST",R$2, "Options: Curr=USD")/1000/I10,"NA")</f>
        <v>NA</v>
      </c>
      <c r="S10" s="57" t="e" cm="1">
        <f t="array" aca="1" ref="S10" ca="1">_xll.SNL.Clients.Office.Excel.Functions.SPG($L10, "SP_PE_FWD",S$2)</f>
        <v>#NAME?</v>
      </c>
      <c r="T10" s="58" t="e" cm="1">
        <f t="array" aca="1" ref="T10" ca="1">_xll.SNL.Clients.Office.Excel.Functions.SPG($L10, "SP_PE_FWD",T$2)</f>
        <v>#NAME?</v>
      </c>
      <c r="U10" s="59" t="e" cm="1">
        <f t="array" aca="1" ref="U10" ca="1">_xll.SNL.Clients.Office.Excel.Functions.SPG($L10, "SP_PE_FWD",U$2)</f>
        <v>#NAME?</v>
      </c>
      <c r="V10" s="61" t="e" cm="1">
        <f t="array" aca="1" ref="V10" ca="1">IF((_xll.SNL.Clients.Office.Excel.Functions.SPG($L10,$V$3,V$4,"Options: Curr=USD") / _xll.SNL.Clients.Office.Excel.Functions.SPG($L10,"SP_EBITDA_EST",V$2,"Options: Curr=USD")) &lt; 0, "NM", (_xll.SNL.Clients.Office.Excel.Functions.SPG($L10,$V$3,V$4,"Options: Curr=USD") / _xll.SNL.Clients.Office.Excel.Functions.SPG($L10,"SP_EBITDA_EST",V$2,"Options: Curr=USD")))</f>
        <v>#NAME?</v>
      </c>
      <c r="W10" s="62" t="e" cm="1">
        <f t="array" aca="1" ref="W10" ca="1">_xll.SNL.Clients.Office.Excel.Functions.SPG($L10, $W$3,W$4)</f>
        <v>#NAME?</v>
      </c>
      <c r="X10" s="58" t="e" cm="1">
        <f t="array" aca="1" ref="X10" ca="1">_xll.SNL.Clients.Office.Excel.Functions.SPG($L10, $X$3,X$2)</f>
        <v>#NAME?</v>
      </c>
      <c r="Y10" s="58" t="e" cm="1">
        <f t="array" aca="1" ref="Y10" ca="1">_xll.SNL.Clients.Office.Excel.Functions.SPG($L10, $X$3,Y$2)</f>
        <v>#NAME?</v>
      </c>
      <c r="Z10" s="59" t="e" cm="1">
        <f t="array" aca="1" ref="Z10" ca="1">_xll.SNL.Clients.Office.Excel.Functions.SPG($L10, $X$3,Z$2)</f>
        <v>#NAME?</v>
      </c>
      <c r="AA10" s="65" t="str">
        <f ca="1">IFERROR(0.001*AVERAGE(_xll.SNL.Clients.Office.Excel.Functions.SPG($L10,$AA$4,"Coal",AA$2),_xll.SNL.Clients.Office.Excel.Functions.SPG($L10,$AA$3,"Coal",AA$2)),"NA")</f>
        <v>NA</v>
      </c>
      <c r="AB10" s="67" t="str">
        <f ca="1">IFERROR(0.001*AVERAGE(_xll.SNL.Clients.Office.Excel.Functions.SPG($L10,$AA$4,"Coal",AB$2),_xll.SNL.Clients.Office.Excel.Functions.SPG($L10,$AA$3,"Coal",AB$2)),"NA")</f>
        <v>NA</v>
      </c>
      <c r="AC10" s="66" t="str">
        <f ca="1">IFERROR(0.001*AVERAGE(_xll.SNL.Clients.Office.Excel.Functions.SPG($L10,$AA$4,"Coal",AC$2),_xll.SNL.Clients.Office.Excel.Functions.SPG($L10,$AA$3,"Coal",AC$2)),"NA")</f>
        <v>NA</v>
      </c>
      <c r="AD10" s="67" t="e">
        <f ca="1" xml:space="preserve"> IF(ISNUMBER(SEARCH("na",_xll.SNL.Clients.Office.Excel.Functions.SPG($L10, $AD$4, AD$2))), 0,_xll.SNL.Clients.Office.Excel.Functions.SPG($L10, $AD$4, AD$2))</f>
        <v>#NAME?</v>
      </c>
      <c r="AE10" s="67" t="e">
        <f ca="1" xml:space="preserve"> IF(ISNUMBER(SEARCH("na",_xll.SNL.Clients.Office.Excel.Functions.SPG($L10, $AD$4, AE$2))), 0,_xll.SNL.Clients.Office.Excel.Functions.SPG($L10, $AD$4, AE$2))</f>
        <v>#NAME?</v>
      </c>
      <c r="AF10" s="67" t="e">
        <f ca="1" xml:space="preserve"> IF(ISNUMBER(SEARCH("na",_xll.SNL.Clients.Office.Excel.Functions.SPG($L10, $AD$4, AF$2))), 0,_xll.SNL.Clients.Office.Excel.Functions.SPG($L10, $AD$4, AF$2))</f>
        <v>#NAME?</v>
      </c>
      <c r="AG10" s="68" t="str">
        <f t="shared" ref="AG10:AI16" ca="1" si="5">IFERROR($H10/AD10*1000,"NA")</f>
        <v>NA</v>
      </c>
      <c r="AH10" s="69" t="str">
        <f t="shared" ca="1" si="5"/>
        <v>NA</v>
      </c>
      <c r="AI10" s="84" t="str">
        <f t="shared" ca="1" si="5"/>
        <v>NA</v>
      </c>
      <c r="AJ10" s="67">
        <f ca="1">IFERROR(_xll.SNL.Clients.Office.Excel.Functions.SPG($L10, $AJ$3, AJ$2,$AJ$4)/1000,0)</f>
        <v>0</v>
      </c>
      <c r="AK10" s="67">
        <f ca="1">IFERROR(_xll.SNL.Clients.Office.Excel.Functions.SPG($L10, $AK$3, AK$2,$AJ$4)/1000,0)</f>
        <v>0</v>
      </c>
      <c r="AL10" s="67">
        <f ca="1">IFERROR(_xll.SNL.Clients.Office.Excel.Functions.SPG($L10, $AL$3, AL$2,$AJ$4)/1000,0)</f>
        <v>0</v>
      </c>
      <c r="AM10" s="71" t="e">
        <f t="shared" ref="AM10:AO16" ca="1" si="6">$H10*1000/AJ10</f>
        <v>#NAME?</v>
      </c>
      <c r="AN10" s="102" t="e">
        <f t="shared" ca="1" si="6"/>
        <v>#NAME?</v>
      </c>
      <c r="AO10" s="73" t="e">
        <f t="shared" ca="1" si="6"/>
        <v>#NAME?</v>
      </c>
      <c r="AP10" s="72" t="e">
        <f ca="1">_xll.SNL.Clients.Office.Excel.Functions.SPG($L10, $AP$3, AP$2, "Coal", "Options:Curr=USD")</f>
        <v>#NAME?</v>
      </c>
      <c r="AQ10" s="72" t="e">
        <f ca="1">_xll.SNL.Clients.Office.Excel.Functions.SPG($L10, $AP$3, AQ$2, "Coal", "Options:Curr=USD")</f>
        <v>#NAME?</v>
      </c>
      <c r="AR10" s="72" t="e">
        <f ca="1">_xll.SNL.Clients.Office.Excel.Functions.SPG($L10, $AP$3, AR$2, "Coal", "Options:Curr=USD")</f>
        <v>#NAME?</v>
      </c>
      <c r="AS10" s="74" t="str">
        <f ca="1">IFERROR(AVERAGE(_xll.SNL.Clients.Office.Excel.Functions.SPG($L10,$AS$4,"Coal",AS$2,"Options:Curr=USD"),_xll.SNL.Clients.Office.Excel.Functions.SPG($L10,$AS$3,"Coal",AS$2, "Options:Curr=USD")),"NA")</f>
        <v>NA</v>
      </c>
      <c r="AT10" s="72" t="str">
        <f ca="1">IFERROR(AVERAGE(_xll.SNL.Clients.Office.Excel.Functions.SPG($L10,$AS$4,"Coal",AT$2,"Options:Curr=USD"),_xll.SNL.Clients.Office.Excel.Functions.SPG($L10,$AS$3,"Coal",AT$2, "Options:Curr=USD")),"NA")</f>
        <v>NA</v>
      </c>
      <c r="AU10" s="75" t="str">
        <f ca="1">IFERROR(AVERAGE(_xll.SNL.Clients.Office.Excel.Functions.SPG($L10,$AS$4,"Coal",AU$2,"Options:Curr=USD"),_xll.SNL.Clients.Office.Excel.Functions.SPG($L10,$AS$3,"Coal",AU$2, "Options:Curr=USD")),"NA")</f>
        <v>NA</v>
      </c>
      <c r="AW10" s="76" t="s">
        <v>76</v>
      </c>
      <c r="AX10" s="76"/>
      <c r="AY10" s="77" t="s">
        <v>83</v>
      </c>
      <c r="AZ10" s="39"/>
    </row>
    <row r="11" spans="1:52" ht="14.4" x14ac:dyDescent="0.25">
      <c r="A11" s="51" t="e">
        <f ca="1">_xll.SNL.Clients.Office.Excel.Functions.SPG($L11, A$3)</f>
        <v>#NAME?</v>
      </c>
      <c r="B11" s="51" t="e">
        <f ca="1">_xll.BDP($K11,B$3)</f>
        <v>#NAME?</v>
      </c>
      <c r="C11" s="51" t="e">
        <f ca="1">_xll.BDP($K11,C$3)</f>
        <v>#NAME?</v>
      </c>
      <c r="D11" s="51" t="e">
        <f ca="1">_xll.BDP($K11,D$3)</f>
        <v>#NAME?</v>
      </c>
      <c r="E11" s="52" t="s">
        <v>70</v>
      </c>
      <c r="F11" s="52" t="s">
        <v>90</v>
      </c>
      <c r="G11" s="52" t="s">
        <v>72</v>
      </c>
      <c r="H11" s="53" t="e">
        <f ca="1">_xll.SNL.Clients.Office.Excel.Functions.SPG($L11, "IQ_TEV", "Options: Curr=USD")</f>
        <v>#NAME?</v>
      </c>
      <c r="I11" s="53" t="e">
        <f ca="1">_xll.SNL.Clients.Office.Excel.Functions.SPG($L11, "SP_MARKETCAP", "Options: Curr=USD")</f>
        <v>#NAME?</v>
      </c>
      <c r="J11" s="54" t="s">
        <v>91</v>
      </c>
      <c r="K11" s="55" t="s">
        <v>92</v>
      </c>
      <c r="L11" s="55" t="s">
        <v>93</v>
      </c>
      <c r="M11" s="56" t="str" cm="1">
        <f t="array" aca="1" ref="M11" ca="1">IFERROR(_xll.SNL.Clients.Office.Excel.Functions.SPG($L11, $M$3)/100,"NA")</f>
        <v>NA</v>
      </c>
      <c r="N11" s="57" t="e" cm="1">
        <f t="array" aca="1" ref="N11" ca="1">_xll.SNL.Clients.Office.Excel.Functions.SPG($L11, "SP_PCFPS_FWD",N$2)</f>
        <v>#NAME?</v>
      </c>
      <c r="O11" s="58" t="e" cm="1">
        <f t="array" aca="1" ref="O11" ca="1">_xll.SNL.Clients.Office.Excel.Functions.SPG($L11, "SP_PCFPS_FWD",O$2)</f>
        <v>#NAME?</v>
      </c>
      <c r="P11" s="59" t="e" cm="1">
        <f t="array" aca="1" ref="P11" ca="1">_xll.SNL.Clients.Office.Excel.Functions.SPG($L11, "SP_PCFPS_FWD",P$2)</f>
        <v>#NAME?</v>
      </c>
      <c r="Q11" s="60" t="str">
        <f ca="1">IFERROR(_xll.SNL.Clients.Office.Excel.Functions.SPG($L11, "SP_FCF_EST",Q$2, "Options: Curr=USD")/1000/I11,"NA")</f>
        <v>NA</v>
      </c>
      <c r="R11" s="60" t="str">
        <f ca="1">IFERROR(_xll.SNL.Clients.Office.Excel.Functions.SPG($L11, "SP_FCF_EST",R$2, "Options: Curr=USD")/1000/I11,"NA")</f>
        <v>NA</v>
      </c>
      <c r="S11" s="57" t="e" cm="1">
        <f t="array" aca="1" ref="S11" ca="1">_xll.SNL.Clients.Office.Excel.Functions.SPG($L11, "SP_PE_FWD",S$2)</f>
        <v>#NAME?</v>
      </c>
      <c r="T11" s="58" t="e" cm="1">
        <f t="array" aca="1" ref="T11" ca="1">_xll.SNL.Clients.Office.Excel.Functions.SPG($L11, "SP_PE_FWD",T$2)</f>
        <v>#NAME?</v>
      </c>
      <c r="U11" s="59" t="e" cm="1">
        <f t="array" aca="1" ref="U11" ca="1">_xll.SNL.Clients.Office.Excel.Functions.SPG($L11, "SP_PE_FWD",U$2)</f>
        <v>#NAME?</v>
      </c>
      <c r="V11" s="103" t="e" cm="1">
        <f t="array" aca="1" ref="V11" ca="1">IF((_xll.SNL.Clients.Office.Excel.Functions.SPG($L11,$V$3,V$4,"Options: Curr=USD") / _xll.SNL.Clients.Office.Excel.Functions.SPG($L11,"SP_EBITDA_EST",V$2,"Options: Curr=USD")) &lt; 0, "NM", (_xll.SNL.Clients.Office.Excel.Functions.SPG($L11,$V$3,V$4,"Options: Curr=USD") / _xll.SNL.Clients.Office.Excel.Functions.SPG($L11,"SP_EBITDA_EST",V$2,"Options: Curr=USD")))</f>
        <v>#NAME?</v>
      </c>
      <c r="W11" s="104" t="e" cm="1">
        <f t="array" aca="1" ref="W11" ca="1">_xll.SNL.Clients.Office.Excel.Functions.SPG($L11, $W$3,W$4)</f>
        <v>#NAME?</v>
      </c>
      <c r="X11" s="58" t="e" cm="1">
        <f t="array" aca="1" ref="X11" ca="1">_xll.SNL.Clients.Office.Excel.Functions.SPG($L11, $X$3,X$2)</f>
        <v>#NAME?</v>
      </c>
      <c r="Y11" s="58" t="e" cm="1">
        <f t="array" aca="1" ref="Y11" ca="1">_xll.SNL.Clients.Office.Excel.Functions.SPG($L11, $X$3,Y$2)</f>
        <v>#NAME?</v>
      </c>
      <c r="Z11" s="59" t="e" cm="1">
        <f t="array" aca="1" ref="Z11" ca="1">_xll.SNL.Clients.Office.Excel.Functions.SPG($L11, $X$3,Z$2)</f>
        <v>#NAME?</v>
      </c>
      <c r="AA11" s="67" t="str">
        <f ca="1">IFERROR(0.001*AVERAGE(_xll.SNL.Clients.Office.Excel.Functions.SPG($L11,$AA$4,"Coal",AA$2),_xll.SNL.Clients.Office.Excel.Functions.SPG($L11,$AA$3,"Coal",AA$2)),"NA")</f>
        <v>NA</v>
      </c>
      <c r="AB11" s="67" t="str">
        <f ca="1">IFERROR(0.001*AVERAGE(_xll.SNL.Clients.Office.Excel.Functions.SPG($L11,$AA$4,"Coal",AB$2),_xll.SNL.Clients.Office.Excel.Functions.SPG($L11,$AA$3,"Coal",AB$2)),"NA")</f>
        <v>NA</v>
      </c>
      <c r="AC11" s="81" t="str">
        <f ca="1">IFERROR(0.001*AVERAGE(_xll.SNL.Clients.Office.Excel.Functions.SPG($L11,$AA$4,"Coal",AC$2),_xll.SNL.Clients.Office.Excel.Functions.SPG($L11,$AA$3,"Coal",AC$2)),"NA")</f>
        <v>NA</v>
      </c>
      <c r="AD11" s="67" t="e">
        <f ca="1" xml:space="preserve"> IF(ISNUMBER(SEARCH("na",_xll.SNL.Clients.Office.Excel.Functions.SPG($L11, $AD$4, AD$2))), 0,_xll.SNL.Clients.Office.Excel.Functions.SPG($L11, $AD$4, AD$2))</f>
        <v>#NAME?</v>
      </c>
      <c r="AE11" s="67" t="e">
        <f ca="1" xml:space="preserve"> IF(ISNUMBER(SEARCH("na",_xll.SNL.Clients.Office.Excel.Functions.SPG($L11, $AD$4, AE$2))), 0,_xll.SNL.Clients.Office.Excel.Functions.SPG($L11, $AD$4, AE$2))</f>
        <v>#NAME?</v>
      </c>
      <c r="AF11" s="67" t="e">
        <f ca="1" xml:space="preserve"> IF(ISNUMBER(SEARCH("na",_xll.SNL.Clients.Office.Excel.Functions.SPG($L11, $AD$4, AF$2))), 0,_xll.SNL.Clients.Office.Excel.Functions.SPG($L11, $AD$4, AF$2))</f>
        <v>#NAME?</v>
      </c>
      <c r="AG11" s="82" t="str">
        <f t="shared" ca="1" si="5"/>
        <v>NA</v>
      </c>
      <c r="AH11" s="83" t="str">
        <f t="shared" ca="1" si="5"/>
        <v>NA</v>
      </c>
      <c r="AI11" s="84" t="str">
        <f t="shared" ca="1" si="5"/>
        <v>NA</v>
      </c>
      <c r="AJ11" s="67">
        <f ca="1">IFERROR(_xll.SNL.Clients.Office.Excel.Functions.SPG($L11, $AJ$3, AJ$2,$AJ$4)/1000,0)</f>
        <v>0</v>
      </c>
      <c r="AK11" s="67">
        <f ca="1">IFERROR(_xll.SNL.Clients.Office.Excel.Functions.SPG($L11, $AK$3, AK$2,$AJ$4)/1000,0)</f>
        <v>0</v>
      </c>
      <c r="AL11" s="67">
        <f ca="1">IFERROR(_xll.SNL.Clients.Office.Excel.Functions.SPG($L11, $AL$3, AL$2,$AJ$4)/1000,0)</f>
        <v>0</v>
      </c>
      <c r="AM11" s="74" t="e">
        <f t="shared" ca="1" si="6"/>
        <v>#NAME?</v>
      </c>
      <c r="AN11" s="72" t="e">
        <f t="shared" ca="1" si="6"/>
        <v>#NAME?</v>
      </c>
      <c r="AO11" s="75" t="e">
        <f t="shared" ca="1" si="6"/>
        <v>#NAME?</v>
      </c>
      <c r="AP11" s="72" t="e">
        <f ca="1">_xll.SNL.Clients.Office.Excel.Functions.SPG($L11, $AP$3, AP$2, "Coal", "Options:Curr=USD")</f>
        <v>#NAME?</v>
      </c>
      <c r="AQ11" s="72" t="e">
        <f ca="1">_xll.SNL.Clients.Office.Excel.Functions.SPG($L11, $AP$3, AQ$2, "Coal", "Options:Curr=USD")</f>
        <v>#NAME?</v>
      </c>
      <c r="AR11" s="72" t="e">
        <f ca="1">_xll.SNL.Clients.Office.Excel.Functions.SPG($L11, $AP$3, AR$2, "Coal", "Options:Curr=USD")</f>
        <v>#NAME?</v>
      </c>
      <c r="AS11" s="74" t="str">
        <f ca="1">IFERROR(AVERAGE(_xll.SNL.Clients.Office.Excel.Functions.SPG($L11,$AS$4,"Coal",AS$2,"Options:Curr=USD"),_xll.SNL.Clients.Office.Excel.Functions.SPG($L11,$AS$3,"Coal",AS$2, "Options:Curr=USD")),"NA")</f>
        <v>NA</v>
      </c>
      <c r="AT11" s="72" t="str">
        <f ca="1">IFERROR(AVERAGE(_xll.SNL.Clients.Office.Excel.Functions.SPG($L11,$AS$4,"Coal",AT$2,"Options:Curr=USD"),_xll.SNL.Clients.Office.Excel.Functions.SPG($L11,$AS$3,"Coal",AT$2, "Options:Curr=USD")),"NA")</f>
        <v>NA</v>
      </c>
      <c r="AU11" s="75" t="str">
        <f ca="1">IFERROR(AVERAGE(_xll.SNL.Clients.Office.Excel.Functions.SPG($L11,$AS$4,"Coal",AU$2,"Options:Curr=USD"),_xll.SNL.Clients.Office.Excel.Functions.SPG($L11,$AS$3,"Coal",AU$2, "Options:Curr=USD")),"NA")</f>
        <v>NA</v>
      </c>
      <c r="AW11" s="76" t="s">
        <v>76</v>
      </c>
      <c r="AX11" s="76"/>
      <c r="AY11" s="77" t="s">
        <v>83</v>
      </c>
      <c r="AZ11" s="39"/>
    </row>
    <row r="12" spans="1:52" ht="14.4" x14ac:dyDescent="0.25">
      <c r="A12" s="51" t="e">
        <f ca="1">_xll.SNL.Clients.Office.Excel.Functions.SPG($L12, A$3)</f>
        <v>#NAME?</v>
      </c>
      <c r="B12" s="51" t="e">
        <f ca="1">_xll.BDP($K12,B$3)</f>
        <v>#NAME?</v>
      </c>
      <c r="C12" s="51" t="e">
        <f ca="1">_xll.BDP($K12,C$3)</f>
        <v>#NAME?</v>
      </c>
      <c r="D12" s="51" t="e">
        <f ca="1">_xll.BDP($K12,D$3)</f>
        <v>#NAME?</v>
      </c>
      <c r="E12" s="52" t="s">
        <v>70</v>
      </c>
      <c r="F12" s="52" t="s">
        <v>86</v>
      </c>
      <c r="G12" s="52" t="s">
        <v>72</v>
      </c>
      <c r="H12" s="53" t="e">
        <f ca="1">_xll.SNL.Clients.Office.Excel.Functions.SPG($L12, "IQ_TEV", "Options: Curr=USD")</f>
        <v>#NAME?</v>
      </c>
      <c r="I12" s="53" t="e">
        <f ca="1">_xll.SNL.Clients.Office.Excel.Functions.SPG($L12, "SP_MARKETCAP", "Options: Curr=USD")</f>
        <v>#NAME?</v>
      </c>
      <c r="J12" s="54" t="s">
        <v>94</v>
      </c>
      <c r="K12" s="55" t="s">
        <v>95</v>
      </c>
      <c r="L12" s="3" t="s">
        <v>96</v>
      </c>
      <c r="M12" s="56" t="str" cm="1">
        <f t="array" aca="1" ref="M12" ca="1">IFERROR(_xll.SNL.Clients.Office.Excel.Functions.SPG($L12, $M$3)/100,"NA")</f>
        <v>NA</v>
      </c>
      <c r="N12" s="57" t="e" cm="1">
        <f t="array" aca="1" ref="N12" ca="1">_xll.SNL.Clients.Office.Excel.Functions.SPG($L12, "SP_PCFPS_FWD",N$2)</f>
        <v>#NAME?</v>
      </c>
      <c r="O12" s="58" t="e" cm="1">
        <f t="array" aca="1" ref="O12" ca="1">_xll.SNL.Clients.Office.Excel.Functions.SPG($L12, "SP_PCFPS_FWD",O$2)</f>
        <v>#NAME?</v>
      </c>
      <c r="P12" s="59" t="e" cm="1">
        <f t="array" aca="1" ref="P12" ca="1">_xll.SNL.Clients.Office.Excel.Functions.SPG($L12, "SP_PCFPS_FWD",P$2)</f>
        <v>#NAME?</v>
      </c>
      <c r="Q12" s="60" t="str">
        <f ca="1">IFERROR(_xll.SNL.Clients.Office.Excel.Functions.SPG($L12, "SP_FCF_EST",Q$2, "Options: Curr=USD")/1000/I12,"NA")</f>
        <v>NA</v>
      </c>
      <c r="R12" s="60" t="str">
        <f ca="1">IFERROR(_xll.SNL.Clients.Office.Excel.Functions.SPG($L12, "SP_FCF_EST",R$2, "Options: Curr=USD")/1000/I12,"NA")</f>
        <v>NA</v>
      </c>
      <c r="S12" s="57" t="e" cm="1">
        <f t="array" aca="1" ref="S12" ca="1">_xll.SNL.Clients.Office.Excel.Functions.SPG($L12, "SP_PE_FWD",S$2)</f>
        <v>#NAME?</v>
      </c>
      <c r="T12" s="58" t="e" cm="1">
        <f t="array" aca="1" ref="T12" ca="1">_xll.SNL.Clients.Office.Excel.Functions.SPG($L12, "SP_PE_FWD",T$2)</f>
        <v>#NAME?</v>
      </c>
      <c r="U12" s="59" t="e" cm="1">
        <f t="array" aca="1" ref="U12" ca="1">_xll.SNL.Clients.Office.Excel.Functions.SPG($L12, "SP_PE_FWD",U$2)</f>
        <v>#NAME?</v>
      </c>
      <c r="V12" s="103" t="e" cm="1">
        <f t="array" aca="1" ref="V12" ca="1">IF((_xll.SNL.Clients.Office.Excel.Functions.SPG($L12,$V$3,V$4,"Options: Curr=USD") / _xll.SNL.Clients.Office.Excel.Functions.SPG($L12,"SP_EBITDA_EST",V$2,"Options: Curr=USD")) &lt; 0, "NM", (_xll.SNL.Clients.Office.Excel.Functions.SPG($L12,$V$3,V$4,"Options: Curr=USD") / _xll.SNL.Clients.Office.Excel.Functions.SPG($L12,"SP_EBITDA_EST",V$2,"Options: Curr=USD")))</f>
        <v>#NAME?</v>
      </c>
      <c r="W12" s="104" t="e" cm="1">
        <f t="array" aca="1" ref="W12" ca="1">_xll.SNL.Clients.Office.Excel.Functions.SPG($L12, $W$3,W$4)</f>
        <v>#NAME?</v>
      </c>
      <c r="X12" s="58" t="e" cm="1">
        <f t="array" aca="1" ref="X12" ca="1">_xll.SNL.Clients.Office.Excel.Functions.SPG($L12, $X$3,X$2)</f>
        <v>#NAME?</v>
      </c>
      <c r="Y12" s="58" t="e" cm="1">
        <f t="array" aca="1" ref="Y12" ca="1">_xll.SNL.Clients.Office.Excel.Functions.SPG($L12, $X$3,Y$2)</f>
        <v>#NAME?</v>
      </c>
      <c r="Z12" s="59" t="e" cm="1">
        <f t="array" aca="1" ref="Z12" ca="1">_xll.SNL.Clients.Office.Excel.Functions.SPG($L12, $X$3,Z$2)</f>
        <v>#NAME?</v>
      </c>
      <c r="AA12" s="67" t="str">
        <f ca="1">IFERROR(0.001*AVERAGE(_xll.SNL.Clients.Office.Excel.Functions.SPG($L12,$AA$4,"Coal",AA$2),_xll.SNL.Clients.Office.Excel.Functions.SPG($L12,$AA$3,"Coal",AA$2)),"NA")</f>
        <v>NA</v>
      </c>
      <c r="AB12" s="67" t="str">
        <f ca="1">IFERROR(0.001*AVERAGE(_xll.SNL.Clients.Office.Excel.Functions.SPG($L12,$AA$4,"Coal",AB$2),_xll.SNL.Clients.Office.Excel.Functions.SPG($L12,$AA$3,"Coal",AB$2)),"NA")</f>
        <v>NA</v>
      </c>
      <c r="AC12" s="81" t="str">
        <f ca="1">IFERROR(0.001*AVERAGE(_xll.SNL.Clients.Office.Excel.Functions.SPG($L12,$AA$4,"Coal",AC$2),_xll.SNL.Clients.Office.Excel.Functions.SPG($L12,$AA$3,"Coal",AC$2)),"NA")</f>
        <v>NA</v>
      </c>
      <c r="AD12" s="67" t="e">
        <f ca="1" xml:space="preserve"> IF(ISNUMBER(SEARCH("na",_xll.SNL.Clients.Office.Excel.Functions.SPG($L12, $AD$4, AD$2))), 0,_xll.SNL.Clients.Office.Excel.Functions.SPG($L12, $AD$4, AD$2))</f>
        <v>#NAME?</v>
      </c>
      <c r="AE12" s="67" t="e">
        <f ca="1" xml:space="preserve"> IF(ISNUMBER(SEARCH("na",_xll.SNL.Clients.Office.Excel.Functions.SPG($L12, $AD$4, AE$2))), 0,_xll.SNL.Clients.Office.Excel.Functions.SPG($L12, $AD$4, AE$2))</f>
        <v>#NAME?</v>
      </c>
      <c r="AF12" s="67" t="e">
        <f ca="1" xml:space="preserve"> IF(ISNUMBER(SEARCH("na",_xll.SNL.Clients.Office.Excel.Functions.SPG($L12, $AD$4, AF$2))), 0,_xll.SNL.Clients.Office.Excel.Functions.SPG($L12, $AD$4, AF$2))</f>
        <v>#NAME?</v>
      </c>
      <c r="AG12" s="82" t="str">
        <f t="shared" ca="1" si="5"/>
        <v>NA</v>
      </c>
      <c r="AH12" s="83" t="str">
        <f t="shared" ca="1" si="5"/>
        <v>NA</v>
      </c>
      <c r="AI12" s="84" t="str">
        <f t="shared" ca="1" si="5"/>
        <v>NA</v>
      </c>
      <c r="AJ12" s="67">
        <f ca="1">IFERROR(_xll.SNL.Clients.Office.Excel.Functions.SPG($L12, $AJ$3, AJ$2,$AJ$4)/1000,0)</f>
        <v>0</v>
      </c>
      <c r="AK12" s="67">
        <f ca="1">IFERROR(_xll.SNL.Clients.Office.Excel.Functions.SPG($L12, $AK$3, AK$2,$AJ$4)/1000,0)</f>
        <v>0</v>
      </c>
      <c r="AL12" s="67">
        <f ca="1">IFERROR(_xll.SNL.Clients.Office.Excel.Functions.SPG($L12, $AL$3, AL$2,$AJ$4)/1000,0)</f>
        <v>0</v>
      </c>
      <c r="AM12" s="74" t="e">
        <f t="shared" ca="1" si="6"/>
        <v>#NAME?</v>
      </c>
      <c r="AN12" s="72" t="e">
        <f t="shared" ca="1" si="6"/>
        <v>#NAME?</v>
      </c>
      <c r="AO12" s="75" t="e">
        <f t="shared" ca="1" si="6"/>
        <v>#NAME?</v>
      </c>
      <c r="AP12" s="72" t="e">
        <f ca="1">_xll.SNL.Clients.Office.Excel.Functions.SPG($L12, $AP$3, AP$2, "Coal", "Options:Curr=USD")</f>
        <v>#NAME?</v>
      </c>
      <c r="AQ12" s="72" t="e">
        <f ca="1">_xll.SNL.Clients.Office.Excel.Functions.SPG($L12, $AP$3, AQ$2, "Coal", "Options:Curr=USD")</f>
        <v>#NAME?</v>
      </c>
      <c r="AR12" s="72" t="e">
        <f ca="1">_xll.SNL.Clients.Office.Excel.Functions.SPG($L12, $AP$3, AR$2, "Coal", "Options:Curr=USD")</f>
        <v>#NAME?</v>
      </c>
      <c r="AS12" s="74" t="str">
        <f ca="1">IFERROR(AVERAGE(_xll.SNL.Clients.Office.Excel.Functions.SPG($L12,$AS$4,"Coal",AS$2,"Options:Curr=USD"),_xll.SNL.Clients.Office.Excel.Functions.SPG($L12,$AS$3,"Coal",AS$2, "Options:Curr=USD")),"NA")</f>
        <v>NA</v>
      </c>
      <c r="AT12" s="72" t="str">
        <f ca="1">IFERROR(AVERAGE(_xll.SNL.Clients.Office.Excel.Functions.SPG($L12,$AS$4,"Coal",AT$2,"Options:Curr=USD"),_xll.SNL.Clients.Office.Excel.Functions.SPG($L12,$AS$3,"Coal",AT$2, "Options:Curr=USD")),"NA")</f>
        <v>NA</v>
      </c>
      <c r="AU12" s="75" t="str">
        <f ca="1">IFERROR(AVERAGE(_xll.SNL.Clients.Office.Excel.Functions.SPG($L12,$AS$4,"Coal",AU$2,"Options:Curr=USD"),_xll.SNL.Clients.Office.Excel.Functions.SPG($L12,$AS$3,"Coal",AU$2, "Options:Curr=USD")),"NA")</f>
        <v>NA</v>
      </c>
      <c r="AW12" s="76" t="s">
        <v>76</v>
      </c>
      <c r="AX12" s="76"/>
      <c r="AY12" s="77" t="s">
        <v>83</v>
      </c>
      <c r="AZ12" s="39"/>
    </row>
    <row r="13" spans="1:52" ht="14.4" x14ac:dyDescent="0.25">
      <c r="A13" s="51" t="e">
        <f ca="1">_xll.SNL.Clients.Office.Excel.Functions.SPG($L13, A$3)</f>
        <v>#NAME?</v>
      </c>
      <c r="B13" s="51" t="e">
        <f ca="1">_xll.BDP($K13,B$3)</f>
        <v>#NAME?</v>
      </c>
      <c r="C13" s="51" t="e">
        <f ca="1">_xll.BDP($K13,C$3)</f>
        <v>#NAME?</v>
      </c>
      <c r="D13" s="51" t="e">
        <f ca="1">_xll.BDP($K13,D$3)</f>
        <v>#NAME?</v>
      </c>
      <c r="E13" s="52" t="s">
        <v>70</v>
      </c>
      <c r="F13" s="52" t="s">
        <v>97</v>
      </c>
      <c r="G13" s="52" t="s">
        <v>72</v>
      </c>
      <c r="H13" s="53" t="e">
        <f ca="1">_xll.SNL.Clients.Office.Excel.Functions.SPG($L13, "IQ_TEV", "Options: Curr=USD")</f>
        <v>#NAME?</v>
      </c>
      <c r="I13" s="53" t="e">
        <f ca="1">_xll.SNL.Clients.Office.Excel.Functions.SPG($L13, "SP_MARKETCAP", "Options: Curr=USD")</f>
        <v>#NAME?</v>
      </c>
      <c r="J13" s="54" t="s">
        <v>98</v>
      </c>
      <c r="K13" s="55" t="s">
        <v>99</v>
      </c>
      <c r="L13" s="55" t="s">
        <v>100</v>
      </c>
      <c r="M13" s="56" t="str" cm="1">
        <f t="array" aca="1" ref="M13" ca="1">IFERROR(_xll.SNL.Clients.Office.Excel.Functions.SPG($L13, $M$3)/100,"NA")</f>
        <v>NA</v>
      </c>
      <c r="N13" s="57" t="e" cm="1">
        <f t="array" aca="1" ref="N13" ca="1">_xll.SNL.Clients.Office.Excel.Functions.SPG($L13, "SP_PCFPS_FWD",N$2)</f>
        <v>#NAME?</v>
      </c>
      <c r="O13" s="58" t="e" cm="1">
        <f t="array" aca="1" ref="O13" ca="1">_xll.SNL.Clients.Office.Excel.Functions.SPG($L13, "SP_PCFPS_FWD",O$2)</f>
        <v>#NAME?</v>
      </c>
      <c r="P13" s="59" t="e" cm="1">
        <f t="array" aca="1" ref="P13" ca="1">_xll.SNL.Clients.Office.Excel.Functions.SPG($L13, "SP_PCFPS_FWD",P$2)</f>
        <v>#NAME?</v>
      </c>
      <c r="Q13" s="60" t="str">
        <f ca="1">IFERROR(_xll.SNL.Clients.Office.Excel.Functions.SPG($L13, "SP_FCF_EST",Q$2, "Options: Curr=USD")/1000/I13,"NA")</f>
        <v>NA</v>
      </c>
      <c r="R13" s="60" t="str">
        <f ca="1">IFERROR(_xll.SNL.Clients.Office.Excel.Functions.SPG($L13, "SP_FCF_EST",R$2, "Options: Curr=USD")/1000/I13,"NA")</f>
        <v>NA</v>
      </c>
      <c r="S13" s="57" t="e" cm="1">
        <f t="array" aca="1" ref="S13" ca="1">_xll.SNL.Clients.Office.Excel.Functions.SPG($L13, "SP_PE_FWD",S$2)</f>
        <v>#NAME?</v>
      </c>
      <c r="T13" s="58" t="e" cm="1">
        <f t="array" aca="1" ref="T13" ca="1">_xll.SNL.Clients.Office.Excel.Functions.SPG($L13, "SP_PE_FWD",T$2)</f>
        <v>#NAME?</v>
      </c>
      <c r="U13" s="59" t="e" cm="1">
        <f t="array" aca="1" ref="U13" ca="1">_xll.SNL.Clients.Office.Excel.Functions.SPG($L13, "SP_PE_FWD",U$2)</f>
        <v>#NAME?</v>
      </c>
      <c r="V13" s="103" t="e" cm="1">
        <f t="array" aca="1" ref="V13" ca="1">IF((_xll.SNL.Clients.Office.Excel.Functions.SPG($L13,$V$3,V$4,"Options: Curr=USD") / _xll.SNL.Clients.Office.Excel.Functions.SPG($L13,"SP_EBITDA_EST",V$2,"Options: Curr=USD")) &lt; 0, "NM", (_xll.SNL.Clients.Office.Excel.Functions.SPG($L13,$V$3,V$4,"Options: Curr=USD") / _xll.SNL.Clients.Office.Excel.Functions.SPG($L13,"SP_EBITDA_EST",V$2,"Options: Curr=USD")))</f>
        <v>#NAME?</v>
      </c>
      <c r="W13" s="104" t="e" cm="1">
        <f t="array" aca="1" ref="W13" ca="1">_xll.SNL.Clients.Office.Excel.Functions.SPG($L13, $W$3,W$4)</f>
        <v>#NAME?</v>
      </c>
      <c r="X13" s="58" t="e" cm="1">
        <f t="array" aca="1" ref="X13" ca="1">_xll.SNL.Clients.Office.Excel.Functions.SPG($L13, $X$3,X$2)</f>
        <v>#NAME?</v>
      </c>
      <c r="Y13" s="58" t="e" cm="1">
        <f t="array" aca="1" ref="Y13" ca="1">_xll.SNL.Clients.Office.Excel.Functions.SPG($L13, $X$3,Y$2)</f>
        <v>#NAME?</v>
      </c>
      <c r="Z13" s="59" t="e" cm="1">
        <f t="array" aca="1" ref="Z13" ca="1">_xll.SNL.Clients.Office.Excel.Functions.SPG($L13, $X$3,Z$2)</f>
        <v>#NAME?</v>
      </c>
      <c r="AA13" s="67" t="str">
        <f ca="1">IFERROR(0.001*AVERAGE(_xll.SNL.Clients.Office.Excel.Functions.SPG($L13,$AA$4,"Coal",AA$2),_xll.SNL.Clients.Office.Excel.Functions.SPG($L13,$AA$3,"Coal",AA$2)),"NA")</f>
        <v>NA</v>
      </c>
      <c r="AB13" s="67" t="str">
        <f ca="1">IFERROR(0.001*AVERAGE(_xll.SNL.Clients.Office.Excel.Functions.SPG($L13,$AA$4,"Coal",AB$2),_xll.SNL.Clients.Office.Excel.Functions.SPG($L13,$AA$3,"Coal",AB$2)),"NA")</f>
        <v>NA</v>
      </c>
      <c r="AC13" s="81" t="str">
        <f ca="1">IFERROR(0.001*AVERAGE(_xll.SNL.Clients.Office.Excel.Functions.SPG($L13,$AA$4,"Coal",AC$2),_xll.SNL.Clients.Office.Excel.Functions.SPG($L13,$AA$3,"Coal",AC$2)),"NA")</f>
        <v>NA</v>
      </c>
      <c r="AD13" s="67" t="e">
        <f ca="1" xml:space="preserve"> IF(ISNUMBER(SEARCH("na",_xll.SNL.Clients.Office.Excel.Functions.SPG($L13, $AD$4, AD$2))), 0,_xll.SNL.Clients.Office.Excel.Functions.SPG($L13, $AD$4, AD$2))</f>
        <v>#NAME?</v>
      </c>
      <c r="AE13" s="67" t="e">
        <f ca="1" xml:space="preserve"> IF(ISNUMBER(SEARCH("na",_xll.SNL.Clients.Office.Excel.Functions.SPG($L13, $AD$4, AE$2))), 0,_xll.SNL.Clients.Office.Excel.Functions.SPG($L13, $AD$4, AE$2))</f>
        <v>#NAME?</v>
      </c>
      <c r="AF13" s="67" t="e">
        <f ca="1" xml:space="preserve"> IF(ISNUMBER(SEARCH("na",_xll.SNL.Clients.Office.Excel.Functions.SPG($L13, $AD$4, AF$2))), 0,_xll.SNL.Clients.Office.Excel.Functions.SPG($L13, $AD$4, AF$2))</f>
        <v>#NAME?</v>
      </c>
      <c r="AG13" s="82" t="str">
        <f t="shared" ca="1" si="5"/>
        <v>NA</v>
      </c>
      <c r="AH13" s="83" t="str">
        <f t="shared" ca="1" si="5"/>
        <v>NA</v>
      </c>
      <c r="AI13" s="84" t="str">
        <f t="shared" ca="1" si="5"/>
        <v>NA</v>
      </c>
      <c r="AJ13" s="67">
        <f ca="1">IFERROR(_xll.SNL.Clients.Office.Excel.Functions.SPG($L13, $AJ$3, AJ$2,$AJ$4)/1000,0)</f>
        <v>0</v>
      </c>
      <c r="AK13" s="67">
        <f ca="1">IFERROR(_xll.SNL.Clients.Office.Excel.Functions.SPG($L13, $AK$3, AK$2,$AJ$4)/1000,0)</f>
        <v>0</v>
      </c>
      <c r="AL13" s="67">
        <f ca="1">IFERROR(_xll.SNL.Clients.Office.Excel.Functions.SPG($L13, $AL$3, AL$2,$AJ$4)/1000,0)</f>
        <v>0</v>
      </c>
      <c r="AM13" s="74" t="e">
        <f t="shared" ca="1" si="6"/>
        <v>#NAME?</v>
      </c>
      <c r="AN13" s="72" t="e">
        <f t="shared" ca="1" si="6"/>
        <v>#NAME?</v>
      </c>
      <c r="AO13" s="75" t="e">
        <f t="shared" ca="1" si="6"/>
        <v>#NAME?</v>
      </c>
      <c r="AP13" s="72" t="e">
        <f ca="1">_xll.SNL.Clients.Office.Excel.Functions.SPG($L13, $AP$3, AP$2, "Coal", "Options:Curr=USD")</f>
        <v>#NAME?</v>
      </c>
      <c r="AQ13" s="72" t="e">
        <f ca="1">_xll.SNL.Clients.Office.Excel.Functions.SPG($L13, $AP$3, AQ$2, "Coal", "Options:Curr=USD")</f>
        <v>#NAME?</v>
      </c>
      <c r="AR13" s="72" t="e">
        <f ca="1">_xll.SNL.Clients.Office.Excel.Functions.SPG($L13, $AP$3, AR$2, "Coal", "Options:Curr=USD")</f>
        <v>#NAME?</v>
      </c>
      <c r="AS13" s="74" t="str">
        <f ca="1">IFERROR(AVERAGE(_xll.SNL.Clients.Office.Excel.Functions.SPG($L13,$AS$4,"Coal",AS$2,"Options:Curr=USD"),_xll.SNL.Clients.Office.Excel.Functions.SPG($L13,$AS$3,"Coal",AS$2, "Options:Curr=USD")),"NA")</f>
        <v>NA</v>
      </c>
      <c r="AT13" s="72" t="str">
        <f ca="1">IFERROR(AVERAGE(_xll.SNL.Clients.Office.Excel.Functions.SPG($L13,$AS$4,"Coal",AT$2,"Options:Curr=USD"),_xll.SNL.Clients.Office.Excel.Functions.SPG($L13,$AS$3,"Coal",AT$2, "Options:Curr=USD")),"NA")</f>
        <v>NA</v>
      </c>
      <c r="AU13" s="75" t="str">
        <f ca="1">IFERROR(AVERAGE(_xll.SNL.Clients.Office.Excel.Functions.SPG($L13,$AS$4,"Coal",AU$2,"Options:Curr=USD"),_xll.SNL.Clients.Office.Excel.Functions.SPG($L13,$AS$3,"Coal",AU$2, "Options:Curr=USD")),"NA")</f>
        <v>NA</v>
      </c>
      <c r="AW13" s="76" t="s">
        <v>76</v>
      </c>
      <c r="AX13" s="76"/>
      <c r="AY13" s="77" t="s">
        <v>83</v>
      </c>
      <c r="AZ13" s="39"/>
    </row>
    <row r="14" spans="1:52" ht="14.4" x14ac:dyDescent="0.25">
      <c r="A14" s="51" t="e">
        <f ca="1">_xll.SNL.Clients.Office.Excel.Functions.SPG($L14, A$3)</f>
        <v>#NAME?</v>
      </c>
      <c r="B14" s="51" t="e">
        <f ca="1">_xll.BDP($K14,B$3)</f>
        <v>#NAME?</v>
      </c>
      <c r="C14" s="51" t="e">
        <f ca="1">_xll.BDP($K14,C$3)</f>
        <v>#NAME?</v>
      </c>
      <c r="D14" s="51" t="e">
        <f ca="1">_xll.BDP($K14,D$3)</f>
        <v>#NAME?</v>
      </c>
      <c r="E14" s="52" t="s">
        <v>70</v>
      </c>
      <c r="F14" s="52" t="s">
        <v>97</v>
      </c>
      <c r="G14" s="52" t="s">
        <v>72</v>
      </c>
      <c r="H14" s="53" t="e">
        <f ca="1">_xll.SNL.Clients.Office.Excel.Functions.SPG($L14, "IQ_TEV", "Options: Curr=USD")</f>
        <v>#NAME?</v>
      </c>
      <c r="I14" s="53" t="e">
        <f ca="1">_xll.SNL.Clients.Office.Excel.Functions.SPG($L14, "SP_MARKETCAP", "Options: Curr=USD")</f>
        <v>#NAME?</v>
      </c>
      <c r="J14" s="54" t="s">
        <v>101</v>
      </c>
      <c r="K14" s="55" t="s">
        <v>102</v>
      </c>
      <c r="L14" s="3" t="s">
        <v>103</v>
      </c>
      <c r="M14" s="56" t="str" cm="1">
        <f t="array" aca="1" ref="M14" ca="1">IFERROR(_xll.SNL.Clients.Office.Excel.Functions.SPG($L14, $M$3)/100,"NA")</f>
        <v>NA</v>
      </c>
      <c r="N14" s="57" t="e" cm="1">
        <f t="array" aca="1" ref="N14" ca="1">_xll.SNL.Clients.Office.Excel.Functions.SPG($L14, "SP_PCFPS_FWD",N$2)</f>
        <v>#NAME?</v>
      </c>
      <c r="O14" s="58" t="e" cm="1">
        <f t="array" aca="1" ref="O14" ca="1">_xll.SNL.Clients.Office.Excel.Functions.SPG($L14, "SP_PCFPS_FWD",O$2)</f>
        <v>#NAME?</v>
      </c>
      <c r="P14" s="59" t="e" cm="1">
        <f t="array" aca="1" ref="P14" ca="1">_xll.SNL.Clients.Office.Excel.Functions.SPG($L14, "SP_PCFPS_FWD",P$2)</f>
        <v>#NAME?</v>
      </c>
      <c r="Q14" s="60" t="str">
        <f ca="1">IFERROR(_xll.SNL.Clients.Office.Excel.Functions.SPG($L14, "SP_FCF_EST",Q$2, "Options: Curr=USD")/1000/I14,"NA")</f>
        <v>NA</v>
      </c>
      <c r="R14" s="60" t="str">
        <f ca="1">IFERROR(_xll.SNL.Clients.Office.Excel.Functions.SPG($L14, "SP_FCF_EST",R$2, "Options: Curr=USD")/1000/I14,"NA")</f>
        <v>NA</v>
      </c>
      <c r="S14" s="57" t="e" cm="1">
        <f t="array" aca="1" ref="S14" ca="1">_xll.SNL.Clients.Office.Excel.Functions.SPG($L14, "SP_PE_FWD",S$2)</f>
        <v>#NAME?</v>
      </c>
      <c r="T14" s="58" t="e" cm="1">
        <f t="array" aca="1" ref="T14" ca="1">_xll.SNL.Clients.Office.Excel.Functions.SPG($L14, "SP_PE_FWD",T$2)</f>
        <v>#NAME?</v>
      </c>
      <c r="U14" s="59" t="e" cm="1">
        <f t="array" aca="1" ref="U14" ca="1">_xll.SNL.Clients.Office.Excel.Functions.SPG($L14, "SP_PE_FWD",U$2)</f>
        <v>#NAME?</v>
      </c>
      <c r="V14" s="103" t="e" cm="1">
        <f t="array" aca="1" ref="V14" ca="1">IF((_xll.SNL.Clients.Office.Excel.Functions.SPG($L14,$V$3,V$4,"Options: Curr=USD") / _xll.SNL.Clients.Office.Excel.Functions.SPG($L14,"SP_EBITDA_EST",V$2,"Options: Curr=USD")) &lt; 0, "NM", (_xll.SNL.Clients.Office.Excel.Functions.SPG($L14,$V$3,V$4,"Options: Curr=USD") / _xll.SNL.Clients.Office.Excel.Functions.SPG($L14,"SP_EBITDA_EST",V$2,"Options: Curr=USD")))</f>
        <v>#NAME?</v>
      </c>
      <c r="W14" s="104" t="e" cm="1">
        <f t="array" aca="1" ref="W14" ca="1">_xll.SNL.Clients.Office.Excel.Functions.SPG($L14, $W$3,W$4)</f>
        <v>#NAME?</v>
      </c>
      <c r="X14" s="58" t="e" cm="1">
        <f t="array" aca="1" ref="X14" ca="1">_xll.SNL.Clients.Office.Excel.Functions.SPG($L14, $X$3,X$2)</f>
        <v>#NAME?</v>
      </c>
      <c r="Y14" s="58" t="e" cm="1">
        <f t="array" aca="1" ref="Y14" ca="1">_xll.SNL.Clients.Office.Excel.Functions.SPG($L14, $X$3,Y$2)</f>
        <v>#NAME?</v>
      </c>
      <c r="Z14" s="59" t="e" cm="1">
        <f t="array" aca="1" ref="Z14" ca="1">_xll.SNL.Clients.Office.Excel.Functions.SPG($L14, $X$3,Z$2)</f>
        <v>#NAME?</v>
      </c>
      <c r="AA14" s="67" t="str">
        <f ca="1">IFERROR(0.001*AVERAGE(_xll.SNL.Clients.Office.Excel.Functions.SPG($L14,$AA$4,"Coal",AA$2),_xll.SNL.Clients.Office.Excel.Functions.SPG($L14,$AA$3,"Coal",AA$2)),"NA")</f>
        <v>NA</v>
      </c>
      <c r="AB14" s="67" t="str">
        <f ca="1">IFERROR(0.001*AVERAGE(_xll.SNL.Clients.Office.Excel.Functions.SPG($L14,$AA$4,"Coal",AB$2),_xll.SNL.Clients.Office.Excel.Functions.SPG($L14,$AA$3,"Coal",AB$2)),"NA")</f>
        <v>NA</v>
      </c>
      <c r="AC14" s="81" t="str">
        <f ca="1">IFERROR(0.001*AVERAGE(_xll.SNL.Clients.Office.Excel.Functions.SPG($L14,$AA$4,"Coal",AC$2),_xll.SNL.Clients.Office.Excel.Functions.SPG($L14,$AA$3,"Coal",AC$2)),"NA")</f>
        <v>NA</v>
      </c>
      <c r="AD14" s="67" t="e">
        <f ca="1" xml:space="preserve"> IF(ISNUMBER(SEARCH("na",_xll.SNL.Clients.Office.Excel.Functions.SPG($L14, $AD$4, AD$2))), 0,_xll.SNL.Clients.Office.Excel.Functions.SPG($L14, $AD$4, AD$2))</f>
        <v>#NAME?</v>
      </c>
      <c r="AE14" s="67" t="e">
        <f ca="1" xml:space="preserve"> IF(ISNUMBER(SEARCH("na",_xll.SNL.Clients.Office.Excel.Functions.SPG($L14, $AD$4, AE$2))), 0,_xll.SNL.Clients.Office.Excel.Functions.SPG($L14, $AD$4, AE$2))</f>
        <v>#NAME?</v>
      </c>
      <c r="AF14" s="67" t="e">
        <f ca="1" xml:space="preserve"> IF(ISNUMBER(SEARCH("na",_xll.SNL.Clients.Office.Excel.Functions.SPG($L14, $AD$4, AF$2))), 0,_xll.SNL.Clients.Office.Excel.Functions.SPG($L14, $AD$4, AF$2))</f>
        <v>#NAME?</v>
      </c>
      <c r="AG14" s="82" t="str">
        <f t="shared" ca="1" si="5"/>
        <v>NA</v>
      </c>
      <c r="AH14" s="83" t="str">
        <f t="shared" ca="1" si="5"/>
        <v>NA</v>
      </c>
      <c r="AI14" s="84" t="str">
        <f t="shared" ca="1" si="5"/>
        <v>NA</v>
      </c>
      <c r="AJ14" s="67">
        <f ca="1">IFERROR(_xll.SNL.Clients.Office.Excel.Functions.SPG($L14, $AJ$3, AJ$2,$AJ$4)/1000,0)</f>
        <v>0</v>
      </c>
      <c r="AK14" s="67">
        <f ca="1">IFERROR(_xll.SNL.Clients.Office.Excel.Functions.SPG($L14, $AK$3, AK$2,$AJ$4)/1000,0)</f>
        <v>0</v>
      </c>
      <c r="AL14" s="67">
        <f ca="1">IFERROR(_xll.SNL.Clients.Office.Excel.Functions.SPG($L14, $AL$3, AL$2,$AJ$4)/1000,0)</f>
        <v>0</v>
      </c>
      <c r="AM14" s="74" t="e">
        <f t="shared" ca="1" si="6"/>
        <v>#NAME?</v>
      </c>
      <c r="AN14" s="72" t="e">
        <f t="shared" ca="1" si="6"/>
        <v>#NAME?</v>
      </c>
      <c r="AO14" s="75" t="e">
        <f t="shared" ca="1" si="6"/>
        <v>#NAME?</v>
      </c>
      <c r="AP14" s="72" t="e">
        <f ca="1">_xll.SNL.Clients.Office.Excel.Functions.SPG($L14, $AP$3, AP$2, "Coal", "Options:Curr=USD")</f>
        <v>#NAME?</v>
      </c>
      <c r="AQ14" s="72" t="e">
        <f ca="1">_xll.SNL.Clients.Office.Excel.Functions.SPG($L14, $AP$3, AQ$2, "Coal", "Options:Curr=USD")</f>
        <v>#NAME?</v>
      </c>
      <c r="AR14" s="72" t="e">
        <f ca="1">_xll.SNL.Clients.Office.Excel.Functions.SPG($L14, $AP$3, AR$2, "Coal", "Options:Curr=USD")</f>
        <v>#NAME?</v>
      </c>
      <c r="AS14" s="74" t="str">
        <f ca="1">IFERROR(AVERAGE(_xll.SNL.Clients.Office.Excel.Functions.SPG($L14,$AS$4,"Coal",AS$2,"Options:Curr=USD"),_xll.SNL.Clients.Office.Excel.Functions.SPG($L14,$AS$3,"Coal",AS$2, "Options:Curr=USD")),"NA")</f>
        <v>NA</v>
      </c>
      <c r="AT14" s="72" t="str">
        <f ca="1">IFERROR(AVERAGE(_xll.SNL.Clients.Office.Excel.Functions.SPG($L14,$AS$4,"Coal",AT$2,"Options:Curr=USD"),_xll.SNL.Clients.Office.Excel.Functions.SPG($L14,$AS$3,"Coal",AT$2, "Options:Curr=USD")),"NA")</f>
        <v>NA</v>
      </c>
      <c r="AU14" s="75" t="str">
        <f ca="1">IFERROR(AVERAGE(_xll.SNL.Clients.Office.Excel.Functions.SPG($L14,$AS$4,"Coal",AU$2,"Options:Curr=USD"),_xll.SNL.Clients.Office.Excel.Functions.SPG($L14,$AS$3,"Coal",AU$2, "Options:Curr=USD")),"NA")</f>
        <v>NA</v>
      </c>
      <c r="AW14" s="76" t="s">
        <v>76</v>
      </c>
      <c r="AX14" s="76"/>
      <c r="AY14" s="77" t="s">
        <v>83</v>
      </c>
      <c r="AZ14" s="39"/>
    </row>
    <row r="15" spans="1:52" ht="14.4" x14ac:dyDescent="0.25">
      <c r="A15" s="51" t="e">
        <f ca="1">_xll.SNL.Clients.Office.Excel.Functions.SPG($L15, A$3)</f>
        <v>#NAME?</v>
      </c>
      <c r="B15" s="51" t="e">
        <f ca="1">_xll.BDP($K15,B$3)</f>
        <v>#NAME?</v>
      </c>
      <c r="C15" s="51" t="e">
        <f ca="1">_xll.BDP($K15,C$3)</f>
        <v>#NAME?</v>
      </c>
      <c r="D15" s="51" t="e">
        <f ca="1">_xll.BDP($K15,D$3)</f>
        <v>#NAME?</v>
      </c>
      <c r="E15" s="52" t="s">
        <v>70</v>
      </c>
      <c r="F15" s="52" t="s">
        <v>104</v>
      </c>
      <c r="G15" s="52" t="s">
        <v>72</v>
      </c>
      <c r="H15" s="53" t="e">
        <f ca="1">_xll.SNL.Clients.Office.Excel.Functions.SPG($L15, "IQ_TEV", "Options: Curr=USD")</f>
        <v>#NAME?</v>
      </c>
      <c r="I15" s="53" t="e">
        <f ca="1">_xll.SNL.Clients.Office.Excel.Functions.SPG($L15, "SP_MARKETCAP", "Options: Curr=USD")</f>
        <v>#NAME?</v>
      </c>
      <c r="J15" s="54" t="s">
        <v>105</v>
      </c>
      <c r="K15" s="55" t="s">
        <v>106</v>
      </c>
      <c r="L15" s="3" t="s">
        <v>107</v>
      </c>
      <c r="M15" s="56" t="str" cm="1">
        <f t="array" aca="1" ref="M15" ca="1">IFERROR(_xll.SNL.Clients.Office.Excel.Functions.SPG($L15, $M$3)/100,"NA")</f>
        <v>NA</v>
      </c>
      <c r="N15" s="57" t="e" cm="1">
        <f t="array" aca="1" ref="N15" ca="1">_xll.SNL.Clients.Office.Excel.Functions.SPG($L15, "SP_PCFPS_FWD",N$2)</f>
        <v>#NAME?</v>
      </c>
      <c r="O15" s="58" t="e" cm="1">
        <f t="array" aca="1" ref="O15" ca="1">_xll.SNL.Clients.Office.Excel.Functions.SPG($L15, "SP_PCFPS_FWD",O$2)</f>
        <v>#NAME?</v>
      </c>
      <c r="P15" s="59" t="e" cm="1">
        <f t="array" aca="1" ref="P15" ca="1">_xll.SNL.Clients.Office.Excel.Functions.SPG($L15, "SP_PCFPS_FWD",P$2)</f>
        <v>#NAME?</v>
      </c>
      <c r="Q15" s="60" t="str">
        <f ca="1">IFERROR(_xll.SNL.Clients.Office.Excel.Functions.SPG($L15, "SP_FCF_EST",Q$2, "Options: Curr=USD")/1000/I15,"NA")</f>
        <v>NA</v>
      </c>
      <c r="R15" s="60" t="str">
        <f ca="1">IFERROR(_xll.SNL.Clients.Office.Excel.Functions.SPG($L15, "SP_FCF_EST",R$2, "Options: Curr=USD")/1000/I15,"NA")</f>
        <v>NA</v>
      </c>
      <c r="S15" s="57" t="e" cm="1">
        <f t="array" aca="1" ref="S15" ca="1">_xll.SNL.Clients.Office.Excel.Functions.SPG($L15, "SP_PE_FWD",S$2)</f>
        <v>#NAME?</v>
      </c>
      <c r="T15" s="58" t="e" cm="1">
        <f t="array" aca="1" ref="T15" ca="1">_xll.SNL.Clients.Office.Excel.Functions.SPG($L15, "SP_PE_FWD",T$2)</f>
        <v>#NAME?</v>
      </c>
      <c r="U15" s="59" t="e" cm="1">
        <f t="array" aca="1" ref="U15" ca="1">_xll.SNL.Clients.Office.Excel.Functions.SPG($L15, "SP_PE_FWD",U$2)</f>
        <v>#NAME?</v>
      </c>
      <c r="V15" s="103" t="e" cm="1">
        <f t="array" aca="1" ref="V15" ca="1">IF((_xll.SNL.Clients.Office.Excel.Functions.SPG($L15,$V$3,V$4,"Options: Curr=USD") / _xll.SNL.Clients.Office.Excel.Functions.SPG($L15,"SP_EBITDA_EST",V$2,"Options: Curr=USD")) &lt; 0, "NM", (_xll.SNL.Clients.Office.Excel.Functions.SPG($L15,$V$3,V$4,"Options: Curr=USD") / _xll.SNL.Clients.Office.Excel.Functions.SPG($L15,"SP_EBITDA_EST",V$2,"Options: Curr=USD")))</f>
        <v>#NAME?</v>
      </c>
      <c r="W15" s="104" t="e" cm="1">
        <f t="array" aca="1" ref="W15" ca="1">_xll.SNL.Clients.Office.Excel.Functions.SPG($L15, $W$3,W$4)</f>
        <v>#NAME?</v>
      </c>
      <c r="X15" s="58" t="e" cm="1">
        <f t="array" aca="1" ref="X15" ca="1">_xll.SNL.Clients.Office.Excel.Functions.SPG($L15, $X$3,X$2)</f>
        <v>#NAME?</v>
      </c>
      <c r="Y15" s="58" t="e" cm="1">
        <f t="array" aca="1" ref="Y15" ca="1">_xll.SNL.Clients.Office.Excel.Functions.SPG($L15, $X$3,Y$2)</f>
        <v>#NAME?</v>
      </c>
      <c r="Z15" s="59" t="e" cm="1">
        <f t="array" aca="1" ref="Z15" ca="1">_xll.SNL.Clients.Office.Excel.Functions.SPG($L15, $X$3,Z$2)</f>
        <v>#NAME?</v>
      </c>
      <c r="AA15" s="67" t="str">
        <f ca="1">IFERROR(0.001*AVERAGE(_xll.SNL.Clients.Office.Excel.Functions.SPG($L15,$AA$4,"Coal",AA$2),_xll.SNL.Clients.Office.Excel.Functions.SPG($L15,$AA$3,"Coal",AA$2)),"NA")</f>
        <v>NA</v>
      </c>
      <c r="AB15" s="67" t="str">
        <f ca="1">IFERROR(0.001*AVERAGE(_xll.SNL.Clients.Office.Excel.Functions.SPG($L15,$AA$4,"Coal",AB$2),_xll.SNL.Clients.Office.Excel.Functions.SPG($L15,$AA$3,"Coal",AB$2)),"NA")</f>
        <v>NA</v>
      </c>
      <c r="AC15" s="81" t="str">
        <f ca="1">IFERROR(0.001*AVERAGE(_xll.SNL.Clients.Office.Excel.Functions.SPG($L15,$AA$4,"Coal",AC$2),_xll.SNL.Clients.Office.Excel.Functions.SPG($L15,$AA$3,"Coal",AC$2)),"NA")</f>
        <v>NA</v>
      </c>
      <c r="AD15" s="67" t="e">
        <f ca="1" xml:space="preserve"> IF(ISNUMBER(SEARCH("na",_xll.SNL.Clients.Office.Excel.Functions.SPG($L15, $AD$4, AD$2))), 0,_xll.SNL.Clients.Office.Excel.Functions.SPG($L15, $AD$4, AD$2))</f>
        <v>#NAME?</v>
      </c>
      <c r="AE15" s="67" t="e">
        <f ca="1" xml:space="preserve"> IF(ISNUMBER(SEARCH("na",_xll.SNL.Clients.Office.Excel.Functions.SPG($L15, $AD$4, AE$2))), 0,_xll.SNL.Clients.Office.Excel.Functions.SPG($L15, $AD$4, AE$2))</f>
        <v>#NAME?</v>
      </c>
      <c r="AF15" s="67" t="e">
        <f ca="1" xml:space="preserve"> IF(ISNUMBER(SEARCH("na",_xll.SNL.Clients.Office.Excel.Functions.SPG($L15, $AD$4, AF$2))), 0,_xll.SNL.Clients.Office.Excel.Functions.SPG($L15, $AD$4, AF$2))</f>
        <v>#NAME?</v>
      </c>
      <c r="AG15" s="82" t="str">
        <f t="shared" ca="1" si="5"/>
        <v>NA</v>
      </c>
      <c r="AH15" s="83" t="str">
        <f t="shared" ca="1" si="5"/>
        <v>NA</v>
      </c>
      <c r="AI15" s="84" t="str">
        <f t="shared" ca="1" si="5"/>
        <v>NA</v>
      </c>
      <c r="AJ15" s="67">
        <f ca="1">IFERROR(_xll.SNL.Clients.Office.Excel.Functions.SPG($L15, $AJ$3, AJ$2,$AJ$4)/1000,0)</f>
        <v>0</v>
      </c>
      <c r="AK15" s="67">
        <f ca="1">IFERROR(_xll.SNL.Clients.Office.Excel.Functions.SPG($L15, $AK$3, AK$2,$AJ$4)/1000,0)</f>
        <v>0</v>
      </c>
      <c r="AL15" s="67">
        <f ca="1">IFERROR(_xll.SNL.Clients.Office.Excel.Functions.SPG($L15, $AL$3, AL$2,$AJ$4)/1000,0)</f>
        <v>0</v>
      </c>
      <c r="AM15" s="74" t="e">
        <f t="shared" ca="1" si="6"/>
        <v>#NAME?</v>
      </c>
      <c r="AN15" s="72" t="e">
        <f t="shared" ca="1" si="6"/>
        <v>#NAME?</v>
      </c>
      <c r="AO15" s="75" t="e">
        <f t="shared" ca="1" si="6"/>
        <v>#NAME?</v>
      </c>
      <c r="AP15" s="72" t="e">
        <f ca="1">_xll.SNL.Clients.Office.Excel.Functions.SPG($L15, $AP$3, AP$2, "Coal", "Options:Curr=USD")</f>
        <v>#NAME?</v>
      </c>
      <c r="AQ15" s="72" t="e">
        <f ca="1">_xll.SNL.Clients.Office.Excel.Functions.SPG($L15, $AP$3, AQ$2, "Coal", "Options:Curr=USD")</f>
        <v>#NAME?</v>
      </c>
      <c r="AR15" s="72" t="e">
        <f ca="1">_xll.SNL.Clients.Office.Excel.Functions.SPG($L15, $AP$3, AR$2, "Coal", "Options:Curr=USD")</f>
        <v>#NAME?</v>
      </c>
      <c r="AS15" s="74" t="str">
        <f ca="1">IFERROR(AVERAGE(_xll.SNL.Clients.Office.Excel.Functions.SPG($L15,$AS$4,"Coal",AS$2,"Options:Curr=USD"),_xll.SNL.Clients.Office.Excel.Functions.SPG($L15,$AS$3,"Coal",AS$2, "Options:Curr=USD")),"NA")</f>
        <v>NA</v>
      </c>
      <c r="AT15" s="72" t="str">
        <f ca="1">IFERROR(AVERAGE(_xll.SNL.Clients.Office.Excel.Functions.SPG($L15,$AS$4,"Coal",AT$2,"Options:Curr=USD"),_xll.SNL.Clients.Office.Excel.Functions.SPG($L15,$AS$3,"Coal",AT$2, "Options:Curr=USD")),"NA")</f>
        <v>NA</v>
      </c>
      <c r="AU15" s="75" t="str">
        <f ca="1">IFERROR(AVERAGE(_xll.SNL.Clients.Office.Excel.Functions.SPG($L15,$AS$4,"Coal",AU$2,"Options:Curr=USD"),_xll.SNL.Clients.Office.Excel.Functions.SPG($L15,$AS$3,"Coal",AU$2, "Options:Curr=USD")),"NA")</f>
        <v>NA</v>
      </c>
      <c r="AW15" s="76" t="s">
        <v>76</v>
      </c>
      <c r="AX15" s="76"/>
      <c r="AY15" s="77" t="s">
        <v>77</v>
      </c>
      <c r="AZ15" s="39"/>
    </row>
    <row r="16" spans="1:52" ht="14.4" hidden="1" outlineLevel="1" x14ac:dyDescent="0.25">
      <c r="A16" s="51" t="e">
        <f ca="1">_xll.SNL.Clients.Office.Excel.Functions.SPG($L16, A$3)</f>
        <v>#NAME?</v>
      </c>
      <c r="B16" s="51" t="e">
        <f ca="1">_xll.BDP($K16,B$3)</f>
        <v>#NAME?</v>
      </c>
      <c r="C16" s="51" t="e">
        <f ca="1">_xll.BDP($K16,C$3)</f>
        <v>#NAME?</v>
      </c>
      <c r="D16" s="51" t="e">
        <f ca="1">_xll.BDP($K16,D$3)</f>
        <v>#NAME?</v>
      </c>
      <c r="E16" s="52" t="s">
        <v>70</v>
      </c>
      <c r="F16" s="52" t="s">
        <v>108</v>
      </c>
      <c r="G16" s="52" t="s">
        <v>72</v>
      </c>
      <c r="H16" s="53" t="e">
        <f ca="1">_xll.SNL.Clients.Office.Excel.Functions.SPG($L16, "IQ_TEV", "Options: Curr=USD")</f>
        <v>#NAME?</v>
      </c>
      <c r="I16" s="53" t="e">
        <f ca="1">_xll.SNL.Clients.Office.Excel.Functions.SPG($L16, "SP_MARKETCAP", "Options: Curr=USD")</f>
        <v>#NAME?</v>
      </c>
      <c r="J16" s="54" t="s">
        <v>109</v>
      </c>
      <c r="K16" s="55" t="s">
        <v>110</v>
      </c>
      <c r="L16" s="55" t="s">
        <v>111</v>
      </c>
      <c r="M16" s="56" t="str" cm="1">
        <f t="array" aca="1" ref="M16" ca="1">IFERROR(_xll.SNL.Clients.Office.Excel.Functions.SPG($L16, $M$3)/100,"NA")</f>
        <v>NA</v>
      </c>
      <c r="N16" s="57" t="e" cm="1">
        <f t="array" aca="1" ref="N16" ca="1">_xll.SNL.Clients.Office.Excel.Functions.SPG($L16, "SP_PCFPS_FWD",N$2)</f>
        <v>#NAME?</v>
      </c>
      <c r="O16" s="58" t="e" cm="1">
        <f t="array" aca="1" ref="O16" ca="1">_xll.SNL.Clients.Office.Excel.Functions.SPG($L16, "SP_PCFPS_FWD",O$2)</f>
        <v>#NAME?</v>
      </c>
      <c r="P16" s="59" t="e" cm="1">
        <f t="array" aca="1" ref="P16" ca="1">_xll.SNL.Clients.Office.Excel.Functions.SPG($L16, "SP_PCFPS_FWD",P$2)</f>
        <v>#NAME?</v>
      </c>
      <c r="Q16" s="60" t="str">
        <f ca="1">IFERROR(_xll.SNL.Clients.Office.Excel.Functions.SPG($L16, "SP_FCF_EST",Q$2, "Options: Curr=USD")/1000/I16,"NA")</f>
        <v>NA</v>
      </c>
      <c r="R16" s="60" t="str">
        <f ca="1">IFERROR(_xll.SNL.Clients.Office.Excel.Functions.SPG($L16, "SP_FCF_EST",R$2, "Options: Curr=USD")/1000/I16,"NA")</f>
        <v>NA</v>
      </c>
      <c r="S16" s="57" t="e" cm="1">
        <f t="array" aca="1" ref="S16" ca="1">_xll.SNL.Clients.Office.Excel.Functions.SPG($L16, "SP_PE_FWD",S$2)</f>
        <v>#NAME?</v>
      </c>
      <c r="T16" s="58" t="e" cm="1">
        <f t="array" aca="1" ref="T16" ca="1">_xll.SNL.Clients.Office.Excel.Functions.SPG($L16, "SP_PE_FWD",T$2)</f>
        <v>#NAME?</v>
      </c>
      <c r="U16" s="59" t="e" cm="1">
        <f t="array" aca="1" ref="U16" ca="1">_xll.SNL.Clients.Office.Excel.Functions.SPG($L16, "SP_PE_FWD",U$2)</f>
        <v>#NAME?</v>
      </c>
      <c r="V16" s="78" t="e" cm="1">
        <f t="array" aca="1" ref="V16" ca="1">IF((_xll.SNL.Clients.Office.Excel.Functions.SPG($L16,$V$3,V$4,"Options: Curr=USD") / _xll.SNL.Clients.Office.Excel.Functions.SPG($L16,"SP_EBITDA_EST",V$2,"Options: Curr=USD")) &lt; 0, "NM", (_xll.SNL.Clients.Office.Excel.Functions.SPG($L16,$V$3,V$4,"Options: Curr=USD") / _xll.SNL.Clients.Office.Excel.Functions.SPG($L16,"SP_EBITDA_EST",V$2,"Options: Curr=USD")))</f>
        <v>#NAME?</v>
      </c>
      <c r="W16" s="79" t="e" cm="1">
        <f t="array" aca="1" ref="W16" ca="1">_xll.SNL.Clients.Office.Excel.Functions.SPG($L16, $W$3,W$4)</f>
        <v>#NAME?</v>
      </c>
      <c r="X16" s="58" t="e" cm="1">
        <f t="array" aca="1" ref="X16" ca="1">_xll.SNL.Clients.Office.Excel.Functions.SPG($L16, $X$3,X$2)</f>
        <v>#NAME?</v>
      </c>
      <c r="Y16" s="58" t="e" cm="1">
        <f t="array" aca="1" ref="Y16" ca="1">_xll.SNL.Clients.Office.Excel.Functions.SPG($L16, $X$3,Y$2)</f>
        <v>#NAME?</v>
      </c>
      <c r="Z16" s="59" t="e" cm="1">
        <f t="array" aca="1" ref="Z16" ca="1">_xll.SNL.Clients.Office.Excel.Functions.SPG($L16, $X$3,Z$2)</f>
        <v>#NAME?</v>
      </c>
      <c r="AA16" s="67" t="str">
        <f ca="1">IFERROR(0.001*AVERAGE(_xll.SNL.Clients.Office.Excel.Functions.SPG($L16,$AA$4,"Coal",AA$2),_xll.SNL.Clients.Office.Excel.Functions.SPG($L16,$AA$3,"Coal",AA$2)),"NA")</f>
        <v>NA</v>
      </c>
      <c r="AB16" s="67" t="str">
        <f ca="1">IFERROR(0.001*AVERAGE(_xll.SNL.Clients.Office.Excel.Functions.SPG($L16,$AA$4,"Coal",AB$2),_xll.SNL.Clients.Office.Excel.Functions.SPG($L16,$AA$3,"Coal",AB$2)),"NA")</f>
        <v>NA</v>
      </c>
      <c r="AC16" s="81" t="str">
        <f ca="1">IFERROR(0.001*AVERAGE(_xll.SNL.Clients.Office.Excel.Functions.SPG($L16,$AA$4,"Coal",AC$2),_xll.SNL.Clients.Office.Excel.Functions.SPG($L16,$AA$3,"Coal",AC$2)),"NA")</f>
        <v>NA</v>
      </c>
      <c r="AD16" s="67" t="e">
        <f ca="1" xml:space="preserve"> IF(ISNUMBER(SEARCH("na",_xll.SNL.Clients.Office.Excel.Functions.SPG($L16, $AD$4, AD$2))), 0,_xll.SNL.Clients.Office.Excel.Functions.SPG($L16, $AD$4, AD$2))</f>
        <v>#NAME?</v>
      </c>
      <c r="AE16" s="67" t="e">
        <f ca="1" xml:space="preserve"> IF(ISNUMBER(SEARCH("na",_xll.SNL.Clients.Office.Excel.Functions.SPG($L16, $AD$4, AE$2))), 0,_xll.SNL.Clients.Office.Excel.Functions.SPG($L16, $AD$4, AE$2))</f>
        <v>#NAME?</v>
      </c>
      <c r="AF16" s="67" t="e">
        <f ca="1" xml:space="preserve"> IF(ISNUMBER(SEARCH("na",_xll.SNL.Clients.Office.Excel.Functions.SPG($L16, $AD$4, AF$2))), 0,_xll.SNL.Clients.Office.Excel.Functions.SPG($L16, $AD$4, AF$2))</f>
        <v>#NAME?</v>
      </c>
      <c r="AG16" s="82" t="str">
        <f t="shared" ca="1" si="5"/>
        <v>NA</v>
      </c>
      <c r="AH16" s="83" t="str">
        <f t="shared" ca="1" si="5"/>
        <v>NA</v>
      </c>
      <c r="AI16" s="84" t="str">
        <f t="shared" ca="1" si="5"/>
        <v>NA</v>
      </c>
      <c r="AJ16" s="67">
        <f ca="1">IFERROR(_xll.SNL.Clients.Office.Excel.Functions.SPG($L16, $AJ$3, AJ$2,$AJ$4)/1000,0)</f>
        <v>0</v>
      </c>
      <c r="AK16" s="67">
        <f ca="1">IFERROR(_xll.SNL.Clients.Office.Excel.Functions.SPG($L16, $AK$3, AK$2,$AJ$4)/1000,0)</f>
        <v>0</v>
      </c>
      <c r="AL16" s="67">
        <f ca="1">IFERROR(_xll.SNL.Clients.Office.Excel.Functions.SPG($L16, $AL$3, AL$2,$AJ$4)/1000,0)</f>
        <v>0</v>
      </c>
      <c r="AM16" s="105" t="e">
        <f t="shared" ca="1" si="6"/>
        <v>#NAME?</v>
      </c>
      <c r="AN16" s="106" t="e">
        <f t="shared" ca="1" si="6"/>
        <v>#NAME?</v>
      </c>
      <c r="AO16" s="107" t="e">
        <f t="shared" ca="1" si="6"/>
        <v>#NAME?</v>
      </c>
      <c r="AP16" s="72" t="e">
        <f ca="1">_xll.SNL.Clients.Office.Excel.Functions.SPG($L16, $AP$3, AP$2, "Coal", "Options:Curr=USD")</f>
        <v>#NAME?</v>
      </c>
      <c r="AQ16" s="72" t="e">
        <f ca="1">_xll.SNL.Clients.Office.Excel.Functions.SPG($L16, $AP$3, AQ$2, "Coal", "Options:Curr=USD")</f>
        <v>#NAME?</v>
      </c>
      <c r="AR16" s="72" t="e">
        <f ca="1">_xll.SNL.Clients.Office.Excel.Functions.SPG($L16, $AP$3, AR$2, "Coal", "Options:Curr=USD")</f>
        <v>#NAME?</v>
      </c>
      <c r="AS16" s="74" t="str">
        <f ca="1">IFERROR(AVERAGE(_xll.SNL.Clients.Office.Excel.Functions.SPG($L16,$AS$4,"Coal",AS$2,"Options:Curr=USD"),_xll.SNL.Clients.Office.Excel.Functions.SPG($L16,$AS$3,"Coal",AS$2, "Options:Curr=USD")),"NA")</f>
        <v>NA</v>
      </c>
      <c r="AT16" s="72" t="str">
        <f ca="1">IFERROR(AVERAGE(_xll.SNL.Clients.Office.Excel.Functions.SPG($L16,$AS$4,"Coal",AT$2,"Options:Curr=USD"),_xll.SNL.Clients.Office.Excel.Functions.SPG($L16,$AS$3,"Coal",AT$2, "Options:Curr=USD")),"NA")</f>
        <v>NA</v>
      </c>
      <c r="AU16" s="75" t="str">
        <f ca="1">IFERROR(AVERAGE(_xll.SNL.Clients.Office.Excel.Functions.SPG($L16,$AS$4,"Coal",AU$2,"Options:Curr=USD"),_xll.SNL.Clients.Office.Excel.Functions.SPG($L16,$AS$3,"Coal",AU$2, "Options:Curr=USD")),"NA")</f>
        <v>NA</v>
      </c>
      <c r="AW16" s="76" t="s">
        <v>76</v>
      </c>
      <c r="AX16" s="76"/>
      <c r="AY16" s="77" t="s">
        <v>83</v>
      </c>
      <c r="AZ16" s="39"/>
    </row>
    <row r="17" spans="1:52" collapsed="1" x14ac:dyDescent="0.3">
      <c r="E17" s="85"/>
      <c r="F17" s="85"/>
      <c r="G17" s="85"/>
      <c r="J17" s="86"/>
      <c r="K17" s="86"/>
      <c r="L17" s="86" t="s">
        <v>84</v>
      </c>
      <c r="M17" s="87" t="e">
        <f t="shared" ref="M17:U17" ca="1" si="7">AVERAGE(M10:M16)</f>
        <v>#DIV/0!</v>
      </c>
      <c r="N17" s="88" t="e">
        <f t="shared" ca="1" si="7"/>
        <v>#NAME?</v>
      </c>
      <c r="O17" s="89" t="e">
        <f t="shared" ca="1" si="7"/>
        <v>#NAME?</v>
      </c>
      <c r="P17" s="90" t="e">
        <f t="shared" ca="1" si="7"/>
        <v>#NAME?</v>
      </c>
      <c r="Q17" s="91" t="e">
        <f t="shared" ca="1" si="7"/>
        <v>#DIV/0!</v>
      </c>
      <c r="R17" s="91" t="e">
        <f t="shared" ca="1" si="7"/>
        <v>#DIV/0!</v>
      </c>
      <c r="S17" s="88" t="e">
        <f t="shared" ca="1" si="7"/>
        <v>#NAME?</v>
      </c>
      <c r="T17" s="89" t="e">
        <f t="shared" ca="1" si="7"/>
        <v>#NAME?</v>
      </c>
      <c r="U17" s="90" t="e">
        <f t="shared" ca="1" si="7"/>
        <v>#NAME?</v>
      </c>
      <c r="V17" s="89"/>
      <c r="W17" s="89"/>
      <c r="X17" s="92" t="e">
        <f t="shared" ref="X17:AI17" ca="1" si="8">AVERAGE(X10:X16)</f>
        <v>#NAME?</v>
      </c>
      <c r="Y17" s="92" t="e">
        <f t="shared" ca="1" si="8"/>
        <v>#NAME?</v>
      </c>
      <c r="Z17" s="99" t="e">
        <f t="shared" ca="1" si="8"/>
        <v>#NAME?</v>
      </c>
      <c r="AA17" s="93" t="e">
        <f t="shared" ca="1" si="8"/>
        <v>#DIV/0!</v>
      </c>
      <c r="AB17" s="93" t="e">
        <f t="shared" ca="1" si="8"/>
        <v>#DIV/0!</v>
      </c>
      <c r="AC17" s="94" t="e">
        <f t="shared" ca="1" si="8"/>
        <v>#DIV/0!</v>
      </c>
      <c r="AD17" s="93" t="e">
        <f t="shared" ca="1" si="8"/>
        <v>#NAME?</v>
      </c>
      <c r="AE17" s="93" t="e">
        <f t="shared" ca="1" si="8"/>
        <v>#NAME?</v>
      </c>
      <c r="AF17" s="93" t="e">
        <f t="shared" ca="1" si="8"/>
        <v>#NAME?</v>
      </c>
      <c r="AG17" s="97" t="e">
        <f t="shared" ca="1" si="8"/>
        <v>#DIV/0!</v>
      </c>
      <c r="AH17" s="97" t="e">
        <f t="shared" ca="1" si="8"/>
        <v>#DIV/0!</v>
      </c>
      <c r="AI17" s="108" t="e">
        <f t="shared" ca="1" si="8"/>
        <v>#DIV/0!</v>
      </c>
      <c r="AJ17" s="97"/>
      <c r="AK17" s="97"/>
      <c r="AM17" s="92" t="e" cm="1">
        <f t="array" aca="1" ref="AM17" ca="1">AVERAGE(IFERROR(AM10:AM16, ""))</f>
        <v>#DIV/0!</v>
      </c>
      <c r="AN17" s="92" t="e" cm="1">
        <f t="array" aca="1" ref="AN17" ca="1">AVERAGE(IFERROR(AN10:AN16, ""))</f>
        <v>#DIV/0!</v>
      </c>
      <c r="AO17" s="92" t="e" cm="1">
        <f t="array" aca="1" ref="AO17" ca="1">AVERAGE(IFERROR(AO10:AO16, ""))</f>
        <v>#DIV/0!</v>
      </c>
      <c r="AP17" s="98" t="e">
        <f ca="1">AVERAGE(AP8:AP16)</f>
        <v>#NAME?</v>
      </c>
      <c r="AQ17" s="92" t="e">
        <f ca="1">AVERAGE(AQ8:AQ16)</f>
        <v>#NAME?</v>
      </c>
      <c r="AR17" s="99" t="e">
        <f ca="1">AVERAGE(AR8:AR16)</f>
        <v>#NAME?</v>
      </c>
      <c r="AS17" s="98" t="e">
        <f ca="1">AVERAGE(AS10:AS16)</f>
        <v>#DIV/0!</v>
      </c>
      <c r="AT17" s="93" t="e">
        <f ca="1">AVERAGE(AT10:AT16)</f>
        <v>#DIV/0!</v>
      </c>
      <c r="AU17" s="94" t="e">
        <f ca="1">AVERAGE(AU10:AU16)</f>
        <v>#DIV/0!</v>
      </c>
      <c r="AW17" s="76"/>
      <c r="AX17" s="76"/>
      <c r="AY17" s="39"/>
      <c r="AZ17" s="39"/>
    </row>
    <row r="18" spans="1:52" ht="16.8" x14ac:dyDescent="0.3">
      <c r="E18" s="85"/>
      <c r="F18" s="85"/>
      <c r="G18" s="85"/>
      <c r="J18" s="45" t="s">
        <v>112</v>
      </c>
      <c r="K18" s="46"/>
      <c r="L18" s="46"/>
      <c r="M18" s="109"/>
      <c r="N18" s="101"/>
      <c r="O18" s="101"/>
      <c r="P18" s="110"/>
      <c r="Q18" s="101"/>
      <c r="R18" s="101"/>
      <c r="S18" s="111"/>
      <c r="T18" s="101"/>
      <c r="U18" s="110"/>
      <c r="V18" s="101"/>
      <c r="W18" s="101"/>
      <c r="X18" s="101"/>
      <c r="Y18" s="101"/>
      <c r="Z18" s="110"/>
      <c r="AA18" s="101"/>
      <c r="AB18" s="101"/>
      <c r="AC18" s="110"/>
      <c r="AD18" s="101"/>
      <c r="AE18" s="101"/>
      <c r="AF18" s="101"/>
      <c r="AG18" s="49"/>
      <c r="AH18" s="49"/>
      <c r="AI18" s="49"/>
      <c r="AJ18" s="49"/>
      <c r="AK18" s="49"/>
      <c r="AL18" s="49"/>
      <c r="AM18" s="48"/>
      <c r="AN18" s="49"/>
      <c r="AO18" s="50"/>
      <c r="AP18" s="101"/>
      <c r="AQ18" s="101"/>
      <c r="AR18" s="101"/>
      <c r="AS18" s="101"/>
      <c r="AT18" s="101"/>
      <c r="AU18" s="110"/>
      <c r="AW18" s="76"/>
      <c r="AX18" s="76"/>
      <c r="AY18" s="39"/>
      <c r="AZ18" s="39"/>
    </row>
    <row r="19" spans="1:52" ht="14.4" x14ac:dyDescent="0.25">
      <c r="A19" s="51" t="e">
        <f ca="1">_xll.SNL.Clients.Office.Excel.Functions.SPG($L19, A$3)</f>
        <v>#NAME?</v>
      </c>
      <c r="B19" s="51" t="e">
        <f ca="1">_xll.BDP($K19,B$3)</f>
        <v>#NAME?</v>
      </c>
      <c r="C19" s="51" t="e">
        <f ca="1">_xll.BDP($K19,C$3)</f>
        <v>#NAME?</v>
      </c>
      <c r="D19" s="51" t="e">
        <f ca="1">_xll.BDP($K19,D$3)</f>
        <v>#NAME?</v>
      </c>
      <c r="E19" s="52" t="s">
        <v>70</v>
      </c>
      <c r="F19" s="52" t="s">
        <v>113</v>
      </c>
      <c r="G19" s="52" t="s">
        <v>72</v>
      </c>
      <c r="H19" s="53" t="e">
        <f ca="1">_xll.SNL.Clients.Office.Excel.Functions.SPG($L19, "IQ_TEV", "Options: Curr=USD")</f>
        <v>#NAME?</v>
      </c>
      <c r="I19" s="53" t="e">
        <f ca="1">_xll.SNL.Clients.Office.Excel.Functions.SPG($L19, "SP_MARKETCAP", "Options: Curr=USD")</f>
        <v>#NAME?</v>
      </c>
      <c r="J19" s="54" t="s">
        <v>114</v>
      </c>
      <c r="K19" s="55" t="s">
        <v>115</v>
      </c>
      <c r="L19" s="55" t="s">
        <v>116</v>
      </c>
      <c r="M19" s="56" t="str" cm="1">
        <f t="array" aca="1" ref="M19" ca="1">IFERROR(_xll.SNL.Clients.Office.Excel.Functions.SPG($L19, $M$3)/100,"NA")</f>
        <v>NA</v>
      </c>
      <c r="N19" s="57" t="e" cm="1">
        <f t="array" aca="1" ref="N19" ca="1">_xll.SNL.Clients.Office.Excel.Functions.SPG($L19, "SP_PCFPS_FWD",N$2)</f>
        <v>#NAME?</v>
      </c>
      <c r="O19" s="58" t="e" cm="1">
        <f t="array" aca="1" ref="O19" ca="1">_xll.SNL.Clients.Office.Excel.Functions.SPG($L19, "SP_PCFPS_FWD",O$2)</f>
        <v>#NAME?</v>
      </c>
      <c r="P19" s="59" t="e" cm="1">
        <f t="array" aca="1" ref="P19" ca="1">_xll.SNL.Clients.Office.Excel.Functions.SPG($L19, "SP_PCFPS_FWD",P$2)</f>
        <v>#NAME?</v>
      </c>
      <c r="Q19" s="60" t="str">
        <f ca="1">IFERROR(_xll.SNL.Clients.Office.Excel.Functions.SPG($L19, "SP_FCF_EST",Q$2, "Options: Curr=USD")/1000/I19,"NA")</f>
        <v>NA</v>
      </c>
      <c r="R19" s="60" t="str">
        <f ca="1">IFERROR(_xll.SNL.Clients.Office.Excel.Functions.SPG($L19, "SP_FCF_EST",R$2, "Options: Curr=USD")/1000/I19,"NA")</f>
        <v>NA</v>
      </c>
      <c r="S19" s="57" t="e" cm="1">
        <f t="array" aca="1" ref="S19" ca="1">_xll.SNL.Clients.Office.Excel.Functions.SPG($L19, "SP_PE_FWD",S$2)</f>
        <v>#NAME?</v>
      </c>
      <c r="T19" s="58" t="e" cm="1">
        <f t="array" aca="1" ref="T19" ca="1">_xll.SNL.Clients.Office.Excel.Functions.SPG($L19, "SP_PE_FWD",T$2)</f>
        <v>#NAME?</v>
      </c>
      <c r="U19" s="59" t="e" cm="1">
        <f t="array" aca="1" ref="U19" ca="1">_xll.SNL.Clients.Office.Excel.Functions.SPG($L19, "SP_PE_FWD",U$2)</f>
        <v>#NAME?</v>
      </c>
      <c r="V19" s="61" t="e" cm="1">
        <f t="array" aca="1" ref="V19" ca="1">IF((_xll.SNL.Clients.Office.Excel.Functions.SPG($L19,$V$3,V$4,"Options: Curr=USD") / _xll.SNL.Clients.Office.Excel.Functions.SPG($L19,"SP_EBITDA_EST",V$2,"Options: Curr=USD")) &lt; 0, "NM", (_xll.SNL.Clients.Office.Excel.Functions.SPG($L19,$V$3,V$4,"Options: Curr=USD") / _xll.SNL.Clients.Office.Excel.Functions.SPG($L19,"SP_EBITDA_EST",V$2,"Options: Curr=USD")))</f>
        <v>#NAME?</v>
      </c>
      <c r="W19" s="62" t="e" cm="1">
        <f t="array" aca="1" ref="W19" ca="1">_xll.SNL.Clients.Office.Excel.Functions.SPG($L19, $W$3,W$4)</f>
        <v>#NAME?</v>
      </c>
      <c r="X19" s="58" t="e" cm="1">
        <f t="array" aca="1" ref="X19" ca="1">_xll.SNL.Clients.Office.Excel.Functions.SPG($L19, $X$3,X$2)</f>
        <v>#NAME?</v>
      </c>
      <c r="Y19" s="58" t="e" cm="1">
        <f t="array" aca="1" ref="Y19" ca="1">_xll.SNL.Clients.Office.Excel.Functions.SPG($L19, $X$3,Y$2)</f>
        <v>#NAME?</v>
      </c>
      <c r="Z19" s="64" t="e" cm="1">
        <f t="array" aca="1" ref="Z19" ca="1">_xll.SNL.Clients.Office.Excel.Functions.SPG($L19, $X$3,Z$2)</f>
        <v>#NAME?</v>
      </c>
      <c r="AA19" s="65" t="str">
        <f ca="1">IFERROR(0.001*AVERAGE(_xll.SNL.Clients.Office.Excel.Functions.SPG($L19,$AA$4,"Coal",AA$2),_xll.SNL.Clients.Office.Excel.Functions.SPG($L19,$AA$3,"Coal",AA$2)),"NA")</f>
        <v>NA</v>
      </c>
      <c r="AB19" s="67" t="str">
        <f ca="1">IFERROR(0.001*AVERAGE(_xll.SNL.Clients.Office.Excel.Functions.SPG($L19,$AA$4,"Coal",AB$2),_xll.SNL.Clients.Office.Excel.Functions.SPG($L19,$AA$3,"Coal",AB$2)),"NA")</f>
        <v>NA</v>
      </c>
      <c r="AC19" s="66" t="str">
        <f ca="1">IFERROR(0.001*AVERAGE(_xll.SNL.Clients.Office.Excel.Functions.SPG($L19,$AA$4,"Coal",AC$2),_xll.SNL.Clients.Office.Excel.Functions.SPG($L19,$AA$3,"Coal",AC$2)),"NA")</f>
        <v>NA</v>
      </c>
      <c r="AD19" s="67" t="e">
        <f ca="1" xml:space="preserve"> IF(ISNUMBER(SEARCH("na",_xll.SNL.Clients.Office.Excel.Functions.SPG($L19, $AD$4, AD$2))), 0,_xll.SNL.Clients.Office.Excel.Functions.SPG($L19, $AD$4, AD$2))</f>
        <v>#NAME?</v>
      </c>
      <c r="AE19" s="67" t="e">
        <f ca="1" xml:space="preserve"> IF(ISNUMBER(SEARCH("na",_xll.SNL.Clients.Office.Excel.Functions.SPG($L19, $AD$4, AE$2))), 0,_xll.SNL.Clients.Office.Excel.Functions.SPG($L19, $AD$4, AE$2))</f>
        <v>#NAME?</v>
      </c>
      <c r="AF19" s="67" t="e">
        <f ca="1" xml:space="preserve"> IF(ISNUMBER(SEARCH("na",_xll.SNL.Clients.Office.Excel.Functions.SPG($L19, $AD$4, AF$2))), 0,_xll.SNL.Clients.Office.Excel.Functions.SPG($L19, $AD$4, AF$2))</f>
        <v>#NAME?</v>
      </c>
      <c r="AG19" s="82" t="str">
        <f t="shared" ref="AG19:AI25" ca="1" si="9">IFERROR($H19/AD19*1000,"NA")</f>
        <v>NA</v>
      </c>
      <c r="AH19" s="83" t="str">
        <f t="shared" ca="1" si="9"/>
        <v>NA</v>
      </c>
      <c r="AI19" s="84" t="str">
        <f t="shared" ca="1" si="9"/>
        <v>NA</v>
      </c>
      <c r="AJ19" s="67">
        <f ca="1">IFERROR(_xll.SNL.Clients.Office.Excel.Functions.SPG($L19, $AJ$3, AJ$2,$AJ$4)/1000,0)</f>
        <v>0</v>
      </c>
      <c r="AK19" s="67">
        <f ca="1">IFERROR(_xll.SNL.Clients.Office.Excel.Functions.SPG($L19, $AK$3, AK$2,$AJ$4)/1000,0)</f>
        <v>0</v>
      </c>
      <c r="AL19" s="67">
        <f ca="1">IFERROR(_xll.SNL.Clients.Office.Excel.Functions.SPG($L19, $AL$3, AL$2,$AJ$4)/1000,0)</f>
        <v>0</v>
      </c>
      <c r="AM19" s="71" t="e">
        <f t="shared" ref="AM19:AO25" ca="1" si="10">$H19*1000/AJ19</f>
        <v>#NAME?</v>
      </c>
      <c r="AN19" s="102" t="e">
        <f t="shared" ca="1" si="10"/>
        <v>#NAME?</v>
      </c>
      <c r="AO19" s="73" t="e">
        <f t="shared" ca="1" si="10"/>
        <v>#NAME?</v>
      </c>
      <c r="AP19" s="72" t="e">
        <f ca="1">_xll.SNL.Clients.Office.Excel.Functions.SPG($L19, $AP$3, AP$2, "Coal", "Options:Curr=USD")</f>
        <v>#NAME?</v>
      </c>
      <c r="AQ19" s="72" t="e">
        <f ca="1">_xll.SNL.Clients.Office.Excel.Functions.SPG($L19, $AP$3, AQ$2, "Coal", "Options:Curr=USD")</f>
        <v>#NAME?</v>
      </c>
      <c r="AR19" s="72" t="e">
        <f ca="1">_xll.SNL.Clients.Office.Excel.Functions.SPG($L19, $AP$3, AR$2, "Coal", "Options:Curr=USD")</f>
        <v>#NAME?</v>
      </c>
      <c r="AS19" s="74" t="str">
        <f ca="1">IFERROR(AVERAGE(_xll.SNL.Clients.Office.Excel.Functions.SPG($L19,$AS$4,"Coal",AS$2,"Options:Curr=USD"),_xll.SNL.Clients.Office.Excel.Functions.SPG($L19,$AS$3,"Coal",AS$2, "Options:Curr=USD")),"NA")</f>
        <v>NA</v>
      </c>
      <c r="AT19" s="72" t="str">
        <f ca="1">IFERROR(AVERAGE(_xll.SNL.Clients.Office.Excel.Functions.SPG($L19,$AS$4,"Coal",AT$2,"Options:Curr=USD"),_xll.SNL.Clients.Office.Excel.Functions.SPG($L19,$AS$3,"Coal",AT$2, "Options:Curr=USD")),"NA")</f>
        <v>NA</v>
      </c>
      <c r="AU19" s="75" t="str">
        <f ca="1">IFERROR(AVERAGE(_xll.SNL.Clients.Office.Excel.Functions.SPG($L19,$AS$4,"Coal",AU$2,"Options:Curr=USD"),_xll.SNL.Clients.Office.Excel.Functions.SPG($L19,$AS$3,"Coal",AU$2, "Options:Curr=USD")),"NA")</f>
        <v>NA</v>
      </c>
      <c r="AW19" s="76" t="s">
        <v>76</v>
      </c>
      <c r="AX19" s="76"/>
      <c r="AY19" s="77" t="s">
        <v>77</v>
      </c>
      <c r="AZ19" s="39"/>
    </row>
    <row r="20" spans="1:52" ht="14.4" x14ac:dyDescent="0.25">
      <c r="A20" s="51" t="e">
        <f ca="1">_xll.SNL.Clients.Office.Excel.Functions.SPG($L20, A$3)</f>
        <v>#NAME?</v>
      </c>
      <c r="B20" s="51" t="e">
        <f ca="1">_xll.BDP($K20,B$3)</f>
        <v>#NAME?</v>
      </c>
      <c r="C20" s="51" t="e">
        <f ca="1">_xll.BDP($K20,C$3)</f>
        <v>#NAME?</v>
      </c>
      <c r="D20" s="51" t="e">
        <f ca="1">_xll.BDP($K20,D$3)</f>
        <v>#NAME?</v>
      </c>
      <c r="E20" s="52" t="s">
        <v>70</v>
      </c>
      <c r="F20" s="52" t="s">
        <v>117</v>
      </c>
      <c r="G20" s="52" t="s">
        <v>72</v>
      </c>
      <c r="H20" s="53" t="e">
        <f ca="1">_xll.SNL.Clients.Office.Excel.Functions.SPG($L20, "IQ_TEV", "Options: Curr=USD")</f>
        <v>#NAME?</v>
      </c>
      <c r="I20" s="53" t="e">
        <f ca="1">_xll.SNL.Clients.Office.Excel.Functions.SPG($L20, "SP_MARKETCAP", "Options: Curr=USD")</f>
        <v>#NAME?</v>
      </c>
      <c r="J20" s="54" t="s">
        <v>118</v>
      </c>
      <c r="K20" s="55" t="s">
        <v>119</v>
      </c>
      <c r="L20" s="55" t="s">
        <v>120</v>
      </c>
      <c r="M20" s="56" t="str" cm="1">
        <f t="array" aca="1" ref="M20" ca="1">IFERROR(_xll.SNL.Clients.Office.Excel.Functions.SPG($L20, $M$3)/100,"NA")</f>
        <v>NA</v>
      </c>
      <c r="N20" s="57" t="e" cm="1">
        <f t="array" aca="1" ref="N20" ca="1">_xll.SNL.Clients.Office.Excel.Functions.SPG($L20, "SP_PCFPS_FWD",N$2)</f>
        <v>#NAME?</v>
      </c>
      <c r="O20" s="58" t="e" cm="1">
        <f t="array" aca="1" ref="O20" ca="1">_xll.SNL.Clients.Office.Excel.Functions.SPG($L20, "SP_PCFPS_FWD",O$2)</f>
        <v>#NAME?</v>
      </c>
      <c r="P20" s="59" t="e" cm="1">
        <f t="array" aca="1" ref="P20" ca="1">_xll.SNL.Clients.Office.Excel.Functions.SPG($L20, "SP_PCFPS_FWD",P$2)</f>
        <v>#NAME?</v>
      </c>
      <c r="Q20" s="60" t="str">
        <f ca="1">IFERROR(_xll.SNL.Clients.Office.Excel.Functions.SPG($L20, "SP_FCF_EST",Q$2, "Options: Curr=USD")/1000/I20,"NA")</f>
        <v>NA</v>
      </c>
      <c r="R20" s="60" t="str">
        <f ca="1">IFERROR(_xll.SNL.Clients.Office.Excel.Functions.SPG($L20, "SP_FCF_EST",R$2, "Options: Curr=USD")/1000/I20,"NA")</f>
        <v>NA</v>
      </c>
      <c r="S20" s="57" t="e" cm="1">
        <f t="array" aca="1" ref="S20" ca="1">_xll.SNL.Clients.Office.Excel.Functions.SPG($L20, "SP_PE_FWD",S$2)</f>
        <v>#NAME?</v>
      </c>
      <c r="T20" s="58" t="e" cm="1">
        <f t="array" aca="1" ref="T20" ca="1">_xll.SNL.Clients.Office.Excel.Functions.SPG($L20, "SP_PE_FWD",T$2)</f>
        <v>#NAME?</v>
      </c>
      <c r="U20" s="59" t="e" cm="1">
        <f t="array" aca="1" ref="U20" ca="1">_xll.SNL.Clients.Office.Excel.Functions.SPG($L20, "SP_PE_FWD",U$2)</f>
        <v>#NAME?</v>
      </c>
      <c r="V20" s="103" t="e" cm="1">
        <f t="array" aca="1" ref="V20" ca="1">IF((_xll.SNL.Clients.Office.Excel.Functions.SPG($L20,$V$3,V$4,"Options: Curr=USD") / _xll.SNL.Clients.Office.Excel.Functions.SPG($L20,"SP_EBITDA_EST",V$2,"Options: Curr=USD")) &lt; 0, "NM", (_xll.SNL.Clients.Office.Excel.Functions.SPG($L20,$V$3,V$4,"Options: Curr=USD") / _xll.SNL.Clients.Office.Excel.Functions.SPG($L20,"SP_EBITDA_EST",V$2,"Options: Curr=USD")))</f>
        <v>#NAME?</v>
      </c>
      <c r="W20" s="104" t="e" cm="1">
        <f t="array" aca="1" ref="W20" ca="1">_xll.SNL.Clients.Office.Excel.Functions.SPG($L20, $W$3,W$4)</f>
        <v>#NAME?</v>
      </c>
      <c r="X20" s="58" t="e" cm="1">
        <f t="array" aca="1" ref="X20" ca="1">_xll.SNL.Clients.Office.Excel.Functions.SPG($L20, $X$3,X$2)</f>
        <v>#NAME?</v>
      </c>
      <c r="Y20" s="58" t="e" cm="1">
        <f t="array" aca="1" ref="Y20" ca="1">_xll.SNL.Clients.Office.Excel.Functions.SPG($L20, $X$3,Y$2)</f>
        <v>#NAME?</v>
      </c>
      <c r="Z20" s="59" t="e" cm="1">
        <f t="array" aca="1" ref="Z20" ca="1">_xll.SNL.Clients.Office.Excel.Functions.SPG($L20, $X$3,Z$2)</f>
        <v>#NAME?</v>
      </c>
      <c r="AA20" s="67" t="str">
        <f ca="1">IFERROR(0.001*AVERAGE(_xll.SNL.Clients.Office.Excel.Functions.SPG($L20,$AA$4,"Coal",AA$2),_xll.SNL.Clients.Office.Excel.Functions.SPG($L20,$AA$3,"Coal",AA$2)),"NA")</f>
        <v>NA</v>
      </c>
      <c r="AB20" s="67" t="str">
        <f ca="1">IFERROR(0.001*AVERAGE(_xll.SNL.Clients.Office.Excel.Functions.SPG($L20,$AA$4,"Coal",AB$2),_xll.SNL.Clients.Office.Excel.Functions.SPG($L20,$AA$3,"Coal",AB$2)),"NA")</f>
        <v>NA</v>
      </c>
      <c r="AC20" s="81" t="str">
        <f ca="1">IFERROR(0.001*AVERAGE(_xll.SNL.Clients.Office.Excel.Functions.SPG($L20,$AA$4,"Coal",AC$2),_xll.SNL.Clients.Office.Excel.Functions.SPG($L20,$AA$3,"Coal",AC$2)),"NA")</f>
        <v>NA</v>
      </c>
      <c r="AD20" s="67" t="e">
        <f ca="1" xml:space="preserve"> IF(ISNUMBER(SEARCH("na",_xll.SNL.Clients.Office.Excel.Functions.SPG($L20, $AD$4, AD$2))), 0,_xll.SNL.Clients.Office.Excel.Functions.SPG($L20, $AD$4, AD$2))</f>
        <v>#NAME?</v>
      </c>
      <c r="AE20" s="67" t="e">
        <f ca="1" xml:space="preserve"> IF(ISNUMBER(SEARCH("na",_xll.SNL.Clients.Office.Excel.Functions.SPG($L20, $AD$4, AE$2))), 0,_xll.SNL.Clients.Office.Excel.Functions.SPG($L20, $AD$4, AE$2))</f>
        <v>#NAME?</v>
      </c>
      <c r="AF20" s="67" t="e">
        <f ca="1" xml:space="preserve"> IF(ISNUMBER(SEARCH("na",_xll.SNL.Clients.Office.Excel.Functions.SPG($L20, $AD$4, AF$2))), 0,_xll.SNL.Clients.Office.Excel.Functions.SPG($L20, $AD$4, AF$2))</f>
        <v>#NAME?</v>
      </c>
      <c r="AG20" s="82" t="str">
        <f t="shared" ca="1" si="9"/>
        <v>NA</v>
      </c>
      <c r="AH20" s="83" t="str">
        <f t="shared" ca="1" si="9"/>
        <v>NA</v>
      </c>
      <c r="AI20" s="84" t="str">
        <f t="shared" ca="1" si="9"/>
        <v>NA</v>
      </c>
      <c r="AJ20" s="67">
        <f ca="1">IFERROR(_xll.SNL.Clients.Office.Excel.Functions.SPG($L20, $AJ$3, AJ$2,$AJ$4)/1000,0)</f>
        <v>0</v>
      </c>
      <c r="AK20" s="67">
        <f ca="1">IFERROR(_xll.SNL.Clients.Office.Excel.Functions.SPG($L20, $AK$3, AK$2,$AJ$4)/1000,0)</f>
        <v>0</v>
      </c>
      <c r="AL20" s="67">
        <f ca="1">IFERROR(_xll.SNL.Clients.Office.Excel.Functions.SPG($L20, $AL$3, AL$2,$AJ$4)/1000,0)</f>
        <v>0</v>
      </c>
      <c r="AM20" s="74" t="e">
        <f t="shared" ca="1" si="10"/>
        <v>#NAME?</v>
      </c>
      <c r="AN20" s="72" t="e">
        <f t="shared" ca="1" si="10"/>
        <v>#NAME?</v>
      </c>
      <c r="AO20" s="75" t="e">
        <f t="shared" ca="1" si="10"/>
        <v>#NAME?</v>
      </c>
      <c r="AP20" s="72" t="e">
        <f ca="1">_xll.SNL.Clients.Office.Excel.Functions.SPG($L20, $AP$3, AP$2, "Coal", "Options:Curr=USD")</f>
        <v>#NAME?</v>
      </c>
      <c r="AQ20" s="72" t="e">
        <f ca="1">_xll.SNL.Clients.Office.Excel.Functions.SPG($L20, $AP$3, AQ$2, "Coal", "Options:Curr=USD")</f>
        <v>#NAME?</v>
      </c>
      <c r="AR20" s="72" t="e">
        <f ca="1">_xll.SNL.Clients.Office.Excel.Functions.SPG($L20, $AP$3, AR$2, "Coal", "Options:Curr=USD")</f>
        <v>#NAME?</v>
      </c>
      <c r="AS20" s="74" t="str">
        <f ca="1">IFERROR(AVERAGE(_xll.SNL.Clients.Office.Excel.Functions.SPG($L20,$AS$4,"Coal",AS$2,"Options:Curr=USD"),_xll.SNL.Clients.Office.Excel.Functions.SPG($L20,$AS$3,"Coal",AS$2, "Options:Curr=USD")),"NA")</f>
        <v>NA</v>
      </c>
      <c r="AT20" s="72" t="str">
        <f ca="1">IFERROR(AVERAGE(_xll.SNL.Clients.Office.Excel.Functions.SPG($L20,$AS$4,"Coal",AT$2,"Options:Curr=USD"),_xll.SNL.Clients.Office.Excel.Functions.SPG($L20,$AS$3,"Coal",AT$2, "Options:Curr=USD")),"NA")</f>
        <v>NA</v>
      </c>
      <c r="AU20" s="75" t="str">
        <f ca="1">IFERROR(AVERAGE(_xll.SNL.Clients.Office.Excel.Functions.SPG($L20,$AS$4,"Coal",AU$2,"Options:Curr=USD"),_xll.SNL.Clients.Office.Excel.Functions.SPG($L20,$AS$3,"Coal",AU$2, "Options:Curr=USD")),"NA")</f>
        <v>NA</v>
      </c>
      <c r="AW20" s="76" t="s">
        <v>76</v>
      </c>
      <c r="AX20" s="76"/>
      <c r="AY20" s="77" t="s">
        <v>83</v>
      </c>
      <c r="AZ20" s="39"/>
    </row>
    <row r="21" spans="1:52" ht="14.4" x14ac:dyDescent="0.25">
      <c r="A21" s="51" t="e">
        <f ca="1">_xll.SNL.Clients.Office.Excel.Functions.SPG($L21, A$3)</f>
        <v>#NAME?</v>
      </c>
      <c r="B21" s="51" t="e">
        <f ca="1">_xll.BDP($K21,B$3)</f>
        <v>#NAME?</v>
      </c>
      <c r="C21" s="51" t="e">
        <f ca="1">_xll.BDP($K21,C$3)</f>
        <v>#NAME?</v>
      </c>
      <c r="D21" s="51" t="e">
        <f ca="1">_xll.BDP($K21,D$3)</f>
        <v>#NAME?</v>
      </c>
      <c r="E21" s="52" t="s">
        <v>86</v>
      </c>
      <c r="F21" s="52" t="s">
        <v>121</v>
      </c>
      <c r="G21" s="52" t="s">
        <v>72</v>
      </c>
      <c r="H21" s="53" t="e">
        <f ca="1">_xll.SNL.Clients.Office.Excel.Functions.SPG($L21, "IQ_TEV", "Options: Curr=USD")</f>
        <v>#NAME?</v>
      </c>
      <c r="I21" s="53" t="e">
        <f ca="1">_xll.SNL.Clients.Office.Excel.Functions.SPG($L21, "SP_MARKETCAP", "Options: Curr=USD")</f>
        <v>#NAME?</v>
      </c>
      <c r="J21" s="54" t="s">
        <v>122</v>
      </c>
      <c r="K21" s="55" t="s">
        <v>123</v>
      </c>
      <c r="L21" s="55" t="s">
        <v>124</v>
      </c>
      <c r="M21" s="56" t="str" cm="1">
        <f t="array" aca="1" ref="M21" ca="1">IFERROR(_xll.SNL.Clients.Office.Excel.Functions.SPG($L21, $M$3)/100,"NA")</f>
        <v>NA</v>
      </c>
      <c r="N21" s="57" t="e" cm="1">
        <f t="array" aca="1" ref="N21" ca="1">_xll.SNL.Clients.Office.Excel.Functions.SPG($L21, "SP_PCFPS_FWD",N$2)</f>
        <v>#NAME?</v>
      </c>
      <c r="O21" s="58" t="e" cm="1">
        <f t="array" aca="1" ref="O21" ca="1">_xll.SNL.Clients.Office.Excel.Functions.SPG($L21, "SP_PCFPS_FWD",O$2)</f>
        <v>#NAME?</v>
      </c>
      <c r="P21" s="59" t="e" cm="1">
        <f t="array" aca="1" ref="P21" ca="1">_xll.SNL.Clients.Office.Excel.Functions.SPG($L21, "SP_PCFPS_FWD",P$2)</f>
        <v>#NAME?</v>
      </c>
      <c r="Q21" s="60" t="str">
        <f ca="1">IFERROR(_xll.SNL.Clients.Office.Excel.Functions.SPG($L21, "SP_FCF_EST",Q$2, "Options: Curr=USD")/1000/I21,"NA")</f>
        <v>NA</v>
      </c>
      <c r="R21" s="60" t="str">
        <f ca="1">IFERROR(_xll.SNL.Clients.Office.Excel.Functions.SPG($L21, "SP_FCF_EST",R$2, "Options: Curr=USD")/1000/I21,"NA")</f>
        <v>NA</v>
      </c>
      <c r="S21" s="57" t="e" cm="1">
        <f t="array" aca="1" ref="S21" ca="1">_xll.SNL.Clients.Office.Excel.Functions.SPG($L21, "SP_PE_FWD",S$2)</f>
        <v>#NAME?</v>
      </c>
      <c r="T21" s="58" t="e" cm="1">
        <f t="array" aca="1" ref="T21" ca="1">_xll.SNL.Clients.Office.Excel.Functions.SPG($L21, "SP_PE_FWD",T$2)</f>
        <v>#NAME?</v>
      </c>
      <c r="U21" s="59" t="e" cm="1">
        <f t="array" aca="1" ref="U21" ca="1">_xll.SNL.Clients.Office.Excel.Functions.SPG($L21, "SP_PE_FWD",U$2)</f>
        <v>#NAME?</v>
      </c>
      <c r="V21" s="103" t="e" cm="1">
        <f t="array" aca="1" ref="V21" ca="1">IF((_xll.SNL.Clients.Office.Excel.Functions.SPG($L21,$V$3,V$4,"Options: Curr=USD") / _xll.SNL.Clients.Office.Excel.Functions.SPG($L21,"SP_EBITDA_EST",V$2,"Options: Curr=USD")) &lt; 0, "NM", (_xll.SNL.Clients.Office.Excel.Functions.SPG($L21,$V$3,V$4,"Options: Curr=USD") / _xll.SNL.Clients.Office.Excel.Functions.SPG($L21,"SP_EBITDA_EST",V$2,"Options: Curr=USD")))</f>
        <v>#NAME?</v>
      </c>
      <c r="W21" s="104" t="e" cm="1">
        <f t="array" aca="1" ref="W21" ca="1">_xll.SNL.Clients.Office.Excel.Functions.SPG($L21, $W$3,W$4)</f>
        <v>#NAME?</v>
      </c>
      <c r="X21" s="58" t="e" cm="1">
        <f t="array" aca="1" ref="X21" ca="1">_xll.SNL.Clients.Office.Excel.Functions.SPG($L21, $X$3,X$2)</f>
        <v>#NAME?</v>
      </c>
      <c r="Y21" s="58" t="e" cm="1">
        <f t="array" aca="1" ref="Y21" ca="1">_xll.SNL.Clients.Office.Excel.Functions.SPG($L21, $X$3,Y$2)</f>
        <v>#NAME?</v>
      </c>
      <c r="Z21" s="59" t="e" cm="1">
        <f t="array" aca="1" ref="Z21" ca="1">_xll.SNL.Clients.Office.Excel.Functions.SPG($L21, $X$3,Z$2)</f>
        <v>#NAME?</v>
      </c>
      <c r="AA21" s="67" t="str">
        <f ca="1">IFERROR(0.001*AVERAGE(_xll.SNL.Clients.Office.Excel.Functions.SPG($L21,$AA$4,"Coal",AA$2),_xll.SNL.Clients.Office.Excel.Functions.SPG($L21,$AA$3,"Coal",AA$2)),"NA")</f>
        <v>NA</v>
      </c>
      <c r="AB21" s="67" t="str">
        <f ca="1">IFERROR(0.001*AVERAGE(_xll.SNL.Clients.Office.Excel.Functions.SPG($L21,$AA$4,"Coal",AB$2),_xll.SNL.Clients.Office.Excel.Functions.SPG($L21,$AA$3,"Coal",AB$2)),"NA")</f>
        <v>NA</v>
      </c>
      <c r="AC21" s="81" t="str">
        <f ca="1">IFERROR(0.001*AVERAGE(_xll.SNL.Clients.Office.Excel.Functions.SPG($L21,$AA$4,"Coal",AC$2),_xll.SNL.Clients.Office.Excel.Functions.SPG($L21,$AA$3,"Coal",AC$2)),"NA")</f>
        <v>NA</v>
      </c>
      <c r="AD21" s="67" t="e">
        <f ca="1" xml:space="preserve"> IF(ISNUMBER(SEARCH("na",_xll.SNL.Clients.Office.Excel.Functions.SPG($L21, $AD$4, AD$2))), 0,_xll.SNL.Clients.Office.Excel.Functions.SPG($L21, $AD$4, AD$2))</f>
        <v>#NAME?</v>
      </c>
      <c r="AE21" s="67" t="e">
        <f ca="1" xml:space="preserve"> IF(ISNUMBER(SEARCH("na",_xll.SNL.Clients.Office.Excel.Functions.SPG($L21, $AD$4, AE$2))), 0,_xll.SNL.Clients.Office.Excel.Functions.SPG($L21, $AD$4, AE$2))</f>
        <v>#NAME?</v>
      </c>
      <c r="AF21" s="67" t="e">
        <f ca="1" xml:space="preserve"> IF(ISNUMBER(SEARCH("na",_xll.SNL.Clients.Office.Excel.Functions.SPG($L21, $AD$4, AF$2))), 0,_xll.SNL.Clients.Office.Excel.Functions.SPG($L21, $AD$4, AF$2))</f>
        <v>#NAME?</v>
      </c>
      <c r="AG21" s="82" t="str">
        <f t="shared" ca="1" si="9"/>
        <v>NA</v>
      </c>
      <c r="AH21" s="83" t="str">
        <f t="shared" ca="1" si="9"/>
        <v>NA</v>
      </c>
      <c r="AI21" s="84" t="str">
        <f t="shared" ca="1" si="9"/>
        <v>NA</v>
      </c>
      <c r="AJ21" s="67">
        <f ca="1">IFERROR(_xll.SNL.Clients.Office.Excel.Functions.SPG($L21, $AJ$3, AJ$2,$AJ$4)/1000,0)</f>
        <v>0</v>
      </c>
      <c r="AK21" s="67">
        <f ca="1">IFERROR(_xll.SNL.Clients.Office.Excel.Functions.SPG($L21, $AK$3, AK$2,$AJ$4)/1000,0)</f>
        <v>0</v>
      </c>
      <c r="AL21" s="67">
        <f ca="1">IFERROR(_xll.SNL.Clients.Office.Excel.Functions.SPG($L21, $AL$3, AL$2,$AJ$4)/1000,0)</f>
        <v>0</v>
      </c>
      <c r="AM21" s="74" t="e">
        <f t="shared" ca="1" si="10"/>
        <v>#NAME?</v>
      </c>
      <c r="AN21" s="72" t="e">
        <f t="shared" ca="1" si="10"/>
        <v>#NAME?</v>
      </c>
      <c r="AO21" s="75" t="e">
        <f t="shared" ca="1" si="10"/>
        <v>#NAME?</v>
      </c>
      <c r="AP21" s="72" t="e">
        <f ca="1">_xll.SNL.Clients.Office.Excel.Functions.SPG($L21, $AP$3, AP$2, "Coal", "Options:Curr=USD")</f>
        <v>#NAME?</v>
      </c>
      <c r="AQ21" s="72" t="e">
        <f ca="1">_xll.SNL.Clients.Office.Excel.Functions.SPG($L21, $AP$3, AQ$2, "Coal", "Options:Curr=USD")</f>
        <v>#NAME?</v>
      </c>
      <c r="AR21" s="72" t="e">
        <f ca="1">_xll.SNL.Clients.Office.Excel.Functions.SPG($L21, $AP$3, AR$2, "Coal", "Options:Curr=USD")</f>
        <v>#NAME?</v>
      </c>
      <c r="AS21" s="74" t="str">
        <f ca="1">IFERROR(AVERAGE(_xll.SNL.Clients.Office.Excel.Functions.SPG($L21,$AS$4,"Coal",AS$2,"Options:Curr=USD"),_xll.SNL.Clients.Office.Excel.Functions.SPG($L21,$AS$3,"Coal",AS$2, "Options:Curr=USD")),"NA")</f>
        <v>NA</v>
      </c>
      <c r="AT21" s="72" t="str">
        <f ca="1">IFERROR(AVERAGE(_xll.SNL.Clients.Office.Excel.Functions.SPG($L21,$AS$4,"Coal",AT$2,"Options:Curr=USD"),_xll.SNL.Clients.Office.Excel.Functions.SPG($L21,$AS$3,"Coal",AT$2, "Options:Curr=USD")),"NA")</f>
        <v>NA</v>
      </c>
      <c r="AU21" s="75" t="str">
        <f ca="1">IFERROR(AVERAGE(_xll.SNL.Clients.Office.Excel.Functions.SPG($L21,$AS$4,"Coal",AU$2,"Options:Curr=USD"),_xll.SNL.Clients.Office.Excel.Functions.SPG($L21,$AS$3,"Coal",AU$2, "Options:Curr=USD")),"NA")</f>
        <v>NA</v>
      </c>
      <c r="AW21" s="112" t="s">
        <v>125</v>
      </c>
      <c r="AX21" s="112"/>
      <c r="AY21" s="77" t="s">
        <v>83</v>
      </c>
      <c r="AZ21" s="39"/>
    </row>
    <row r="22" spans="1:52" ht="14.4" x14ac:dyDescent="0.25">
      <c r="A22" s="51" t="e">
        <f ca="1">_xll.SNL.Clients.Office.Excel.Functions.SPG($L22, A$3)</f>
        <v>#NAME?</v>
      </c>
      <c r="B22" s="51" t="e">
        <f ca="1">_xll.BDP($K22,B$3)</f>
        <v>#NAME?</v>
      </c>
      <c r="C22" s="51" t="e">
        <f ca="1">_xll.BDP($K22,C$3)</f>
        <v>#NAME?</v>
      </c>
      <c r="D22" s="51" t="e">
        <f ca="1">_xll.BDP($K22,D$3)</f>
        <v>#NAME?</v>
      </c>
      <c r="E22" s="52" t="s">
        <v>126</v>
      </c>
      <c r="F22" s="52" t="s">
        <v>127</v>
      </c>
      <c r="G22" s="52" t="s">
        <v>72</v>
      </c>
      <c r="H22" s="53" t="e">
        <f ca="1">_xll.SNL.Clients.Office.Excel.Functions.SPG($L22, "IQ_TEV", "Options: Curr=USD")</f>
        <v>#NAME?</v>
      </c>
      <c r="I22" s="53" t="e">
        <f ca="1">_xll.SNL.Clients.Office.Excel.Functions.SPG($L22, "SP_MARKETCAP", "Options: Curr=USD")</f>
        <v>#NAME?</v>
      </c>
      <c r="J22" s="54" t="s">
        <v>128</v>
      </c>
      <c r="K22" s="55" t="s">
        <v>129</v>
      </c>
      <c r="L22" s="55" t="s">
        <v>130</v>
      </c>
      <c r="M22" s="56" t="str" cm="1">
        <f t="array" aca="1" ref="M22" ca="1">IFERROR(_xll.SNL.Clients.Office.Excel.Functions.SPG($L22, $M$3)/100,"NA")</f>
        <v>NA</v>
      </c>
      <c r="N22" s="57" t="e" cm="1">
        <f t="array" aca="1" ref="N22" ca="1">_xll.SNL.Clients.Office.Excel.Functions.SPG($L22, "SP_PCFPS_FWD",N$2)</f>
        <v>#NAME?</v>
      </c>
      <c r="O22" s="58" t="e" cm="1">
        <f t="array" aca="1" ref="O22" ca="1">_xll.SNL.Clients.Office.Excel.Functions.SPG($L22, "SP_PCFPS_FWD",O$2)</f>
        <v>#NAME?</v>
      </c>
      <c r="P22" s="59" t="e" cm="1">
        <f t="array" aca="1" ref="P22" ca="1">_xll.SNL.Clients.Office.Excel.Functions.SPG($L22, "SP_PCFPS_FWD",P$2)</f>
        <v>#NAME?</v>
      </c>
      <c r="Q22" s="60" t="str">
        <f ca="1">IFERROR(_xll.SNL.Clients.Office.Excel.Functions.SPG($L22, "SP_FCF_EST",Q$2, "Options: Curr=USD")/1000/I22,"NA")</f>
        <v>NA</v>
      </c>
      <c r="R22" s="60" t="str">
        <f ca="1">IFERROR(_xll.SNL.Clients.Office.Excel.Functions.SPG($L22, "SP_FCF_EST",R$2, "Options: Curr=USD")/1000/I22,"NA")</f>
        <v>NA</v>
      </c>
      <c r="S22" s="57" t="e" cm="1">
        <f t="array" aca="1" ref="S22" ca="1">_xll.SNL.Clients.Office.Excel.Functions.SPG($L22, "SP_PE_FWD",S$2)</f>
        <v>#NAME?</v>
      </c>
      <c r="T22" s="58" t="e" cm="1">
        <f t="array" aca="1" ref="T22" ca="1">_xll.SNL.Clients.Office.Excel.Functions.SPG($L22, "SP_PE_FWD",T$2)</f>
        <v>#NAME?</v>
      </c>
      <c r="U22" s="59" t="e" cm="1">
        <f t="array" aca="1" ref="U22" ca="1">_xll.SNL.Clients.Office.Excel.Functions.SPG($L22, "SP_PE_FWD",U$2)</f>
        <v>#NAME?</v>
      </c>
      <c r="V22" s="103" t="e" cm="1">
        <f t="array" aca="1" ref="V22" ca="1">IF((_xll.SNL.Clients.Office.Excel.Functions.SPG($L22,$V$3,V$4,"Options: Curr=USD") / _xll.SNL.Clients.Office.Excel.Functions.SPG($L22,"SP_EBITDA_EST",V$2,"Options: Curr=USD")) &lt; 0, "NM", (_xll.SNL.Clients.Office.Excel.Functions.SPG($L22,$V$3,V$4,"Options: Curr=USD") / _xll.SNL.Clients.Office.Excel.Functions.SPG($L22,"SP_EBITDA_EST",V$2,"Options: Curr=USD")))</f>
        <v>#NAME?</v>
      </c>
      <c r="W22" s="104" t="e" cm="1">
        <f t="array" aca="1" ref="W22" ca="1">_xll.SNL.Clients.Office.Excel.Functions.SPG($L22, $W$3,W$4)</f>
        <v>#NAME?</v>
      </c>
      <c r="X22" s="58" t="e" cm="1">
        <f t="array" aca="1" ref="X22" ca="1">_xll.SNL.Clients.Office.Excel.Functions.SPG($L22, $X$3,X$2)</f>
        <v>#NAME?</v>
      </c>
      <c r="Y22" s="58" t="e" cm="1">
        <f t="array" aca="1" ref="Y22" ca="1">_xll.SNL.Clients.Office.Excel.Functions.SPG($L22, $X$3,Y$2)</f>
        <v>#NAME?</v>
      </c>
      <c r="Z22" s="59" t="e" cm="1">
        <f t="array" aca="1" ref="Z22" ca="1">_xll.SNL.Clients.Office.Excel.Functions.SPG($L22, $X$3,Z$2)</f>
        <v>#NAME?</v>
      </c>
      <c r="AA22" s="67" t="str">
        <f ca="1">IFERROR(0.001*AVERAGE(_xll.SNL.Clients.Office.Excel.Functions.SPG($L22,$AA$4,"Coal",AA$2),_xll.SNL.Clients.Office.Excel.Functions.SPG($L22,$AA$3,"Coal",AA$2)),"NA")</f>
        <v>NA</v>
      </c>
      <c r="AB22" s="67" t="str">
        <f ca="1">IFERROR(0.001*AVERAGE(_xll.SNL.Clients.Office.Excel.Functions.SPG($L22,$AA$4,"Coal",AB$2),_xll.SNL.Clients.Office.Excel.Functions.SPG($L22,$AA$3,"Coal",AB$2)),"NA")</f>
        <v>NA</v>
      </c>
      <c r="AC22" s="81" t="str">
        <f ca="1">IFERROR(0.001*AVERAGE(_xll.SNL.Clients.Office.Excel.Functions.SPG($L22,$AA$4,"Coal",AC$2),_xll.SNL.Clients.Office.Excel.Functions.SPG($L22,$AA$3,"Coal",AC$2)),"NA")</f>
        <v>NA</v>
      </c>
      <c r="AD22" s="67" t="e">
        <f ca="1" xml:space="preserve"> IF(ISNUMBER(SEARCH("na",_xll.SNL.Clients.Office.Excel.Functions.SPG($L22, $AD$4, AD$2))), 0,_xll.SNL.Clients.Office.Excel.Functions.SPG($L22, $AD$4, AD$2))</f>
        <v>#NAME?</v>
      </c>
      <c r="AE22" s="67" t="e">
        <f ca="1" xml:space="preserve"> IF(ISNUMBER(SEARCH("na",_xll.SNL.Clients.Office.Excel.Functions.SPG($L22, $AD$4, AE$2))), 0,_xll.SNL.Clients.Office.Excel.Functions.SPG($L22, $AD$4, AE$2))</f>
        <v>#NAME?</v>
      </c>
      <c r="AF22" s="67" t="e">
        <f ca="1" xml:space="preserve"> IF(ISNUMBER(SEARCH("na",_xll.SNL.Clients.Office.Excel.Functions.SPG($L22, $AD$4, AF$2))), 0,_xll.SNL.Clients.Office.Excel.Functions.SPG($L22, $AD$4, AF$2))</f>
        <v>#NAME?</v>
      </c>
      <c r="AG22" s="82" t="str">
        <f t="shared" ca="1" si="9"/>
        <v>NA</v>
      </c>
      <c r="AH22" s="83" t="str">
        <f t="shared" ca="1" si="9"/>
        <v>NA</v>
      </c>
      <c r="AI22" s="84" t="str">
        <f t="shared" ca="1" si="9"/>
        <v>NA</v>
      </c>
      <c r="AJ22" s="67">
        <f ca="1">IFERROR(_xll.SNL.Clients.Office.Excel.Functions.SPG($L22, $AJ$3, AJ$2,$AJ$4)/1000,0)</f>
        <v>0</v>
      </c>
      <c r="AK22" s="67">
        <f ca="1">IFERROR(_xll.SNL.Clients.Office.Excel.Functions.SPG($L22, $AK$3, AK$2,$AJ$4)/1000,0)</f>
        <v>0</v>
      </c>
      <c r="AL22" s="67">
        <f ca="1">IFERROR(_xll.SNL.Clients.Office.Excel.Functions.SPG($L22, $AL$3, AL$2,$AJ$4)/1000,0)</f>
        <v>0</v>
      </c>
      <c r="AM22" s="74" t="e">
        <f t="shared" ca="1" si="10"/>
        <v>#NAME?</v>
      </c>
      <c r="AN22" s="72" t="e">
        <f t="shared" ca="1" si="10"/>
        <v>#NAME?</v>
      </c>
      <c r="AO22" s="75" t="e">
        <f t="shared" ca="1" si="10"/>
        <v>#NAME?</v>
      </c>
      <c r="AP22" s="72" t="e">
        <f ca="1">_xll.SNL.Clients.Office.Excel.Functions.SPG($L22, $AP$3, AP$2, "Coal", "Options:Curr=USD")</f>
        <v>#NAME?</v>
      </c>
      <c r="AQ22" s="72" t="e">
        <f ca="1">_xll.SNL.Clients.Office.Excel.Functions.SPG($L22, $AP$3, AQ$2, "Coal", "Options:Curr=USD")</f>
        <v>#NAME?</v>
      </c>
      <c r="AR22" s="72" t="e">
        <f ca="1">_xll.SNL.Clients.Office.Excel.Functions.SPG($L22, $AP$3, AR$2, "Coal", "Options:Curr=USD")</f>
        <v>#NAME?</v>
      </c>
      <c r="AS22" s="74" t="str">
        <f ca="1">IFERROR(AVERAGE(_xll.SNL.Clients.Office.Excel.Functions.SPG($L22,$AS$4,"Coal",AS$2,"Options:Curr=USD"),_xll.SNL.Clients.Office.Excel.Functions.SPG($L22,$AS$3,"Coal",AS$2, "Options:Curr=USD")),"NA")</f>
        <v>NA</v>
      </c>
      <c r="AT22" s="72" t="str">
        <f ca="1">IFERROR(AVERAGE(_xll.SNL.Clients.Office.Excel.Functions.SPG($L22,$AS$4,"Coal",AT$2,"Options:Curr=USD"),_xll.SNL.Clients.Office.Excel.Functions.SPG($L22,$AS$3,"Coal",AT$2, "Options:Curr=USD")),"NA")</f>
        <v>NA</v>
      </c>
      <c r="AU22" s="75" t="str">
        <f ca="1">IFERROR(AVERAGE(_xll.SNL.Clients.Office.Excel.Functions.SPG($L22,$AS$4,"Coal",AU$2,"Options:Curr=USD"),_xll.SNL.Clients.Office.Excel.Functions.SPG($L22,$AS$3,"Coal",AU$2, "Options:Curr=USD")),"NA")</f>
        <v>NA</v>
      </c>
      <c r="AW22" s="76" t="s">
        <v>76</v>
      </c>
      <c r="AX22" s="76"/>
      <c r="AY22" s="77" t="s">
        <v>83</v>
      </c>
      <c r="AZ22" s="39"/>
    </row>
    <row r="23" spans="1:52" ht="14.4" x14ac:dyDescent="0.25">
      <c r="A23" s="51" t="e">
        <f ca="1">_xll.SNL.Clients.Office.Excel.Functions.SPG($L23, A$3)</f>
        <v>#NAME?</v>
      </c>
      <c r="B23" s="51" t="e">
        <f ca="1">_xll.BDP($K23,B$3)</f>
        <v>#NAME?</v>
      </c>
      <c r="C23" s="51" t="e">
        <f ca="1">_xll.BDP($K23,C$3)</f>
        <v>#NAME?</v>
      </c>
      <c r="D23" s="51" t="e">
        <f ca="1">_xll.BDP($K23,D$3)</f>
        <v>#NAME?</v>
      </c>
      <c r="E23" s="52" t="s">
        <v>131</v>
      </c>
      <c r="F23" s="52" t="s">
        <v>132</v>
      </c>
      <c r="G23" s="52" t="s">
        <v>72</v>
      </c>
      <c r="H23" s="53" t="e">
        <f ca="1">_xll.SNL.Clients.Office.Excel.Functions.SPG($L23, "IQ_TEV", "Options: Curr=USD")</f>
        <v>#NAME?</v>
      </c>
      <c r="I23" s="53" t="e">
        <f ca="1">_xll.SNL.Clients.Office.Excel.Functions.SPG($L23, "SP_MARKETCAP", "Options: Curr=USD")</f>
        <v>#NAME?</v>
      </c>
      <c r="J23" s="54" t="s">
        <v>133</v>
      </c>
      <c r="K23" s="55" t="s">
        <v>134</v>
      </c>
      <c r="L23" s="55" t="s">
        <v>135</v>
      </c>
      <c r="M23" s="56" t="str" cm="1">
        <f t="array" aca="1" ref="M23" ca="1">IFERROR(_xll.SNL.Clients.Office.Excel.Functions.SPG($L23, $M$3)/100,"NA")</f>
        <v>NA</v>
      </c>
      <c r="N23" s="57" t="e" cm="1">
        <f t="array" aca="1" ref="N23" ca="1">_xll.SNL.Clients.Office.Excel.Functions.SPG($L23, "SP_PCFPS_FWD",N$2)</f>
        <v>#NAME?</v>
      </c>
      <c r="O23" s="58" t="e" cm="1">
        <f t="array" aca="1" ref="O23" ca="1">_xll.SNL.Clients.Office.Excel.Functions.SPG($L23, "SP_PCFPS_FWD",O$2)</f>
        <v>#NAME?</v>
      </c>
      <c r="P23" s="59" t="e" cm="1">
        <f t="array" aca="1" ref="P23" ca="1">_xll.SNL.Clients.Office.Excel.Functions.SPG($L23, "SP_PCFPS_FWD",P$2)</f>
        <v>#NAME?</v>
      </c>
      <c r="Q23" s="60" t="str">
        <f ca="1">IFERROR(_xll.SNL.Clients.Office.Excel.Functions.SPG($L23, "SP_FCF_EST",Q$2, "Options: Curr=USD")/1000/I23,"NA")</f>
        <v>NA</v>
      </c>
      <c r="R23" s="60" t="str">
        <f ca="1">IFERROR(_xll.SNL.Clients.Office.Excel.Functions.SPG($L23, "SP_FCF_EST",R$2, "Options: Curr=USD")/1000/I23,"NA")</f>
        <v>NA</v>
      </c>
      <c r="S23" s="57" t="e" cm="1">
        <f t="array" aca="1" ref="S23" ca="1">_xll.SNL.Clients.Office.Excel.Functions.SPG($L23, "SP_PE_FWD",S$2)</f>
        <v>#NAME?</v>
      </c>
      <c r="T23" s="58" t="e" cm="1">
        <f t="array" aca="1" ref="T23" ca="1">_xll.SNL.Clients.Office.Excel.Functions.SPG($L23, "SP_PE_FWD",T$2)</f>
        <v>#NAME?</v>
      </c>
      <c r="U23" s="59" t="e" cm="1">
        <f t="array" aca="1" ref="U23" ca="1">_xll.SNL.Clients.Office.Excel.Functions.SPG($L23, "SP_PE_FWD",U$2)</f>
        <v>#NAME?</v>
      </c>
      <c r="V23" s="103" t="e" cm="1">
        <f t="array" aca="1" ref="V23" ca="1">IF((_xll.SNL.Clients.Office.Excel.Functions.SPG($L23,$V$3,V$4,"Options: Curr=USD") / _xll.SNL.Clients.Office.Excel.Functions.SPG($L23,"SP_EBITDA_EST",V$2,"Options: Curr=USD")) &lt; 0, "NM", (_xll.SNL.Clients.Office.Excel.Functions.SPG($L23,$V$3,V$4,"Options: Curr=USD") / _xll.SNL.Clients.Office.Excel.Functions.SPG($L23,"SP_EBITDA_EST",V$2,"Options: Curr=USD")))</f>
        <v>#NAME?</v>
      </c>
      <c r="W23" s="104" t="e" cm="1">
        <f t="array" aca="1" ref="W23" ca="1">_xll.SNL.Clients.Office.Excel.Functions.SPG($L23, $W$3,W$4)</f>
        <v>#NAME?</v>
      </c>
      <c r="X23" s="58" t="e" cm="1">
        <f t="array" aca="1" ref="X23" ca="1">_xll.SNL.Clients.Office.Excel.Functions.SPG($L23, $X$3,X$2)</f>
        <v>#NAME?</v>
      </c>
      <c r="Y23" s="58" t="e" cm="1">
        <f t="array" aca="1" ref="Y23" ca="1">_xll.SNL.Clients.Office.Excel.Functions.SPG($L23, $X$3,Y$2)</f>
        <v>#NAME?</v>
      </c>
      <c r="Z23" s="59" t="e" cm="1">
        <f t="array" aca="1" ref="Z23" ca="1">_xll.SNL.Clients.Office.Excel.Functions.SPG($L23, $X$3,Z$2)</f>
        <v>#NAME?</v>
      </c>
      <c r="AA23" s="67" t="str">
        <f ca="1">IFERROR(0.001*AVERAGE(_xll.SNL.Clients.Office.Excel.Functions.SPG($L23,$AA$4,"Coal",AA$2),_xll.SNL.Clients.Office.Excel.Functions.SPG($L23,$AA$3,"Coal",AA$2)),"NA")</f>
        <v>NA</v>
      </c>
      <c r="AB23" s="67" t="str">
        <f ca="1">IFERROR(0.001*AVERAGE(_xll.SNL.Clients.Office.Excel.Functions.SPG($L23,$AA$4,"Coal",AB$2),_xll.SNL.Clients.Office.Excel.Functions.SPG($L23,$AA$3,"Coal",AB$2)),"NA")</f>
        <v>NA</v>
      </c>
      <c r="AC23" s="81" t="str">
        <f ca="1">IFERROR(0.001*AVERAGE(_xll.SNL.Clients.Office.Excel.Functions.SPG($L23,$AA$4,"Coal",AC$2),_xll.SNL.Clients.Office.Excel.Functions.SPG($L23,$AA$3,"Coal",AC$2)),"NA")</f>
        <v>NA</v>
      </c>
      <c r="AD23" s="67" t="e">
        <f ca="1" xml:space="preserve"> IF(ISNUMBER(SEARCH("na",_xll.SNL.Clients.Office.Excel.Functions.SPG($L23, $AD$4, AD$2))), 0,_xll.SNL.Clients.Office.Excel.Functions.SPG($L23, $AD$4, AD$2))</f>
        <v>#NAME?</v>
      </c>
      <c r="AE23" s="67" t="e">
        <f ca="1" xml:space="preserve"> IF(ISNUMBER(SEARCH("na",_xll.SNL.Clients.Office.Excel.Functions.SPG($L23, $AD$4, AE$2))), 0,_xll.SNL.Clients.Office.Excel.Functions.SPG($L23, $AD$4, AE$2))</f>
        <v>#NAME?</v>
      </c>
      <c r="AF23" s="67" t="e">
        <f ca="1" xml:space="preserve"> IF(ISNUMBER(SEARCH("na",_xll.SNL.Clients.Office.Excel.Functions.SPG($L23, $AD$4, AF$2))), 0,_xll.SNL.Clients.Office.Excel.Functions.SPG($L23, $AD$4, AF$2))</f>
        <v>#NAME?</v>
      </c>
      <c r="AG23" s="82" t="str">
        <f t="shared" ca="1" si="9"/>
        <v>NA</v>
      </c>
      <c r="AH23" s="83" t="str">
        <f t="shared" ca="1" si="9"/>
        <v>NA</v>
      </c>
      <c r="AI23" s="84" t="str">
        <f t="shared" ca="1" si="9"/>
        <v>NA</v>
      </c>
      <c r="AJ23" s="67">
        <f ca="1">IFERROR(_xll.SNL.Clients.Office.Excel.Functions.SPG($L23, $AJ$3, AJ$2,$AJ$4)/1000,0)</f>
        <v>0</v>
      </c>
      <c r="AK23" s="67">
        <f ca="1">IFERROR(_xll.SNL.Clients.Office.Excel.Functions.SPG($L23, $AK$3, AK$2,$AJ$4)/1000,0)</f>
        <v>0</v>
      </c>
      <c r="AL23" s="67">
        <f ca="1">IFERROR(_xll.SNL.Clients.Office.Excel.Functions.SPG($L23, $AL$3, AL$2,$AJ$4)/1000,0)</f>
        <v>0</v>
      </c>
      <c r="AM23" s="74" t="e">
        <f t="shared" ca="1" si="10"/>
        <v>#NAME?</v>
      </c>
      <c r="AN23" s="72" t="e">
        <f t="shared" ca="1" si="10"/>
        <v>#NAME?</v>
      </c>
      <c r="AO23" s="75" t="e">
        <f t="shared" ca="1" si="10"/>
        <v>#NAME?</v>
      </c>
      <c r="AP23" s="72" t="e">
        <f ca="1">_xll.SNL.Clients.Office.Excel.Functions.SPG($L23, $AP$3, AP$2, "Coal", "Options:Curr=USD")</f>
        <v>#NAME?</v>
      </c>
      <c r="AQ23" s="72" t="e">
        <f ca="1">_xll.SNL.Clients.Office.Excel.Functions.SPG($L23, $AP$3, AQ$2, "Coal", "Options:Curr=USD")</f>
        <v>#NAME?</v>
      </c>
      <c r="AR23" s="72" t="e">
        <f ca="1">_xll.SNL.Clients.Office.Excel.Functions.SPG($L23, $AP$3, AR$2, "Coal", "Options:Curr=USD")</f>
        <v>#NAME?</v>
      </c>
      <c r="AS23" s="74" t="str">
        <f ca="1">IFERROR(AVERAGE(_xll.SNL.Clients.Office.Excel.Functions.SPG($L23,$AS$4,"Coal",AS$2,"Options:Curr=USD"),_xll.SNL.Clients.Office.Excel.Functions.SPG($L23,$AS$3,"Coal",AS$2, "Options:Curr=USD")),"NA")</f>
        <v>NA</v>
      </c>
      <c r="AT23" s="72" t="str">
        <f ca="1">IFERROR(AVERAGE(_xll.SNL.Clients.Office.Excel.Functions.SPG($L23,$AS$4,"Coal",AT$2,"Options:Curr=USD"),_xll.SNL.Clients.Office.Excel.Functions.SPG($L23,$AS$3,"Coal",AT$2, "Options:Curr=USD")),"NA")</f>
        <v>NA</v>
      </c>
      <c r="AU23" s="75" t="str">
        <f ca="1">IFERROR(AVERAGE(_xll.SNL.Clients.Office.Excel.Functions.SPG($L23,$AS$4,"Coal",AU$2,"Options:Curr=USD"),_xll.SNL.Clients.Office.Excel.Functions.SPG($L23,$AS$3,"Coal",AU$2, "Options:Curr=USD")),"NA")</f>
        <v>NA</v>
      </c>
      <c r="AW23" s="76" t="s">
        <v>76</v>
      </c>
      <c r="AX23" s="76"/>
      <c r="AY23" s="77" t="s">
        <v>77</v>
      </c>
      <c r="AZ23" s="39"/>
    </row>
    <row r="24" spans="1:52" ht="14.4" x14ac:dyDescent="0.25">
      <c r="A24" s="51" t="e">
        <f ca="1">_xll.SNL.Clients.Office.Excel.Functions.SPG($L24, A$3)</f>
        <v>#NAME?</v>
      </c>
      <c r="B24" s="51" t="e">
        <f ca="1">_xll.BDP($K24,B$3)</f>
        <v>#NAME?</v>
      </c>
      <c r="C24" s="51" t="e">
        <f ca="1">_xll.BDP($K24,C$3)</f>
        <v>#NAME?</v>
      </c>
      <c r="D24" s="51" t="e">
        <f ca="1">_xll.BDP($K24,D$3)</f>
        <v>#NAME?</v>
      </c>
      <c r="E24" s="52" t="s">
        <v>70</v>
      </c>
      <c r="F24" s="52" t="s">
        <v>136</v>
      </c>
      <c r="G24" s="52" t="s">
        <v>72</v>
      </c>
      <c r="H24" s="53" t="e">
        <f ca="1">_xll.SNL.Clients.Office.Excel.Functions.SPG($L24, "IQ_TEV", "Options: Curr=USD")</f>
        <v>#NAME?</v>
      </c>
      <c r="I24" s="53" t="e">
        <f ca="1">_xll.SNL.Clients.Office.Excel.Functions.SPG($L24, "SP_MARKETCAP", "Options: Curr=USD")</f>
        <v>#NAME?</v>
      </c>
      <c r="J24" s="54" t="s">
        <v>137</v>
      </c>
      <c r="K24" s="55" t="s">
        <v>138</v>
      </c>
      <c r="L24" s="55" t="s">
        <v>139</v>
      </c>
      <c r="M24" s="56" t="str" cm="1">
        <f t="array" aca="1" ref="M24" ca="1">IFERROR(_xll.SNL.Clients.Office.Excel.Functions.SPG($L24, $M$3)/100,"NA")</f>
        <v>NA</v>
      </c>
      <c r="N24" s="57" t="e" cm="1">
        <f t="array" aca="1" ref="N24" ca="1">_xll.SNL.Clients.Office.Excel.Functions.SPG($L24, "SP_PCFPS_FWD",N$2)</f>
        <v>#NAME?</v>
      </c>
      <c r="O24" s="58" t="e" cm="1">
        <f t="array" aca="1" ref="O24" ca="1">_xll.SNL.Clients.Office.Excel.Functions.SPG($L24, "SP_PCFPS_FWD",O$2)</f>
        <v>#NAME?</v>
      </c>
      <c r="P24" s="59" t="e" cm="1">
        <f t="array" aca="1" ref="P24" ca="1">_xll.SNL.Clients.Office.Excel.Functions.SPG($L24, "SP_PCFPS_FWD",P$2)</f>
        <v>#NAME?</v>
      </c>
      <c r="Q24" s="60" t="str">
        <f ca="1">IFERROR(_xll.SNL.Clients.Office.Excel.Functions.SPG($L24, "SP_FCF_EST",Q$2, "Options: Curr=USD")/1000/I24,"NA")</f>
        <v>NA</v>
      </c>
      <c r="R24" s="60" t="str">
        <f ca="1">IFERROR(_xll.SNL.Clients.Office.Excel.Functions.SPG($L24, "SP_FCF_EST",R$2, "Options: Curr=USD")/1000/I24,"NA")</f>
        <v>NA</v>
      </c>
      <c r="S24" s="57" t="e" cm="1">
        <f t="array" aca="1" ref="S24" ca="1">_xll.SNL.Clients.Office.Excel.Functions.SPG($L24, "SP_PE_FWD",S$2)</f>
        <v>#NAME?</v>
      </c>
      <c r="T24" s="58" t="e" cm="1">
        <f t="array" aca="1" ref="T24" ca="1">_xll.SNL.Clients.Office.Excel.Functions.SPG($L24, "SP_PE_FWD",T$2)</f>
        <v>#NAME?</v>
      </c>
      <c r="U24" s="59" t="e" cm="1">
        <f t="array" aca="1" ref="U24" ca="1">_xll.SNL.Clients.Office.Excel.Functions.SPG($L24, "SP_PE_FWD",U$2)</f>
        <v>#NAME?</v>
      </c>
      <c r="V24" s="103" t="e" cm="1">
        <f t="array" aca="1" ref="V24" ca="1">IF((_xll.SNL.Clients.Office.Excel.Functions.SPG($L24,$V$3,V$4,"Options: Curr=USD") / _xll.SNL.Clients.Office.Excel.Functions.SPG($L24,"SP_EBITDA_EST",V$2,"Options: Curr=USD")) &lt; 0, "NM", (_xll.SNL.Clients.Office.Excel.Functions.SPG($L24,$V$3,V$4,"Options: Curr=USD") / _xll.SNL.Clients.Office.Excel.Functions.SPG($L24,"SP_EBITDA_EST",V$2,"Options: Curr=USD")))</f>
        <v>#NAME?</v>
      </c>
      <c r="W24" s="104" t="e" cm="1">
        <f t="array" aca="1" ref="W24" ca="1">_xll.SNL.Clients.Office.Excel.Functions.SPG($L24, $W$3,W$4)</f>
        <v>#NAME?</v>
      </c>
      <c r="X24" s="58" t="e" cm="1">
        <f t="array" aca="1" ref="X24" ca="1">_xll.SNL.Clients.Office.Excel.Functions.SPG($L24, $X$3,X$2)</f>
        <v>#NAME?</v>
      </c>
      <c r="Y24" s="58" t="e" cm="1">
        <f t="array" aca="1" ref="Y24" ca="1">_xll.SNL.Clients.Office.Excel.Functions.SPG($L24, $X$3,Y$2)</f>
        <v>#NAME?</v>
      </c>
      <c r="Z24" s="59" t="e" cm="1">
        <f t="array" aca="1" ref="Z24" ca="1">_xll.SNL.Clients.Office.Excel.Functions.SPG($L24, $X$3,Z$2)</f>
        <v>#NAME?</v>
      </c>
      <c r="AA24" s="67" t="str">
        <f ca="1">IFERROR(0.001*AVERAGE(_xll.SNL.Clients.Office.Excel.Functions.SPG($L24,$AA$4,"Coal",AA$2),_xll.SNL.Clients.Office.Excel.Functions.SPG($L24,$AA$3,"Coal",AA$2)),"NA")</f>
        <v>NA</v>
      </c>
      <c r="AB24" s="67" t="str">
        <f ca="1">IFERROR(0.001*AVERAGE(_xll.SNL.Clients.Office.Excel.Functions.SPG($L24,$AA$4,"Coal",AB$2),_xll.SNL.Clients.Office.Excel.Functions.SPG($L24,$AA$3,"Coal",AB$2)),"NA")</f>
        <v>NA</v>
      </c>
      <c r="AC24" s="81" t="str">
        <f ca="1">IFERROR(0.001*AVERAGE(_xll.SNL.Clients.Office.Excel.Functions.SPG($L24,$AA$4,"Coal",AC$2),_xll.SNL.Clients.Office.Excel.Functions.SPG($L24,$AA$3,"Coal",AC$2)),"NA")</f>
        <v>NA</v>
      </c>
      <c r="AD24" s="67" t="e">
        <f ca="1" xml:space="preserve"> IF(ISNUMBER(SEARCH("na",_xll.SNL.Clients.Office.Excel.Functions.SPG($L24, $AD$4, AD$2))), 0,_xll.SNL.Clients.Office.Excel.Functions.SPG($L24, $AD$4, AD$2))</f>
        <v>#NAME?</v>
      </c>
      <c r="AE24" s="67" t="e">
        <f ca="1" xml:space="preserve"> IF(ISNUMBER(SEARCH("na",_xll.SNL.Clients.Office.Excel.Functions.SPG($L24, $AD$4, AE$2))), 0,_xll.SNL.Clients.Office.Excel.Functions.SPG($L24, $AD$4, AE$2))</f>
        <v>#NAME?</v>
      </c>
      <c r="AF24" s="67" t="e">
        <f ca="1" xml:space="preserve"> IF(ISNUMBER(SEARCH("na",_xll.SNL.Clients.Office.Excel.Functions.SPG($L24, $AD$4, AF$2))), 0,_xll.SNL.Clients.Office.Excel.Functions.SPG($L24, $AD$4, AF$2))</f>
        <v>#NAME?</v>
      </c>
      <c r="AG24" s="82" t="str">
        <f t="shared" ca="1" si="9"/>
        <v>NA</v>
      </c>
      <c r="AH24" s="83" t="str">
        <f t="shared" ca="1" si="9"/>
        <v>NA</v>
      </c>
      <c r="AI24" s="84" t="str">
        <f t="shared" ca="1" si="9"/>
        <v>NA</v>
      </c>
      <c r="AJ24" s="67">
        <f ca="1">IFERROR(_xll.SNL.Clients.Office.Excel.Functions.SPG($L24, $AJ$3, AJ$2,$AJ$4)/1000,0)</f>
        <v>0</v>
      </c>
      <c r="AK24" s="67">
        <f ca="1">IFERROR(_xll.SNL.Clients.Office.Excel.Functions.SPG($L24, $AK$3, AK$2,$AJ$4)/1000,0)</f>
        <v>0</v>
      </c>
      <c r="AL24" s="67">
        <f ca="1">IFERROR(_xll.SNL.Clients.Office.Excel.Functions.SPG($L24, $AL$3, AL$2,$AJ$4)/1000,0)</f>
        <v>0</v>
      </c>
      <c r="AM24" s="74" t="e">
        <f t="shared" ca="1" si="10"/>
        <v>#NAME?</v>
      </c>
      <c r="AN24" s="72" t="e">
        <f t="shared" ca="1" si="10"/>
        <v>#NAME?</v>
      </c>
      <c r="AO24" s="75" t="e">
        <f t="shared" ca="1" si="10"/>
        <v>#NAME?</v>
      </c>
      <c r="AP24" s="72" t="e">
        <f ca="1">_xll.SNL.Clients.Office.Excel.Functions.SPG($L24, $AP$3, AP$2, "Coal", "Options:Curr=USD")</f>
        <v>#NAME?</v>
      </c>
      <c r="AQ24" s="72" t="e">
        <f ca="1">_xll.SNL.Clients.Office.Excel.Functions.SPG($L24, $AP$3, AQ$2, "Coal", "Options:Curr=USD")</f>
        <v>#NAME?</v>
      </c>
      <c r="AR24" s="72" t="e">
        <f ca="1">_xll.SNL.Clients.Office.Excel.Functions.SPG($L24, $AP$3, AR$2, "Coal", "Options:Curr=USD")</f>
        <v>#NAME?</v>
      </c>
      <c r="AS24" s="74" t="str">
        <f ca="1">IFERROR(AVERAGE(_xll.SNL.Clients.Office.Excel.Functions.SPG($L24,$AS$4,"Coal",AS$2,"Options:Curr=USD"),_xll.SNL.Clients.Office.Excel.Functions.SPG($L24,$AS$3,"Coal",AS$2, "Options:Curr=USD")),"NA")</f>
        <v>NA</v>
      </c>
      <c r="AT24" s="72" t="str">
        <f ca="1">IFERROR(AVERAGE(_xll.SNL.Clients.Office.Excel.Functions.SPG($L24,$AS$4,"Coal",AT$2,"Options:Curr=USD"),_xll.SNL.Clients.Office.Excel.Functions.SPG($L24,$AS$3,"Coal",AT$2, "Options:Curr=USD")),"NA")</f>
        <v>NA</v>
      </c>
      <c r="AU24" s="75" t="str">
        <f ca="1">IFERROR(AVERAGE(_xll.SNL.Clients.Office.Excel.Functions.SPG($L24,$AS$4,"Coal",AU$2,"Options:Curr=USD"),_xll.SNL.Clients.Office.Excel.Functions.SPG($L24,$AS$3,"Coal",AU$2, "Options:Curr=USD")),"NA")</f>
        <v>NA</v>
      </c>
      <c r="AW24" s="76" t="s">
        <v>76</v>
      </c>
      <c r="AX24" s="76"/>
      <c r="AY24" s="77" t="s">
        <v>77</v>
      </c>
      <c r="AZ24" s="39"/>
    </row>
    <row r="25" spans="1:52" ht="14.4" x14ac:dyDescent="0.25">
      <c r="A25" s="51" t="e">
        <f ca="1">_xll.SNL.Clients.Office.Excel.Functions.SPG($L25, A$3)</f>
        <v>#NAME?</v>
      </c>
      <c r="B25" s="51" t="e">
        <f ca="1">_xll.BDP($K25,B$3)</f>
        <v>#NAME?</v>
      </c>
      <c r="C25" s="51" t="e">
        <f ca="1">_xll.BDP($K25,C$3)</f>
        <v>#NAME?</v>
      </c>
      <c r="D25" s="51" t="e">
        <f ca="1">_xll.BDP($K25,D$3)</f>
        <v>#NAME?</v>
      </c>
      <c r="E25" s="52" t="s">
        <v>140</v>
      </c>
      <c r="F25" s="52" t="s">
        <v>141</v>
      </c>
      <c r="G25" s="52" t="s">
        <v>72</v>
      </c>
      <c r="H25" s="53" t="e">
        <f ca="1">_xll.SNL.Clients.Office.Excel.Functions.SPG($L25, "IQ_TEV", "Options: Curr=USD")</f>
        <v>#NAME?</v>
      </c>
      <c r="I25" s="53" t="e">
        <f ca="1">_xll.SNL.Clients.Office.Excel.Functions.SPG($L25, "SP_MARKETCAP", "Options: Curr=USD")</f>
        <v>#NAME?</v>
      </c>
      <c r="J25" s="54" t="s">
        <v>142</v>
      </c>
      <c r="K25" s="55" t="s">
        <v>143</v>
      </c>
      <c r="L25" s="55" t="s">
        <v>144</v>
      </c>
      <c r="M25" s="56" t="str" cm="1">
        <f t="array" aca="1" ref="M25" ca="1">IFERROR(_xll.SNL.Clients.Office.Excel.Functions.SPG($L25, $M$3)/100,"NA")</f>
        <v>NA</v>
      </c>
      <c r="N25" s="57" t="e" cm="1">
        <f t="array" aca="1" ref="N25" ca="1">_xll.SNL.Clients.Office.Excel.Functions.SPG($L25, "SP_PCFPS_FWD",N$2)</f>
        <v>#NAME?</v>
      </c>
      <c r="O25" s="58" t="e" cm="1">
        <f t="array" aca="1" ref="O25" ca="1">_xll.SNL.Clients.Office.Excel.Functions.SPG($L25, "SP_PCFPS_FWD",O$2)</f>
        <v>#NAME?</v>
      </c>
      <c r="P25" s="59" t="e" cm="1">
        <f t="array" aca="1" ref="P25" ca="1">_xll.SNL.Clients.Office.Excel.Functions.SPG($L25, "SP_PCFPS_FWD",P$2)</f>
        <v>#NAME?</v>
      </c>
      <c r="Q25" s="60" t="str">
        <f ca="1">IFERROR(_xll.SNL.Clients.Office.Excel.Functions.SPG($L25, "SP_FCF_EST",Q$2, "Options: Curr=USD")/1000/I25,"NA")</f>
        <v>NA</v>
      </c>
      <c r="R25" s="60" t="str">
        <f ca="1">IFERROR(_xll.SNL.Clients.Office.Excel.Functions.SPG($L25, "SP_FCF_EST",R$2, "Options: Curr=USD")/1000/I25,"NA")</f>
        <v>NA</v>
      </c>
      <c r="S25" s="57" t="e" cm="1">
        <f t="array" aca="1" ref="S25" ca="1">_xll.SNL.Clients.Office.Excel.Functions.SPG($L25, "SP_PE_FWD",S$2)</f>
        <v>#NAME?</v>
      </c>
      <c r="T25" s="58" t="e" cm="1">
        <f t="array" aca="1" ref="T25" ca="1">_xll.SNL.Clients.Office.Excel.Functions.SPG($L25, "SP_PE_FWD",T$2)</f>
        <v>#NAME?</v>
      </c>
      <c r="U25" s="59" t="e" cm="1">
        <f t="array" aca="1" ref="U25" ca="1">_xll.SNL.Clients.Office.Excel.Functions.SPG($L25, "SP_PE_FWD",U$2)</f>
        <v>#NAME?</v>
      </c>
      <c r="V25" s="78" t="e" cm="1">
        <f t="array" aca="1" ref="V25" ca="1">IF((_xll.SNL.Clients.Office.Excel.Functions.SPG($L25,$V$3,V$4,"Options: Curr=USD") / _xll.SNL.Clients.Office.Excel.Functions.SPG($L25,"SP_EBITDA_EST",V$2,"Options: Curr=USD")) &lt; 0, "NM", (_xll.SNL.Clients.Office.Excel.Functions.SPG($L25,$V$3,V$4,"Options: Curr=USD") / _xll.SNL.Clients.Office.Excel.Functions.SPG($L25,"SP_EBITDA_EST",V$2,"Options: Curr=USD")))</f>
        <v>#NAME?</v>
      </c>
      <c r="W25" s="79" t="e" cm="1">
        <f t="array" aca="1" ref="W25" ca="1">_xll.SNL.Clients.Office.Excel.Functions.SPG($L25, $W$3,W$4)</f>
        <v>#NAME?</v>
      </c>
      <c r="X25" s="58" t="e" cm="1">
        <f t="array" aca="1" ref="X25" ca="1">_xll.SNL.Clients.Office.Excel.Functions.SPG($L25, $X$3,X$2)</f>
        <v>#NAME?</v>
      </c>
      <c r="Y25" s="58" t="e" cm="1">
        <f t="array" aca="1" ref="Y25" ca="1">_xll.SNL.Clients.Office.Excel.Functions.SPG($L25, $X$3,Y$2)</f>
        <v>#NAME?</v>
      </c>
      <c r="Z25" s="59" t="e" cm="1">
        <f t="array" aca="1" ref="Z25" ca="1">_xll.SNL.Clients.Office.Excel.Functions.SPG($L25, $X$3,Z$2)</f>
        <v>#NAME?</v>
      </c>
      <c r="AA25" s="67" t="str">
        <f ca="1">IFERROR(0.001*AVERAGE(_xll.SNL.Clients.Office.Excel.Functions.SPG($L25,$AA$4,"Coal",AA$2),_xll.SNL.Clients.Office.Excel.Functions.SPG($L25,$AA$3,"Coal",AA$2)),"NA")</f>
        <v>NA</v>
      </c>
      <c r="AB25" s="67" t="str">
        <f ca="1">IFERROR(0.001*AVERAGE(_xll.SNL.Clients.Office.Excel.Functions.SPG($L25,$AA$4,"Coal",AB$2),_xll.SNL.Clients.Office.Excel.Functions.SPG($L25,$AA$3,"Coal",AB$2)),"NA")</f>
        <v>NA</v>
      </c>
      <c r="AC25" s="81" t="str">
        <f ca="1">IFERROR(0.001*AVERAGE(_xll.SNL.Clients.Office.Excel.Functions.SPG($L25,$AA$4,"Coal",AC$2),_xll.SNL.Clients.Office.Excel.Functions.SPG($L25,$AA$3,"Coal",AC$2)),"NA")</f>
        <v>NA</v>
      </c>
      <c r="AD25" s="67" t="e">
        <f ca="1" xml:space="preserve"> IF(ISNUMBER(SEARCH("na",_xll.SNL.Clients.Office.Excel.Functions.SPG($L25, $AD$4, AD$2))), 0,_xll.SNL.Clients.Office.Excel.Functions.SPG($L25, $AD$4, AD$2))</f>
        <v>#NAME?</v>
      </c>
      <c r="AE25" s="67" t="e">
        <f ca="1" xml:space="preserve"> IF(ISNUMBER(SEARCH("na",_xll.SNL.Clients.Office.Excel.Functions.SPG($L25, $AD$4, AE$2))), 0,_xll.SNL.Clients.Office.Excel.Functions.SPG($L25, $AD$4, AE$2))</f>
        <v>#NAME?</v>
      </c>
      <c r="AF25" s="67" t="e">
        <f ca="1" xml:space="preserve"> IF(ISNUMBER(SEARCH("na",_xll.SNL.Clients.Office.Excel.Functions.SPG($L25, $AD$4, AF$2))), 0,_xll.SNL.Clients.Office.Excel.Functions.SPG($L25, $AD$4, AF$2))</f>
        <v>#NAME?</v>
      </c>
      <c r="AG25" s="82" t="str">
        <f t="shared" ca="1" si="9"/>
        <v>NA</v>
      </c>
      <c r="AH25" s="83" t="str">
        <f t="shared" ca="1" si="9"/>
        <v>NA</v>
      </c>
      <c r="AI25" s="84" t="str">
        <f t="shared" ca="1" si="9"/>
        <v>NA</v>
      </c>
      <c r="AJ25" s="67">
        <f ca="1">IFERROR(_xll.SNL.Clients.Office.Excel.Functions.SPG($L25, $AJ$3, AJ$2,$AJ$4)/1000,0)</f>
        <v>0</v>
      </c>
      <c r="AK25" s="67">
        <f ca="1">IFERROR(_xll.SNL.Clients.Office.Excel.Functions.SPG($L25, $AK$3, AK$2,$AJ$4)/1000,0)</f>
        <v>0</v>
      </c>
      <c r="AL25" s="67">
        <f ca="1">IFERROR(_xll.SNL.Clients.Office.Excel.Functions.SPG($L25, $AL$3, AL$2,$AJ$4)/1000,0)</f>
        <v>0</v>
      </c>
      <c r="AM25" s="105" t="e">
        <f t="shared" ca="1" si="10"/>
        <v>#NAME?</v>
      </c>
      <c r="AN25" s="106" t="e">
        <f t="shared" ca="1" si="10"/>
        <v>#NAME?</v>
      </c>
      <c r="AO25" s="107" t="e">
        <f t="shared" ca="1" si="10"/>
        <v>#NAME?</v>
      </c>
      <c r="AP25" s="72" t="e">
        <f ca="1">_xll.SNL.Clients.Office.Excel.Functions.SPG($L25, $AP$3, AP$2, "Coal", "Options:Curr=USD")</f>
        <v>#NAME?</v>
      </c>
      <c r="AQ25" s="72" t="e">
        <f ca="1">_xll.SNL.Clients.Office.Excel.Functions.SPG($L25, $AP$3, AQ$2, "Coal", "Options:Curr=USD")</f>
        <v>#NAME?</v>
      </c>
      <c r="AR25" s="72" t="e">
        <f ca="1">_xll.SNL.Clients.Office.Excel.Functions.SPG($L25, $AP$3, AR$2, "Coal", "Options:Curr=USD")</f>
        <v>#NAME?</v>
      </c>
      <c r="AS25" s="74" t="str">
        <f ca="1">IFERROR(AVERAGE(_xll.SNL.Clients.Office.Excel.Functions.SPG($L25,$AS$4,"Coal",AS$2,"Options:Curr=USD"),_xll.SNL.Clients.Office.Excel.Functions.SPG($L25,$AS$3,"Coal",AS$2, "Options:Curr=USD")),"NA")</f>
        <v>NA</v>
      </c>
      <c r="AT25" s="72" t="str">
        <f ca="1">IFERROR(AVERAGE(_xll.SNL.Clients.Office.Excel.Functions.SPG($L25,$AS$4,"Coal",AT$2,"Options:Curr=USD"),_xll.SNL.Clients.Office.Excel.Functions.SPG($L25,$AS$3,"Coal",AT$2, "Options:Curr=USD")),"NA")</f>
        <v>NA</v>
      </c>
      <c r="AU25" s="75" t="str">
        <f ca="1">IFERROR(AVERAGE(_xll.SNL.Clients.Office.Excel.Functions.SPG($L25,$AS$4,"Coal",AU$2,"Options:Curr=USD"),_xll.SNL.Clients.Office.Excel.Functions.SPG($L25,$AS$3,"Coal",AU$2, "Options:Curr=USD")),"NA")</f>
        <v>NA</v>
      </c>
      <c r="AW25" s="113" t="s">
        <v>76</v>
      </c>
      <c r="AX25" s="113"/>
      <c r="AY25" s="114" t="s">
        <v>83</v>
      </c>
      <c r="AZ25" s="115"/>
    </row>
    <row r="26" spans="1:52" x14ac:dyDescent="0.3">
      <c r="H26" s="116"/>
      <c r="I26" s="116"/>
      <c r="J26" s="86"/>
      <c r="K26" s="86"/>
      <c r="L26" s="86" t="s">
        <v>84</v>
      </c>
      <c r="M26" s="117" t="e">
        <f ca="1">AVERAGE(M19:M25)</f>
        <v>#DIV/0!</v>
      </c>
      <c r="N26" s="88" t="e" cm="1">
        <f t="array" aca="1" ref="N26" ca="1">AVERAGE(IFERROR(N19:N25, ""))</f>
        <v>#DIV/0!</v>
      </c>
      <c r="O26" s="89" t="e" cm="1">
        <f t="array" aca="1" ref="O26" ca="1">AVERAGE(IFERROR(O19:O25, ""))</f>
        <v>#DIV/0!</v>
      </c>
      <c r="P26" s="90" t="e" cm="1">
        <f t="array" aca="1" ref="P26" ca="1">AVERAGE(IFERROR(P19:P25, ""))</f>
        <v>#DIV/0!</v>
      </c>
      <c r="Q26" s="91" t="e">
        <f ca="1">AVERAGE(Q19:Q25)</f>
        <v>#DIV/0!</v>
      </c>
      <c r="R26" s="91" t="e">
        <f ca="1">AVERAGE(R19:R25)</f>
        <v>#DIV/0!</v>
      </c>
      <c r="S26" s="88" t="e" cm="1">
        <f t="array" aca="1" ref="S26" ca="1">AVERAGE(IFERROR(S19:S25, ""))</f>
        <v>#DIV/0!</v>
      </c>
      <c r="T26" s="89" t="e" cm="1">
        <f t="array" aca="1" ref="T26" ca="1">AVERAGE(IFERROR(T19:T25, ""))</f>
        <v>#DIV/0!</v>
      </c>
      <c r="U26" s="90" t="e" cm="1">
        <f t="array" aca="1" ref="U26" ca="1">AVERAGE(IFERROR(U19:U25, ""))</f>
        <v>#DIV/0!</v>
      </c>
      <c r="V26" s="89"/>
      <c r="W26" s="89"/>
      <c r="X26" s="92" t="e">
        <f ca="1">AVERAGE(X18:X25)</f>
        <v>#NAME?</v>
      </c>
      <c r="Y26" s="92" t="e">
        <f ca="1">AVERAGE(Y18:Y25)</f>
        <v>#NAME?</v>
      </c>
      <c r="Z26" s="99" t="e">
        <f ca="1">AVERAGE(Z18:Z25)</f>
        <v>#NAME?</v>
      </c>
      <c r="AA26" s="93" t="e" cm="1">
        <f t="array" aca="1" ref="AA26" ca="1">AVERAGE(IFERROR(AA19:AA25, ""))</f>
        <v>#DIV/0!</v>
      </c>
      <c r="AB26" s="93" t="e" cm="1">
        <f t="array" aca="1" ref="AB26" ca="1">AVERAGE(IFERROR(AB19:AB25, ""))</f>
        <v>#DIV/0!</v>
      </c>
      <c r="AC26" s="94" t="e" cm="1">
        <f t="array" aca="1" ref="AC26" ca="1">AVERAGE(IFERROR(AC19:AC25, ""))</f>
        <v>#DIV/0!</v>
      </c>
      <c r="AD26" s="93" t="e" cm="1">
        <f t="array" aca="1" ref="AD26" ca="1">AVERAGE(IFERROR(AD19:AD25, ""))</f>
        <v>#DIV/0!</v>
      </c>
      <c r="AE26" s="93" t="e" cm="1">
        <f t="array" aca="1" ref="AE26" ca="1">AVERAGE(IFERROR(AE19:AE25, ""))</f>
        <v>#DIV/0!</v>
      </c>
      <c r="AF26" s="94" t="e" cm="1">
        <f t="array" aca="1" ref="AF26" ca="1">AVERAGE(IFERROR(AF19:AF25, ""))</f>
        <v>#DIV/0!</v>
      </c>
      <c r="AG26" s="93" t="e" cm="1">
        <f t="array" aca="1" ref="AG26" ca="1">AVERAGE(IFERROR(AG19:AG25, ""))</f>
        <v>#DIV/0!</v>
      </c>
      <c r="AH26" s="93" t="e" cm="1">
        <f t="array" aca="1" ref="AH26" ca="1">AVERAGE(IFERROR(AH19:AH25, ""))</f>
        <v>#DIV/0!</v>
      </c>
      <c r="AI26" s="94" t="e" cm="1">
        <f t="array" aca="1" ref="AI26" ca="1">AVERAGE(IFERROR(AI19:AI25, ""))</f>
        <v>#DIV/0!</v>
      </c>
      <c r="AJ26" s="97"/>
      <c r="AK26" s="97"/>
      <c r="AM26" s="92" t="e" cm="1">
        <f t="array" aca="1" ref="AM26" ca="1">AVERAGE(IFERROR(AM19:AM25, ""))</f>
        <v>#DIV/0!</v>
      </c>
      <c r="AN26" s="92" t="e" cm="1">
        <f t="array" aca="1" ref="AN26" ca="1">AVERAGE(IFERROR(AN19:AN25, ""))</f>
        <v>#DIV/0!</v>
      </c>
      <c r="AO26" s="92" t="e" cm="1">
        <f t="array" aca="1" ref="AO26" ca="1">AVERAGE(IFERROR(AO19:AO25, ""))</f>
        <v>#DIV/0!</v>
      </c>
      <c r="AP26" s="92" t="e" cm="1">
        <f t="array" aca="1" ref="AP26" ca="1">AVERAGE(IFERROR(AP19:AP25, ""))</f>
        <v>#DIV/0!</v>
      </c>
      <c r="AQ26" s="92" t="e" cm="1">
        <f t="array" aca="1" ref="AQ26" ca="1">AVERAGE(IFERROR(AQ19:AQ25, ""))</f>
        <v>#DIV/0!</v>
      </c>
      <c r="AR26" s="92" t="e" cm="1">
        <f t="array" aca="1" ref="AR26" ca="1">AVERAGE(IFERROR(AR19:AR25, ""))</f>
        <v>#DIV/0!</v>
      </c>
      <c r="AS26" s="98" t="e" cm="1">
        <f t="array" aca="1" ref="AS26" ca="1">AVERAGE(IFERROR(AS19:AS25, ""))</f>
        <v>#DIV/0!</v>
      </c>
      <c r="AT26" s="92" t="e" cm="1">
        <f t="array" aca="1" ref="AT26" ca="1">AVERAGE(IFERROR(AT19:AT25, ""))</f>
        <v>#DIV/0!</v>
      </c>
      <c r="AU26" s="99" t="e" cm="1">
        <f t="array" aca="1" ref="AU26" ca="1">AVERAGE(IFERROR(AU19:AU25, ""))</f>
        <v>#DIV/0!</v>
      </c>
    </row>
    <row r="27" spans="1:52" s="118" customFormat="1" x14ac:dyDescent="0.3">
      <c r="J27" s="119"/>
      <c r="K27" s="119"/>
      <c r="L27" s="119"/>
      <c r="M27" s="120"/>
      <c r="N27" s="121"/>
      <c r="O27" s="121"/>
      <c r="P27" s="121"/>
      <c r="Q27" s="122"/>
      <c r="R27" s="122"/>
      <c r="S27" s="121"/>
      <c r="T27" s="121"/>
      <c r="U27" s="121"/>
      <c r="V27" s="121"/>
      <c r="W27" s="121"/>
      <c r="X27" s="121"/>
      <c r="Y27" s="121"/>
      <c r="Z27" s="121"/>
      <c r="AA27" s="123"/>
      <c r="AB27" s="123"/>
      <c r="AC27" s="123"/>
      <c r="AD27" s="123"/>
      <c r="AE27" s="123"/>
      <c r="AF27" s="123"/>
      <c r="AG27" s="124"/>
      <c r="AH27" s="124"/>
      <c r="AI27" s="124"/>
      <c r="AJ27" s="123"/>
      <c r="AK27" s="123"/>
      <c r="AM27" s="123"/>
      <c r="AN27" s="123"/>
      <c r="AO27" s="123"/>
      <c r="AP27" s="123"/>
      <c r="AQ27" s="123"/>
      <c r="AR27" s="123"/>
      <c r="AS27" s="123"/>
      <c r="AT27" s="123"/>
      <c r="AU27" s="123"/>
    </row>
  </sheetData>
  <mergeCells count="18">
    <mergeCell ref="AA1:AC1"/>
    <mergeCell ref="AD1:AF1"/>
    <mergeCell ref="AG1:AI1"/>
    <mergeCell ref="AM1:AO1"/>
    <mergeCell ref="AP1:AR1"/>
    <mergeCell ref="AS1:AU1"/>
    <mergeCell ref="I1:I2"/>
    <mergeCell ref="M1:M2"/>
    <mergeCell ref="N1:P1"/>
    <mergeCell ref="Q1:R1"/>
    <mergeCell ref="S1:U1"/>
    <mergeCell ref="X1:Z1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2026-02-20T08:49:26Z</dcterms:created>
  <dcterms:modified xsi:type="dcterms:W3CDTF">2026-02-20T08:49:28Z</dcterms:modified>
</cp:coreProperties>
</file>