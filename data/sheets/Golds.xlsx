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7B814969-8457-427E-8170-891C3C74FBCC}" xr6:coauthVersionLast="47" xr6:coauthVersionMax="47" xr10:uidLastSave="{00000000-0000-0000-0000-000000000000}"/>
  <bookViews>
    <workbookView xWindow="-108" yWindow="-108" windowWidth="23256" windowHeight="12456" xr2:uid="{5D8CF308-3EEA-42AA-BE5B-60A8F1B2DFAA}"/>
  </bookViews>
  <sheets>
    <sheet name="Golds" sheetId="1" r:id="rId1"/>
  </sheets>
  <externalReferences>
    <externalReference r:id="rId2"/>
    <externalReference r:id="rId3"/>
  </externalReferences>
  <definedNames>
    <definedName name="_xlnm._FilterDatabase" localSheetId="0" hidden="1">Golds!$BV$5:$BX$72</definedName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_xlnm.Print_Area" localSheetId="0">Golds!$J$1:$BT$73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T72" i="1" l="1"/>
  <c r="BS72" i="1"/>
  <c r="BR72" i="1"/>
  <c r="BQ72" i="1"/>
  <c r="BP72" i="1"/>
  <c r="BO72" i="1"/>
  <c r="BN72" i="1"/>
  <c r="BH72" i="1"/>
  <c r="BK72" i="1" s="1"/>
  <c r="BG72" i="1"/>
  <c r="BF72" i="1"/>
  <c r="BE72" i="1"/>
  <c r="BD72" i="1"/>
  <c r="BC72" i="1"/>
  <c r="BJ72" i="1" s="1"/>
  <c r="BB72" i="1"/>
  <c r="BA72" i="1"/>
  <c r="AZ72" i="1"/>
  <c r="AY72" i="1"/>
  <c r="BI72" i="1" s="1"/>
  <c r="AX72" i="1"/>
  <c r="AW72" i="1"/>
  <c r="AV72" i="1"/>
  <c r="AU72" i="1"/>
  <c r="AT72" i="1"/>
  <c r="AS72" i="1"/>
  <c r="AL72" i="1"/>
  <c r="AK72" i="1"/>
  <c r="AJ72" i="1"/>
  <c r="AI72" i="1"/>
  <c r="AO72" i="1" s="1"/>
  <c r="AR72" i="1" s="1"/>
  <c r="AH72" i="1"/>
  <c r="AG72" i="1"/>
  <c r="AM72" i="1" s="1"/>
  <c r="AF72" i="1"/>
  <c r="AE72" i="1"/>
  <c r="AN72" i="1" s="1"/>
  <c r="AQ72" i="1" s="1"/>
  <c r="AD72" i="1"/>
  <c r="AC72" i="1"/>
  <c r="AB72" i="1"/>
  <c r="AA72" i="1"/>
  <c r="Z72" i="1" a="1"/>
  <c r="Z72" i="1" s="1"/>
  <c r="Y72" i="1" a="1"/>
  <c r="Y72" i="1" s="1"/>
  <c r="X72" i="1" a="1"/>
  <c r="X72" i="1" s="1"/>
  <c r="W72" i="1" a="1"/>
  <c r="W72" i="1" s="1"/>
  <c r="V72" i="1" a="1"/>
  <c r="V72" i="1" s="1"/>
  <c r="U72" i="1" a="1"/>
  <c r="U72" i="1" s="1"/>
  <c r="T72" i="1" a="1"/>
  <c r="T72" i="1" s="1"/>
  <c r="S72" i="1"/>
  <c r="R72" i="1"/>
  <c r="P72" i="1"/>
  <c r="P72" i="1" a="1"/>
  <c r="O72" i="1"/>
  <c r="O72" i="1" a="1"/>
  <c r="N72" i="1" a="1"/>
  <c r="N72" i="1" s="1"/>
  <c r="M72" i="1"/>
  <c r="M72" i="1" a="1"/>
  <c r="I72" i="1"/>
  <c r="Q72" i="1" s="1"/>
  <c r="H72" i="1"/>
  <c r="AP72" i="1" s="1"/>
  <c r="D72" i="1"/>
  <c r="C72" i="1"/>
  <c r="B72" i="1"/>
  <c r="A72" i="1"/>
  <c r="BT71" i="1"/>
  <c r="BS71" i="1"/>
  <c r="BR71" i="1"/>
  <c r="BQ71" i="1"/>
  <c r="BP71" i="1"/>
  <c r="BO71" i="1"/>
  <c r="BN71" i="1"/>
  <c r="BG71" i="1"/>
  <c r="BF71" i="1"/>
  <c r="BE71" i="1"/>
  <c r="BD71" i="1"/>
  <c r="BJ71" i="1" s="1"/>
  <c r="BC71" i="1"/>
  <c r="BB71" i="1"/>
  <c r="BA71" i="1"/>
  <c r="AZ71" i="1"/>
  <c r="AY71" i="1"/>
  <c r="AX71" i="1"/>
  <c r="AW71" i="1"/>
  <c r="AV71" i="1"/>
  <c r="AU71" i="1"/>
  <c r="AT71" i="1"/>
  <c r="BH71" i="1" s="1"/>
  <c r="AS71" i="1"/>
  <c r="AN71" i="1"/>
  <c r="AL71" i="1"/>
  <c r="AK71" i="1"/>
  <c r="AJ71" i="1"/>
  <c r="AI71" i="1"/>
  <c r="AH71" i="1"/>
  <c r="AG71" i="1"/>
  <c r="AF71" i="1"/>
  <c r="AO71" i="1" s="1"/>
  <c r="AE71" i="1"/>
  <c r="AD71" i="1"/>
  <c r="AM71" i="1" s="1"/>
  <c r="AC71" i="1"/>
  <c r="AB71" i="1"/>
  <c r="AA71" i="1"/>
  <c r="Z71" i="1" a="1"/>
  <c r="Z71" i="1" s="1"/>
  <c r="Y71" i="1"/>
  <c r="Y71" i="1" a="1"/>
  <c r="X71" i="1"/>
  <c r="X71" i="1" a="1"/>
  <c r="W71" i="1"/>
  <c r="W71" i="1" a="1"/>
  <c r="V71" i="1" a="1"/>
  <c r="V71" i="1" s="1"/>
  <c r="U71" i="1"/>
  <c r="U71" i="1" a="1"/>
  <c r="T71" i="1"/>
  <c r="T71" i="1" a="1"/>
  <c r="P71" i="1" a="1"/>
  <c r="P71" i="1" s="1"/>
  <c r="O71" i="1" a="1"/>
  <c r="O71" i="1" s="1"/>
  <c r="N71" i="1" a="1"/>
  <c r="N71" i="1" s="1"/>
  <c r="M71" i="1" a="1"/>
  <c r="M71" i="1" s="1"/>
  <c r="I71" i="1"/>
  <c r="S71" i="1" s="1"/>
  <c r="H71" i="1"/>
  <c r="BK71" i="1" s="1"/>
  <c r="D71" i="1"/>
  <c r="C71" i="1"/>
  <c r="B71" i="1"/>
  <c r="A71" i="1"/>
  <c r="BT70" i="1"/>
  <c r="BS70" i="1"/>
  <c r="BR70" i="1"/>
  <c r="BQ70" i="1"/>
  <c r="BP70" i="1"/>
  <c r="BO70" i="1"/>
  <c r="BN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BH70" i="1" s="1"/>
  <c r="AL70" i="1"/>
  <c r="AK70" i="1"/>
  <c r="AJ70" i="1"/>
  <c r="AI70" i="1"/>
  <c r="AO70" i="1" s="1"/>
  <c r="AH70" i="1"/>
  <c r="AG70" i="1"/>
  <c r="AF70" i="1"/>
  <c r="AE70" i="1"/>
  <c r="AN70" i="1" s="1"/>
  <c r="AQ70" i="1" s="1"/>
  <c r="AD70" i="1"/>
  <c r="AM70" i="1" s="1"/>
  <c r="AC70" i="1"/>
  <c r="AB70" i="1"/>
  <c r="AA70" i="1"/>
  <c r="Z70" i="1" a="1"/>
  <c r="Z70" i="1" s="1"/>
  <c r="Y70" i="1" a="1"/>
  <c r="Y70" i="1" s="1"/>
  <c r="X70" i="1" a="1"/>
  <c r="X70" i="1" s="1"/>
  <c r="W70" i="1" a="1"/>
  <c r="W70" i="1" s="1"/>
  <c r="V70" i="1" a="1"/>
  <c r="V70" i="1" s="1"/>
  <c r="U70" i="1" a="1"/>
  <c r="U70" i="1" s="1"/>
  <c r="T70" i="1" a="1"/>
  <c r="T70" i="1" s="1"/>
  <c r="R70" i="1"/>
  <c r="P70" i="1"/>
  <c r="P70" i="1" a="1"/>
  <c r="O70" i="1" a="1"/>
  <c r="O70" i="1" s="1"/>
  <c r="N70" i="1"/>
  <c r="N70" i="1" a="1"/>
  <c r="M70" i="1"/>
  <c r="M70" i="1" a="1"/>
  <c r="I70" i="1"/>
  <c r="S70" i="1" s="1"/>
  <c r="H70" i="1"/>
  <c r="D70" i="1"/>
  <c r="C70" i="1"/>
  <c r="B70" i="1"/>
  <c r="A70" i="1"/>
  <c r="BT69" i="1"/>
  <c r="BS69" i="1"/>
  <c r="BR69" i="1"/>
  <c r="BQ69" i="1"/>
  <c r="BP69" i="1"/>
  <c r="BO69" i="1"/>
  <c r="BN69" i="1"/>
  <c r="BH69" i="1"/>
  <c r="BG69" i="1"/>
  <c r="BF69" i="1"/>
  <c r="BE69" i="1"/>
  <c r="BD69" i="1"/>
  <c r="BJ69" i="1" s="1"/>
  <c r="BC69" i="1"/>
  <c r="BB69" i="1"/>
  <c r="BA69" i="1"/>
  <c r="AZ69" i="1"/>
  <c r="AY69" i="1"/>
  <c r="AX69" i="1"/>
  <c r="BI69" i="1" s="1"/>
  <c r="AW69" i="1"/>
  <c r="AV69" i="1"/>
  <c r="AU69" i="1"/>
  <c r="AT69" i="1"/>
  <c r="AS69" i="1"/>
  <c r="AL69" i="1"/>
  <c r="AK69" i="1"/>
  <c r="AJ69" i="1"/>
  <c r="AI69" i="1"/>
  <c r="AH69" i="1"/>
  <c r="AN69" i="1" s="1"/>
  <c r="AQ69" i="1" s="1"/>
  <c r="AG69" i="1"/>
  <c r="AF69" i="1"/>
  <c r="AO69" i="1" s="1"/>
  <c r="AR69" i="1" s="1"/>
  <c r="AE69" i="1"/>
  <c r="AD69" i="1"/>
  <c r="AM69" i="1" s="1"/>
  <c r="AP69" i="1" s="1"/>
  <c r="AC69" i="1"/>
  <c r="AB69" i="1"/>
  <c r="AA69" i="1"/>
  <c r="Z69" i="1"/>
  <c r="Z69" i="1" a="1"/>
  <c r="Y69" i="1"/>
  <c r="Y69" i="1" a="1"/>
  <c r="X69" i="1"/>
  <c r="X69" i="1" a="1"/>
  <c r="W69" i="1" a="1"/>
  <c r="W69" i="1" s="1"/>
  <c r="V69" i="1"/>
  <c r="V69" i="1" a="1"/>
  <c r="U69" i="1"/>
  <c r="U69" i="1" a="1"/>
  <c r="T69" i="1" a="1"/>
  <c r="T69" i="1" s="1"/>
  <c r="S69" i="1"/>
  <c r="R69" i="1"/>
  <c r="Q69" i="1"/>
  <c r="P69" i="1" a="1"/>
  <c r="P69" i="1" s="1"/>
  <c r="O69" i="1" a="1"/>
  <c r="O69" i="1" s="1"/>
  <c r="N69" i="1" a="1"/>
  <c r="N69" i="1" s="1"/>
  <c r="M69" i="1" a="1"/>
  <c r="M69" i="1" s="1"/>
  <c r="I69" i="1"/>
  <c r="H69" i="1"/>
  <c r="D69" i="1"/>
  <c r="C69" i="1"/>
  <c r="B69" i="1"/>
  <c r="A69" i="1"/>
  <c r="BT68" i="1"/>
  <c r="BS68" i="1"/>
  <c r="BR68" i="1"/>
  <c r="BQ68" i="1"/>
  <c r="BP68" i="1"/>
  <c r="BO68" i="1"/>
  <c r="BN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BH68" i="1" s="1"/>
  <c r="BK68" i="1" s="1"/>
  <c r="AM68" i="1"/>
  <c r="AL68" i="1"/>
  <c r="AK68" i="1"/>
  <c r="AJ68" i="1"/>
  <c r="AI68" i="1"/>
  <c r="AH68" i="1"/>
  <c r="AG68" i="1"/>
  <c r="AF68" i="1"/>
  <c r="AO68" i="1" s="1"/>
  <c r="AE68" i="1"/>
  <c r="AN68" i="1" s="1"/>
  <c r="AD68" i="1"/>
  <c r="AC68" i="1"/>
  <c r="AB68" i="1"/>
  <c r="AA68" i="1"/>
  <c r="Z68" i="1" a="1"/>
  <c r="Z68" i="1" s="1"/>
  <c r="Y68" i="1" a="1"/>
  <c r="Y68" i="1" s="1"/>
  <c r="X68" i="1" a="1"/>
  <c r="X68" i="1" s="1"/>
  <c r="W68" i="1" a="1"/>
  <c r="W68" i="1" s="1"/>
  <c r="V68" i="1" a="1"/>
  <c r="V68" i="1" s="1"/>
  <c r="U68" i="1" a="1"/>
  <c r="U68" i="1" s="1"/>
  <c r="T68" i="1" a="1"/>
  <c r="T68" i="1" s="1"/>
  <c r="P68" i="1" a="1"/>
  <c r="P68" i="1" s="1"/>
  <c r="O68" i="1"/>
  <c r="O68" i="1" a="1"/>
  <c r="N68" i="1"/>
  <c r="N68" i="1" a="1"/>
  <c r="M68" i="1"/>
  <c r="M68" i="1" a="1"/>
  <c r="I68" i="1"/>
  <c r="S68" i="1" s="1"/>
  <c r="H68" i="1"/>
  <c r="D68" i="1"/>
  <c r="C68" i="1"/>
  <c r="B68" i="1"/>
  <c r="A68" i="1"/>
  <c r="BT67" i="1"/>
  <c r="BS67" i="1"/>
  <c r="BR67" i="1"/>
  <c r="BQ67" i="1"/>
  <c r="BP67" i="1"/>
  <c r="BO67" i="1"/>
  <c r="BN67" i="1"/>
  <c r="BH67" i="1"/>
  <c r="BJ67" i="1" s="1"/>
  <c r="BG67" i="1"/>
  <c r="BF67" i="1"/>
  <c r="BE67" i="1"/>
  <c r="BD67" i="1"/>
  <c r="BC67" i="1"/>
  <c r="BB67" i="1"/>
  <c r="BA67" i="1"/>
  <c r="AZ67" i="1"/>
  <c r="BI67" i="1" s="1"/>
  <c r="AY67" i="1"/>
  <c r="AX67" i="1"/>
  <c r="AW67" i="1"/>
  <c r="AV67" i="1"/>
  <c r="AU67" i="1"/>
  <c r="AT67" i="1"/>
  <c r="AS67" i="1"/>
  <c r="AL67" i="1"/>
  <c r="AK67" i="1"/>
  <c r="AJ67" i="1"/>
  <c r="AI67" i="1"/>
  <c r="AH67" i="1"/>
  <c r="AN67" i="1" s="1"/>
  <c r="AQ67" i="1" s="1"/>
  <c r="AG67" i="1"/>
  <c r="AF67" i="1"/>
  <c r="AO67" i="1" s="1"/>
  <c r="AR67" i="1" s="1"/>
  <c r="AE67" i="1"/>
  <c r="AD67" i="1"/>
  <c r="AC67" i="1"/>
  <c r="AB67" i="1"/>
  <c r="AA67" i="1"/>
  <c r="Z67" i="1"/>
  <c r="Z67" i="1" a="1"/>
  <c r="Y67" i="1"/>
  <c r="Y67" i="1" a="1"/>
  <c r="X67" i="1" a="1"/>
  <c r="X67" i="1" s="1"/>
  <c r="W67" i="1"/>
  <c r="W67" i="1" a="1"/>
  <c r="V67" i="1"/>
  <c r="V67" i="1" a="1"/>
  <c r="U67" i="1" a="1"/>
  <c r="U67" i="1" s="1"/>
  <c r="T67" i="1" a="1"/>
  <c r="T67" i="1" s="1"/>
  <c r="S67" i="1"/>
  <c r="R67" i="1"/>
  <c r="Q67" i="1"/>
  <c r="P67" i="1" a="1"/>
  <c r="P67" i="1" s="1"/>
  <c r="O67" i="1" a="1"/>
  <c r="O67" i="1" s="1"/>
  <c r="N67" i="1"/>
  <c r="N67" i="1" a="1"/>
  <c r="M67" i="1" a="1"/>
  <c r="M67" i="1" s="1"/>
  <c r="I67" i="1"/>
  <c r="H67" i="1"/>
  <c r="D67" i="1"/>
  <c r="C67" i="1"/>
  <c r="B67" i="1"/>
  <c r="A67" i="1"/>
  <c r="BT66" i="1"/>
  <c r="BS66" i="1"/>
  <c r="BR66" i="1"/>
  <c r="BQ66" i="1"/>
  <c r="BP66" i="1"/>
  <c r="BO66" i="1"/>
  <c r="BN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P66" i="1"/>
  <c r="AO66" i="1"/>
  <c r="AL66" i="1"/>
  <c r="AK66" i="1"/>
  <c r="AJ66" i="1"/>
  <c r="AI66" i="1"/>
  <c r="AH66" i="1"/>
  <c r="AG66" i="1"/>
  <c r="AM66" i="1" s="1"/>
  <c r="AF66" i="1"/>
  <c r="AE66" i="1"/>
  <c r="AD66" i="1"/>
  <c r="AC66" i="1"/>
  <c r="AB66" i="1"/>
  <c r="AA66" i="1"/>
  <c r="Z66" i="1"/>
  <c r="Z66" i="1" a="1"/>
  <c r="Y66" i="1" a="1"/>
  <c r="Y66" i="1" s="1"/>
  <c r="X66" i="1" a="1"/>
  <c r="X66" i="1" s="1"/>
  <c r="W66" i="1" a="1"/>
  <c r="W66" i="1" s="1"/>
  <c r="V66" i="1"/>
  <c r="V66" i="1" a="1"/>
  <c r="U66" i="1" a="1"/>
  <c r="U66" i="1" s="1"/>
  <c r="T66" i="1" a="1"/>
  <c r="T66" i="1" s="1"/>
  <c r="S66" i="1"/>
  <c r="P66" i="1"/>
  <c r="P66" i="1" a="1"/>
  <c r="O66" i="1"/>
  <c r="O66" i="1" a="1"/>
  <c r="N66" i="1"/>
  <c r="N66" i="1" a="1"/>
  <c r="M66" i="1" a="1"/>
  <c r="M66" i="1" s="1"/>
  <c r="I66" i="1"/>
  <c r="R66" i="1" s="1"/>
  <c r="H66" i="1"/>
  <c r="D66" i="1"/>
  <c r="C66" i="1"/>
  <c r="B66" i="1"/>
  <c r="A66" i="1"/>
  <c r="BT65" i="1"/>
  <c r="BS65" i="1"/>
  <c r="BR65" i="1"/>
  <c r="BQ65" i="1"/>
  <c r="BP65" i="1"/>
  <c r="BO65" i="1"/>
  <c r="BN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M65" i="1"/>
  <c r="AL65" i="1"/>
  <c r="AK65" i="1"/>
  <c r="AJ65" i="1"/>
  <c r="AI65" i="1"/>
  <c r="AH65" i="1"/>
  <c r="AG65" i="1"/>
  <c r="AF65" i="1"/>
  <c r="AO65" i="1" s="1"/>
  <c r="AE65" i="1"/>
  <c r="AN65" i="1" s="1"/>
  <c r="AD65" i="1"/>
  <c r="AC65" i="1"/>
  <c r="AB65" i="1"/>
  <c r="AA65" i="1"/>
  <c r="Z65" i="1"/>
  <c r="Z65" i="1" a="1"/>
  <c r="Y65" i="1" a="1"/>
  <c r="Y65" i="1" s="1"/>
  <c r="X65" i="1"/>
  <c r="X65" i="1" a="1"/>
  <c r="W65" i="1"/>
  <c r="W65" i="1" a="1"/>
  <c r="V65" i="1"/>
  <c r="V65" i="1" a="1"/>
  <c r="U65" i="1" a="1"/>
  <c r="U65" i="1" s="1"/>
  <c r="T65" i="1"/>
  <c r="T65" i="1" a="1"/>
  <c r="S65" i="1"/>
  <c r="Q65" i="1"/>
  <c r="P65" i="1" a="1"/>
  <c r="P65" i="1" s="1"/>
  <c r="O65" i="1" a="1"/>
  <c r="O65" i="1" s="1"/>
  <c r="N65" i="1" a="1"/>
  <c r="N65" i="1" s="1"/>
  <c r="M65" i="1" a="1"/>
  <c r="M65" i="1" s="1"/>
  <c r="I65" i="1"/>
  <c r="R65" i="1" s="1"/>
  <c r="H65" i="1"/>
  <c r="D65" i="1"/>
  <c r="C65" i="1"/>
  <c r="B65" i="1"/>
  <c r="A65" i="1"/>
  <c r="BT64" i="1"/>
  <c r="BS64" i="1"/>
  <c r="BR64" i="1"/>
  <c r="BQ64" i="1"/>
  <c r="BP64" i="1"/>
  <c r="BO64" i="1"/>
  <c r="BN64" i="1"/>
  <c r="BH64" i="1"/>
  <c r="BK64" i="1" s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L64" i="1"/>
  <c r="AK64" i="1"/>
  <c r="AJ64" i="1"/>
  <c r="AI64" i="1"/>
  <c r="AO64" i="1" s="1"/>
  <c r="AH64" i="1"/>
  <c r="AG64" i="1"/>
  <c r="AF64" i="1"/>
  <c r="AE64" i="1"/>
  <c r="AN64" i="1" s="1"/>
  <c r="AQ64" i="1" s="1"/>
  <c r="AD64" i="1"/>
  <c r="AM64" i="1" s="1"/>
  <c r="AP64" i="1" s="1"/>
  <c r="AC64" i="1"/>
  <c r="AB64" i="1"/>
  <c r="AA64" i="1"/>
  <c r="Z64" i="1" a="1"/>
  <c r="Z64" i="1" s="1"/>
  <c r="Y64" i="1" a="1"/>
  <c r="Y64" i="1" s="1"/>
  <c r="X64" i="1" a="1"/>
  <c r="X64" i="1" s="1"/>
  <c r="W64" i="1" a="1"/>
  <c r="W64" i="1" s="1"/>
  <c r="V64" i="1" a="1"/>
  <c r="V64" i="1" s="1"/>
  <c r="U64" i="1" a="1"/>
  <c r="U64" i="1" s="1"/>
  <c r="T64" i="1" a="1"/>
  <c r="T64" i="1" s="1"/>
  <c r="S64" i="1"/>
  <c r="R64" i="1"/>
  <c r="P64" i="1"/>
  <c r="P64" i="1" a="1"/>
  <c r="O64" i="1"/>
  <c r="O64" i="1" a="1"/>
  <c r="N64" i="1" a="1"/>
  <c r="N64" i="1" s="1"/>
  <c r="M64" i="1"/>
  <c r="M64" i="1" a="1"/>
  <c r="I64" i="1"/>
  <c r="Q64" i="1" s="1"/>
  <c r="H64" i="1"/>
  <c r="D64" i="1"/>
  <c r="C64" i="1"/>
  <c r="B64" i="1"/>
  <c r="A64" i="1"/>
  <c r="BT63" i="1"/>
  <c r="BS63" i="1"/>
  <c r="BR63" i="1"/>
  <c r="BQ63" i="1"/>
  <c r="BP63" i="1"/>
  <c r="BO63" i="1"/>
  <c r="BN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BH63" i="1" s="1"/>
  <c r="AS63" i="1"/>
  <c r="AN63" i="1"/>
  <c r="AL63" i="1"/>
  <c r="AK63" i="1"/>
  <c r="AJ63" i="1"/>
  <c r="AI63" i="1"/>
  <c r="AH63" i="1"/>
  <c r="AG63" i="1"/>
  <c r="AF63" i="1"/>
  <c r="AO63" i="1" s="1"/>
  <c r="AE63" i="1"/>
  <c r="AD63" i="1"/>
  <c r="AM63" i="1" s="1"/>
  <c r="AC63" i="1"/>
  <c r="AB63" i="1"/>
  <c r="AA63" i="1"/>
  <c r="Z63" i="1" a="1"/>
  <c r="Z63" i="1" s="1"/>
  <c r="Y63" i="1"/>
  <c r="Y63" i="1" a="1"/>
  <c r="X63" i="1"/>
  <c r="X63" i="1" a="1"/>
  <c r="W63" i="1" a="1"/>
  <c r="W63" i="1" s="1"/>
  <c r="V63" i="1" a="1"/>
  <c r="V63" i="1" s="1"/>
  <c r="U63" i="1"/>
  <c r="U63" i="1" a="1"/>
  <c r="T63" i="1"/>
  <c r="T63" i="1" a="1"/>
  <c r="P63" i="1" a="1"/>
  <c r="P63" i="1" s="1"/>
  <c r="O63" i="1" a="1"/>
  <c r="O63" i="1" s="1"/>
  <c r="N63" i="1" a="1"/>
  <c r="N63" i="1" s="1"/>
  <c r="M63" i="1" a="1"/>
  <c r="M63" i="1" s="1"/>
  <c r="I63" i="1"/>
  <c r="H63" i="1"/>
  <c r="D63" i="1"/>
  <c r="C63" i="1"/>
  <c r="B63" i="1"/>
  <c r="A63" i="1"/>
  <c r="BT62" i="1"/>
  <c r="BS62" i="1"/>
  <c r="BR62" i="1"/>
  <c r="BQ62" i="1"/>
  <c r="BP62" i="1"/>
  <c r="BO62" i="1"/>
  <c r="BN62" i="1"/>
  <c r="BG62" i="1"/>
  <c r="BF62" i="1"/>
  <c r="BE62" i="1"/>
  <c r="BD62" i="1"/>
  <c r="BC62" i="1"/>
  <c r="BB62" i="1"/>
  <c r="BA62" i="1"/>
  <c r="BI62" i="1" s="1"/>
  <c r="AZ62" i="1"/>
  <c r="AY62" i="1"/>
  <c r="AX62" i="1"/>
  <c r="AW62" i="1"/>
  <c r="AV62" i="1"/>
  <c r="AU62" i="1"/>
  <c r="AT62" i="1"/>
  <c r="AS62" i="1"/>
  <c r="BH62" i="1" s="1"/>
  <c r="BK62" i="1" s="1"/>
  <c r="AL62" i="1"/>
  <c r="AK62" i="1"/>
  <c r="AJ62" i="1"/>
  <c r="AI62" i="1"/>
  <c r="AH62" i="1"/>
  <c r="AG62" i="1"/>
  <c r="AF62" i="1"/>
  <c r="AO62" i="1" s="1"/>
  <c r="AE62" i="1"/>
  <c r="AD62" i="1"/>
  <c r="AM62" i="1" s="1"/>
  <c r="AC62" i="1"/>
  <c r="AB62" i="1"/>
  <c r="AA62" i="1"/>
  <c r="Z62" i="1" a="1"/>
  <c r="Z62" i="1" s="1"/>
  <c r="Y62" i="1" a="1"/>
  <c r="Y62" i="1" s="1"/>
  <c r="X62" i="1" a="1"/>
  <c r="X62" i="1" s="1"/>
  <c r="W62" i="1" a="1"/>
  <c r="W62" i="1" s="1"/>
  <c r="V62" i="1" a="1"/>
  <c r="V62" i="1" s="1"/>
  <c r="U62" i="1" a="1"/>
  <c r="U62" i="1" s="1"/>
  <c r="T62" i="1"/>
  <c r="T62" i="1" a="1"/>
  <c r="R62" i="1"/>
  <c r="P62" i="1" a="1"/>
  <c r="P62" i="1" s="1"/>
  <c r="O62" i="1" a="1"/>
  <c r="O62" i="1" s="1"/>
  <c r="N62" i="1"/>
  <c r="N62" i="1" a="1"/>
  <c r="M62" i="1"/>
  <c r="M62" i="1" a="1"/>
  <c r="I62" i="1"/>
  <c r="S62" i="1" s="1"/>
  <c r="H62" i="1"/>
  <c r="D62" i="1"/>
  <c r="C62" i="1"/>
  <c r="B62" i="1"/>
  <c r="A62" i="1"/>
  <c r="BT61" i="1"/>
  <c r="BS61" i="1"/>
  <c r="BR61" i="1"/>
  <c r="BQ61" i="1"/>
  <c r="BP61" i="1"/>
  <c r="BO61" i="1"/>
  <c r="BN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Q61" i="1"/>
  <c r="AP61" i="1"/>
  <c r="AL61" i="1"/>
  <c r="AK61" i="1"/>
  <c r="AJ61" i="1"/>
  <c r="AI61" i="1"/>
  <c r="AH61" i="1"/>
  <c r="AN61" i="1" s="1"/>
  <c r="AG61" i="1"/>
  <c r="AF61" i="1"/>
  <c r="AO61" i="1" s="1"/>
  <c r="AR61" i="1" s="1"/>
  <c r="AE61" i="1"/>
  <c r="AD61" i="1"/>
  <c r="AM61" i="1" s="1"/>
  <c r="AC61" i="1"/>
  <c r="AB61" i="1"/>
  <c r="AA61" i="1"/>
  <c r="Z61" i="1"/>
  <c r="Z61" i="1" a="1"/>
  <c r="Y61" i="1"/>
  <c r="Y61" i="1" a="1"/>
  <c r="X61" i="1" a="1"/>
  <c r="X61" i="1" s="1"/>
  <c r="W61" i="1" a="1"/>
  <c r="W61" i="1" s="1"/>
  <c r="V61" i="1"/>
  <c r="V61" i="1" a="1"/>
  <c r="U61" i="1"/>
  <c r="U61" i="1" a="1"/>
  <c r="T61" i="1" a="1"/>
  <c r="T61" i="1" s="1"/>
  <c r="S61" i="1"/>
  <c r="R61" i="1"/>
  <c r="Q61" i="1"/>
  <c r="P61" i="1" a="1"/>
  <c r="P61" i="1" s="1"/>
  <c r="O61" i="1" a="1"/>
  <c r="O61" i="1" s="1"/>
  <c r="N61" i="1" a="1"/>
  <c r="N61" i="1" s="1"/>
  <c r="M61" i="1" a="1"/>
  <c r="M61" i="1" s="1"/>
  <c r="I61" i="1"/>
  <c r="H61" i="1"/>
  <c r="D61" i="1"/>
  <c r="C61" i="1"/>
  <c r="B61" i="1"/>
  <c r="A61" i="1"/>
  <c r="BT60" i="1"/>
  <c r="BS60" i="1"/>
  <c r="BR60" i="1"/>
  <c r="BQ60" i="1"/>
  <c r="BP60" i="1"/>
  <c r="BO60" i="1"/>
  <c r="BN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BH60" i="1" s="1"/>
  <c r="AM60" i="1"/>
  <c r="AL60" i="1"/>
  <c r="AK60" i="1"/>
  <c r="AJ60" i="1"/>
  <c r="AI60" i="1"/>
  <c r="AH60" i="1"/>
  <c r="AG60" i="1"/>
  <c r="AF60" i="1"/>
  <c r="AO60" i="1" s="1"/>
  <c r="AE60" i="1"/>
  <c r="AN60" i="1" s="1"/>
  <c r="AD60" i="1"/>
  <c r="AC60" i="1"/>
  <c r="AB60" i="1"/>
  <c r="AA60" i="1"/>
  <c r="Z60" i="1" a="1"/>
  <c r="Z60" i="1" s="1"/>
  <c r="Y60" i="1"/>
  <c r="Y60" i="1" a="1"/>
  <c r="X60" i="1" a="1"/>
  <c r="X60" i="1" s="1"/>
  <c r="W60" i="1" a="1"/>
  <c r="W60" i="1" s="1"/>
  <c r="V60" i="1" a="1"/>
  <c r="V60" i="1" s="1"/>
  <c r="U60" i="1"/>
  <c r="U60" i="1" a="1"/>
  <c r="T60" i="1" a="1"/>
  <c r="T60" i="1" s="1"/>
  <c r="P60" i="1" a="1"/>
  <c r="P60" i="1" s="1"/>
  <c r="O60" i="1"/>
  <c r="O60" i="1" a="1"/>
  <c r="N60" i="1"/>
  <c r="N60" i="1" a="1"/>
  <c r="M60" i="1" a="1"/>
  <c r="M60" i="1" s="1"/>
  <c r="I60" i="1"/>
  <c r="S60" i="1" s="1"/>
  <c r="H60" i="1"/>
  <c r="BK60" i="1" s="1"/>
  <c r="D60" i="1"/>
  <c r="C60" i="1"/>
  <c r="B60" i="1"/>
  <c r="A60" i="1"/>
  <c r="BT59" i="1"/>
  <c r="BS59" i="1"/>
  <c r="BR59" i="1"/>
  <c r="BQ59" i="1"/>
  <c r="BP59" i="1"/>
  <c r="BO59" i="1"/>
  <c r="BN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BH59" i="1" s="1"/>
  <c r="BK59" i="1" s="1"/>
  <c r="AL59" i="1"/>
  <c r="AK59" i="1"/>
  <c r="AJ59" i="1"/>
  <c r="AI59" i="1"/>
  <c r="AH59" i="1"/>
  <c r="AG59" i="1"/>
  <c r="AF59" i="1"/>
  <c r="AO59" i="1" s="1"/>
  <c r="AR59" i="1" s="1"/>
  <c r="AE59" i="1"/>
  <c r="AN59" i="1" s="1"/>
  <c r="AQ59" i="1" s="1"/>
  <c r="AD59" i="1"/>
  <c r="AC59" i="1"/>
  <c r="AB59" i="1"/>
  <c r="AA59" i="1"/>
  <c r="Z59" i="1"/>
  <c r="Z59" i="1" a="1"/>
  <c r="Y59" i="1" a="1"/>
  <c r="Y59" i="1" s="1"/>
  <c r="X59" i="1" a="1"/>
  <c r="X59" i="1" s="1"/>
  <c r="W59" i="1"/>
  <c r="W59" i="1" a="1"/>
  <c r="V59" i="1"/>
  <c r="V59" i="1" a="1"/>
  <c r="U59" i="1" a="1"/>
  <c r="U59" i="1" s="1"/>
  <c r="T59" i="1" a="1"/>
  <c r="T59" i="1" s="1"/>
  <c r="S59" i="1"/>
  <c r="R59" i="1"/>
  <c r="Q59" i="1"/>
  <c r="P59" i="1" a="1"/>
  <c r="P59" i="1" s="1"/>
  <c r="O59" i="1" a="1"/>
  <c r="O59" i="1" s="1"/>
  <c r="N59" i="1"/>
  <c r="N59" i="1" a="1"/>
  <c r="M59" i="1" a="1"/>
  <c r="M59" i="1" s="1"/>
  <c r="I59" i="1"/>
  <c r="H59" i="1"/>
  <c r="D59" i="1"/>
  <c r="C59" i="1"/>
  <c r="B59" i="1"/>
  <c r="A59" i="1"/>
  <c r="BT58" i="1"/>
  <c r="BS58" i="1"/>
  <c r="BR58" i="1"/>
  <c r="BQ58" i="1"/>
  <c r="BP58" i="1"/>
  <c r="BO58" i="1"/>
  <c r="BN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P58" i="1"/>
  <c r="AO58" i="1"/>
  <c r="AL58" i="1"/>
  <c r="AK58" i="1"/>
  <c r="AJ58" i="1"/>
  <c r="AI58" i="1"/>
  <c r="AH58" i="1"/>
  <c r="AG58" i="1"/>
  <c r="AM58" i="1" s="1"/>
  <c r="AF58" i="1"/>
  <c r="AE58" i="1"/>
  <c r="AN58" i="1" s="1"/>
  <c r="AQ58" i="1" s="1"/>
  <c r="AD58" i="1"/>
  <c r="AC58" i="1"/>
  <c r="AB58" i="1"/>
  <c r="AA58" i="1"/>
  <c r="Z58" i="1" a="1"/>
  <c r="Z58" i="1" s="1"/>
  <c r="Y58" i="1" a="1"/>
  <c r="Y58" i="1" s="1"/>
  <c r="X58" i="1" a="1"/>
  <c r="X58" i="1" s="1"/>
  <c r="W58" i="1" a="1"/>
  <c r="W58" i="1" s="1"/>
  <c r="V58" i="1"/>
  <c r="V58" i="1" a="1"/>
  <c r="U58" i="1" a="1"/>
  <c r="U58" i="1" s="1"/>
  <c r="T58" i="1" a="1"/>
  <c r="T58" i="1" s="1"/>
  <c r="Q58" i="1"/>
  <c r="P58" i="1"/>
  <c r="P58" i="1" a="1"/>
  <c r="O58" i="1"/>
  <c r="O58" i="1" a="1"/>
  <c r="N58" i="1" a="1"/>
  <c r="N58" i="1" s="1"/>
  <c r="M58" i="1" a="1"/>
  <c r="M58" i="1" s="1"/>
  <c r="I58" i="1"/>
  <c r="H58" i="1"/>
  <c r="D58" i="1"/>
  <c r="C58" i="1"/>
  <c r="B58" i="1"/>
  <c r="A58" i="1"/>
  <c r="BT57" i="1"/>
  <c r="BS57" i="1"/>
  <c r="BR57" i="1"/>
  <c r="BQ57" i="1"/>
  <c r="BP57" i="1"/>
  <c r="BO57" i="1"/>
  <c r="BN57" i="1"/>
  <c r="BK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BH57" i="1" s="1"/>
  <c r="BJ57" i="1" s="1"/>
  <c r="AS57" i="1"/>
  <c r="AM57" i="1"/>
  <c r="AL57" i="1"/>
  <c r="AK57" i="1"/>
  <c r="AJ57" i="1"/>
  <c r="AI57" i="1"/>
  <c r="AH57" i="1"/>
  <c r="AG57" i="1"/>
  <c r="AF57" i="1"/>
  <c r="AO57" i="1" s="1"/>
  <c r="AE57" i="1"/>
  <c r="AN57" i="1" s="1"/>
  <c r="AD57" i="1"/>
  <c r="AC57" i="1"/>
  <c r="AB57" i="1"/>
  <c r="AA57" i="1"/>
  <c r="Z57" i="1" a="1"/>
  <c r="Z57" i="1" s="1"/>
  <c r="Y57" i="1" a="1"/>
  <c r="Y57" i="1" s="1"/>
  <c r="X57" i="1"/>
  <c r="X57" i="1" a="1"/>
  <c r="W57" i="1"/>
  <c r="W57" i="1" a="1"/>
  <c r="V57" i="1" a="1"/>
  <c r="V57" i="1" s="1"/>
  <c r="U57" i="1" a="1"/>
  <c r="U57" i="1" s="1"/>
  <c r="T57" i="1"/>
  <c r="T57" i="1" a="1"/>
  <c r="S57" i="1"/>
  <c r="P57" i="1" a="1"/>
  <c r="P57" i="1" s="1"/>
  <c r="O57" i="1"/>
  <c r="O57" i="1" a="1"/>
  <c r="N57" i="1" a="1"/>
  <c r="N57" i="1" s="1"/>
  <c r="M57" i="1" a="1"/>
  <c r="M57" i="1" s="1"/>
  <c r="I57" i="1"/>
  <c r="R57" i="1" s="1"/>
  <c r="H57" i="1"/>
  <c r="D57" i="1"/>
  <c r="C57" i="1"/>
  <c r="B57" i="1"/>
  <c r="A57" i="1"/>
  <c r="BT56" i="1"/>
  <c r="BS56" i="1"/>
  <c r="BR56" i="1"/>
  <c r="BQ56" i="1"/>
  <c r="BP56" i="1"/>
  <c r="BO56" i="1"/>
  <c r="BN56" i="1"/>
  <c r="BH56" i="1"/>
  <c r="BG56" i="1"/>
  <c r="BF56" i="1"/>
  <c r="BE56" i="1"/>
  <c r="BD56" i="1"/>
  <c r="BC56" i="1"/>
  <c r="BJ56" i="1" s="1"/>
  <c r="BB56" i="1"/>
  <c r="BA56" i="1"/>
  <c r="AZ56" i="1"/>
  <c r="AY56" i="1"/>
  <c r="BI56" i="1" s="1"/>
  <c r="AX56" i="1"/>
  <c r="AW56" i="1"/>
  <c r="AV56" i="1"/>
  <c r="AU56" i="1"/>
  <c r="AT56" i="1"/>
  <c r="AS56" i="1"/>
  <c r="AL56" i="1"/>
  <c r="AK56" i="1"/>
  <c r="AJ56" i="1"/>
  <c r="AM56" i="1" s="1"/>
  <c r="AI56" i="1"/>
  <c r="AH56" i="1"/>
  <c r="AG56" i="1"/>
  <c r="AF56" i="1"/>
  <c r="AE56" i="1"/>
  <c r="AN56" i="1" s="1"/>
  <c r="AQ56" i="1" s="1"/>
  <c r="AD56" i="1"/>
  <c r="AC56" i="1"/>
  <c r="AB56" i="1"/>
  <c r="AA56" i="1"/>
  <c r="Z56" i="1" a="1"/>
  <c r="Z56" i="1" s="1"/>
  <c r="Y56" i="1"/>
  <c r="Y56" i="1" a="1"/>
  <c r="X56" i="1" a="1"/>
  <c r="X56" i="1" s="1"/>
  <c r="W56" i="1"/>
  <c r="W56" i="1" a="1"/>
  <c r="V56" i="1" a="1"/>
  <c r="V56" i="1" s="1"/>
  <c r="U56" i="1"/>
  <c r="U56" i="1" a="1"/>
  <c r="T56" i="1" a="1"/>
  <c r="T56" i="1" s="1"/>
  <c r="S56" i="1"/>
  <c r="R56" i="1"/>
  <c r="P56" i="1" a="1"/>
  <c r="P56" i="1" s="1"/>
  <c r="O56" i="1"/>
  <c r="O56" i="1" a="1"/>
  <c r="N56" i="1" a="1"/>
  <c r="N56" i="1" s="1"/>
  <c r="M56" i="1"/>
  <c r="M56" i="1" a="1"/>
  <c r="I56" i="1"/>
  <c r="Q56" i="1" s="1"/>
  <c r="H56" i="1"/>
  <c r="D56" i="1"/>
  <c r="C56" i="1"/>
  <c r="B56" i="1"/>
  <c r="A56" i="1"/>
  <c r="BT55" i="1"/>
  <c r="BS55" i="1"/>
  <c r="BR55" i="1"/>
  <c r="BQ55" i="1"/>
  <c r="BP55" i="1"/>
  <c r="BO55" i="1"/>
  <c r="BN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BH55" i="1" s="1"/>
  <c r="AN55" i="1"/>
  <c r="AL55" i="1"/>
  <c r="AK55" i="1"/>
  <c r="AJ55" i="1"/>
  <c r="AI55" i="1"/>
  <c r="AH55" i="1"/>
  <c r="AG55" i="1"/>
  <c r="AF55" i="1"/>
  <c r="AO55" i="1" s="1"/>
  <c r="AE55" i="1"/>
  <c r="AD55" i="1"/>
  <c r="AC55" i="1"/>
  <c r="AB55" i="1"/>
  <c r="AA55" i="1"/>
  <c r="Z55" i="1" a="1"/>
  <c r="Z55" i="1" s="1"/>
  <c r="Y55" i="1"/>
  <c r="Y55" i="1" a="1"/>
  <c r="X55" i="1" a="1"/>
  <c r="X55" i="1" s="1"/>
  <c r="W55" i="1"/>
  <c r="W55" i="1" a="1"/>
  <c r="V55" i="1" a="1"/>
  <c r="V55" i="1" s="1"/>
  <c r="U55" i="1"/>
  <c r="U55" i="1" a="1"/>
  <c r="T55" i="1" a="1"/>
  <c r="T55" i="1" s="1"/>
  <c r="P55" i="1"/>
  <c r="P55" i="1" a="1"/>
  <c r="O55" i="1" a="1"/>
  <c r="O55" i="1" s="1"/>
  <c r="N55" i="1"/>
  <c r="N55" i="1" a="1"/>
  <c r="M55" i="1" a="1"/>
  <c r="M55" i="1" s="1"/>
  <c r="I55" i="1"/>
  <c r="H55" i="1"/>
  <c r="D55" i="1"/>
  <c r="C55" i="1"/>
  <c r="B55" i="1"/>
  <c r="A55" i="1"/>
  <c r="BT54" i="1"/>
  <c r="BS54" i="1"/>
  <c r="BR54" i="1"/>
  <c r="BQ54" i="1"/>
  <c r="BP54" i="1"/>
  <c r="BO54" i="1"/>
  <c r="BN54" i="1"/>
  <c r="BG54" i="1"/>
  <c r="BF54" i="1"/>
  <c r="BE54" i="1"/>
  <c r="BD54" i="1"/>
  <c r="BC54" i="1"/>
  <c r="BB54" i="1"/>
  <c r="BA54" i="1"/>
  <c r="BI54" i="1" s="1"/>
  <c r="AZ54" i="1"/>
  <c r="AY54" i="1"/>
  <c r="AX54" i="1"/>
  <c r="AW54" i="1"/>
  <c r="AV54" i="1"/>
  <c r="AU54" i="1"/>
  <c r="AT54" i="1"/>
  <c r="AS54" i="1"/>
  <c r="BH54" i="1" s="1"/>
  <c r="BK54" i="1" s="1"/>
  <c r="AL54" i="1"/>
  <c r="AO54" i="1" s="1"/>
  <c r="AK54" i="1"/>
  <c r="AJ54" i="1"/>
  <c r="AI54" i="1"/>
  <c r="AH54" i="1"/>
  <c r="AG54" i="1"/>
  <c r="AF54" i="1"/>
  <c r="AE54" i="1"/>
  <c r="AN54" i="1" s="1"/>
  <c r="AQ54" i="1" s="1"/>
  <c r="AD54" i="1"/>
  <c r="AM54" i="1" s="1"/>
  <c r="AP54" i="1" s="1"/>
  <c r="AC54" i="1"/>
  <c r="AB54" i="1"/>
  <c r="AA54" i="1"/>
  <c r="Z54" i="1"/>
  <c r="Z54" i="1" a="1"/>
  <c r="Y54" i="1" a="1"/>
  <c r="Y54" i="1" s="1"/>
  <c r="X54" i="1" a="1"/>
  <c r="X54" i="1" s="1"/>
  <c r="W54" i="1" a="1"/>
  <c r="W54" i="1" s="1"/>
  <c r="V54" i="1"/>
  <c r="V54" i="1" a="1"/>
  <c r="U54" i="1" a="1"/>
  <c r="U54" i="1" s="1"/>
  <c r="T54" i="1" a="1"/>
  <c r="T54" i="1" s="1"/>
  <c r="Q54" i="1"/>
  <c r="P54" i="1"/>
  <c r="P54" i="1" a="1"/>
  <c r="O54" i="1" a="1"/>
  <c r="O54" i="1" s="1"/>
  <c r="N54" i="1"/>
  <c r="N54" i="1" a="1"/>
  <c r="M54" i="1" a="1"/>
  <c r="M54" i="1" s="1"/>
  <c r="I54" i="1"/>
  <c r="S54" i="1" s="1"/>
  <c r="H54" i="1"/>
  <c r="AR54" i="1" s="1"/>
  <c r="D54" i="1"/>
  <c r="C54" i="1"/>
  <c r="B54" i="1"/>
  <c r="A54" i="1"/>
  <c r="BT53" i="1"/>
  <c r="BS53" i="1"/>
  <c r="BR53" i="1"/>
  <c r="BQ53" i="1"/>
  <c r="BP53" i="1"/>
  <c r="BO53" i="1"/>
  <c r="BN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BH53" i="1" s="1"/>
  <c r="BK53" i="1" s="1"/>
  <c r="AT53" i="1"/>
  <c r="AS53" i="1"/>
  <c r="AL53" i="1"/>
  <c r="AK53" i="1"/>
  <c r="AJ53" i="1"/>
  <c r="AM53" i="1" s="1"/>
  <c r="AP53" i="1" s="1"/>
  <c r="AI53" i="1"/>
  <c r="AH53" i="1"/>
  <c r="AG53" i="1"/>
  <c r="AF53" i="1"/>
  <c r="AO53" i="1" s="1"/>
  <c r="AR53" i="1" s="1"/>
  <c r="AE53" i="1"/>
  <c r="AN53" i="1" s="1"/>
  <c r="AQ53" i="1" s="1"/>
  <c r="AD53" i="1"/>
  <c r="AC53" i="1"/>
  <c r="AB53" i="1"/>
  <c r="AA53" i="1"/>
  <c r="Z53" i="1"/>
  <c r="Z53" i="1" a="1"/>
  <c r="Y53" i="1" a="1"/>
  <c r="Y53" i="1" s="1"/>
  <c r="X53" i="1"/>
  <c r="X53" i="1" a="1"/>
  <c r="W53" i="1" a="1"/>
  <c r="W53" i="1" s="1"/>
  <c r="V53" i="1"/>
  <c r="V53" i="1" a="1"/>
  <c r="U53" i="1" a="1"/>
  <c r="U53" i="1" s="1"/>
  <c r="T53" i="1"/>
  <c r="T53" i="1" a="1"/>
  <c r="S53" i="1"/>
  <c r="R53" i="1"/>
  <c r="Q53" i="1"/>
  <c r="P53" i="1" a="1"/>
  <c r="P53" i="1" s="1"/>
  <c r="O53" i="1"/>
  <c r="O53" i="1" a="1"/>
  <c r="N53" i="1" a="1"/>
  <c r="N53" i="1" s="1"/>
  <c r="M53" i="1"/>
  <c r="M53" i="1" a="1"/>
  <c r="I53" i="1"/>
  <c r="H53" i="1"/>
  <c r="D53" i="1"/>
  <c r="C53" i="1"/>
  <c r="B53" i="1"/>
  <c r="A53" i="1"/>
  <c r="BT52" i="1"/>
  <c r="BS52" i="1"/>
  <c r="BR52" i="1"/>
  <c r="BQ52" i="1"/>
  <c r="BP52" i="1"/>
  <c r="BO52" i="1"/>
  <c r="BN52" i="1"/>
  <c r="BH52" i="1"/>
  <c r="BG52" i="1"/>
  <c r="BF52" i="1"/>
  <c r="BE52" i="1"/>
  <c r="BD52" i="1"/>
  <c r="BC52" i="1"/>
  <c r="BB52" i="1"/>
  <c r="BA52" i="1"/>
  <c r="AZ52" i="1"/>
  <c r="AY52" i="1"/>
  <c r="BI52" i="1" s="1"/>
  <c r="AX52" i="1"/>
  <c r="AW52" i="1"/>
  <c r="AV52" i="1"/>
  <c r="AU52" i="1"/>
  <c r="AT52" i="1"/>
  <c r="AS52" i="1"/>
  <c r="AL52" i="1"/>
  <c r="AK52" i="1"/>
  <c r="AJ52" i="1"/>
  <c r="AI52" i="1"/>
  <c r="AO52" i="1" s="1"/>
  <c r="AR52" i="1" s="1"/>
  <c r="AH52" i="1"/>
  <c r="AG52" i="1"/>
  <c r="AM52" i="1" s="1"/>
  <c r="AF52" i="1"/>
  <c r="AE52" i="1"/>
  <c r="AN52" i="1" s="1"/>
  <c r="AQ52" i="1" s="1"/>
  <c r="AD52" i="1"/>
  <c r="AC52" i="1"/>
  <c r="AB52" i="1"/>
  <c r="AA52" i="1"/>
  <c r="Z52" i="1" a="1"/>
  <c r="Z52" i="1" s="1"/>
  <c r="Y52" i="1"/>
  <c r="Y52" i="1" a="1"/>
  <c r="X52" i="1" a="1"/>
  <c r="X52" i="1" s="1"/>
  <c r="W52" i="1"/>
  <c r="W52" i="1" a="1"/>
  <c r="V52" i="1" a="1"/>
  <c r="V52" i="1" s="1"/>
  <c r="U52" i="1"/>
  <c r="U52" i="1" a="1"/>
  <c r="T52" i="1" a="1"/>
  <c r="T52" i="1" s="1"/>
  <c r="P52" i="1"/>
  <c r="P52" i="1" a="1"/>
  <c r="O52" i="1"/>
  <c r="O52" i="1" a="1"/>
  <c r="N52" i="1" a="1"/>
  <c r="N52" i="1" s="1"/>
  <c r="M52" i="1"/>
  <c r="M52" i="1" a="1"/>
  <c r="I52" i="1"/>
  <c r="Q52" i="1" s="1"/>
  <c r="H52" i="1"/>
  <c r="BL52" i="1" s="1"/>
  <c r="D52" i="1"/>
  <c r="C52" i="1"/>
  <c r="B52" i="1"/>
  <c r="A52" i="1"/>
  <c r="BT51" i="1"/>
  <c r="BS51" i="1"/>
  <c r="BR51" i="1"/>
  <c r="BQ51" i="1"/>
  <c r="BP51" i="1"/>
  <c r="BO51" i="1"/>
  <c r="BN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BH51" i="1" s="1"/>
  <c r="AU51" i="1"/>
  <c r="AT51" i="1"/>
  <c r="AS51" i="1"/>
  <c r="AL51" i="1"/>
  <c r="AK51" i="1"/>
  <c r="AN51" i="1" s="1"/>
  <c r="AJ51" i="1"/>
  <c r="AI51" i="1"/>
  <c r="AH51" i="1"/>
  <c r="AG51" i="1"/>
  <c r="AF51" i="1"/>
  <c r="AO51" i="1" s="1"/>
  <c r="AE51" i="1"/>
  <c r="AD51" i="1"/>
  <c r="AC51" i="1"/>
  <c r="AB51" i="1"/>
  <c r="AA51" i="1"/>
  <c r="Z51" i="1" a="1"/>
  <c r="Z51" i="1" s="1"/>
  <c r="Y51" i="1"/>
  <c r="Y51" i="1" a="1"/>
  <c r="X51" i="1" a="1"/>
  <c r="X51" i="1" s="1"/>
  <c r="W51" i="1"/>
  <c r="W51" i="1" a="1"/>
  <c r="V51" i="1" a="1"/>
  <c r="V51" i="1" s="1"/>
  <c r="U51" i="1"/>
  <c r="U51" i="1" a="1"/>
  <c r="T51" i="1"/>
  <c r="T51" i="1" a="1"/>
  <c r="S51" i="1"/>
  <c r="P51" i="1"/>
  <c r="P51" i="1" a="1"/>
  <c r="O51" i="1" a="1"/>
  <c r="O51" i="1" s="1"/>
  <c r="N51" i="1" a="1"/>
  <c r="N51" i="1" s="1"/>
  <c r="M51" i="1" a="1"/>
  <c r="M51" i="1" s="1"/>
  <c r="I51" i="1"/>
  <c r="H51" i="1"/>
  <c r="D51" i="1"/>
  <c r="C51" i="1"/>
  <c r="B51" i="1"/>
  <c r="A51" i="1"/>
  <c r="BT50" i="1"/>
  <c r="BS50" i="1"/>
  <c r="BR50" i="1"/>
  <c r="BQ50" i="1"/>
  <c r="BP50" i="1"/>
  <c r="BO50" i="1"/>
  <c r="BN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O50" i="1"/>
  <c r="AL50" i="1"/>
  <c r="AK50" i="1"/>
  <c r="AJ50" i="1"/>
  <c r="AI50" i="1"/>
  <c r="AH50" i="1"/>
  <c r="AG50" i="1"/>
  <c r="AM50" i="1" s="1"/>
  <c r="AP50" i="1" s="1"/>
  <c r="AF50" i="1"/>
  <c r="AE50" i="1"/>
  <c r="AN50" i="1" s="1"/>
  <c r="AQ50" i="1" s="1"/>
  <c r="AD50" i="1"/>
  <c r="AC50" i="1"/>
  <c r="AB50" i="1"/>
  <c r="AA50" i="1"/>
  <c r="Z50" i="1" a="1"/>
  <c r="Z50" i="1" s="1"/>
  <c r="Y50" i="1" a="1"/>
  <c r="Y50" i="1" s="1"/>
  <c r="X50" i="1"/>
  <c r="X50" i="1" a="1"/>
  <c r="W50" i="1" a="1"/>
  <c r="W50" i="1" s="1"/>
  <c r="V50" i="1"/>
  <c r="V50" i="1" a="1"/>
  <c r="U50" i="1" a="1"/>
  <c r="U50" i="1" s="1"/>
  <c r="T50" i="1"/>
  <c r="T50" i="1" a="1"/>
  <c r="R50" i="1"/>
  <c r="P50" i="1"/>
  <c r="P50" i="1" a="1"/>
  <c r="O50" i="1"/>
  <c r="O50" i="1" a="1"/>
  <c r="N50" i="1"/>
  <c r="N50" i="1" a="1"/>
  <c r="M50" i="1"/>
  <c r="M50" i="1" a="1"/>
  <c r="I50" i="1"/>
  <c r="S50" i="1" s="1"/>
  <c r="H50" i="1"/>
  <c r="D50" i="1"/>
  <c r="C50" i="1"/>
  <c r="B50" i="1"/>
  <c r="A50" i="1"/>
  <c r="BT49" i="1"/>
  <c r="BS49" i="1"/>
  <c r="BR49" i="1"/>
  <c r="BQ49" i="1"/>
  <c r="BP49" i="1"/>
  <c r="BO49" i="1"/>
  <c r="BN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BH49" i="1" s="1"/>
  <c r="AS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Z49" i="1" a="1"/>
  <c r="Y49" i="1" a="1"/>
  <c r="Y49" i="1" s="1"/>
  <c r="X49" i="1"/>
  <c r="X49" i="1" a="1"/>
  <c r="W49" i="1" a="1"/>
  <c r="W49" i="1" s="1"/>
  <c r="V49" i="1"/>
  <c r="V49" i="1" a="1"/>
  <c r="U49" i="1" a="1"/>
  <c r="U49" i="1" s="1"/>
  <c r="T49" i="1"/>
  <c r="T49" i="1" a="1"/>
  <c r="S49" i="1"/>
  <c r="R49" i="1"/>
  <c r="Q49" i="1"/>
  <c r="P49" i="1" a="1"/>
  <c r="P49" i="1" s="1"/>
  <c r="O49" i="1" a="1"/>
  <c r="O49" i="1" s="1"/>
  <c r="N49" i="1" a="1"/>
  <c r="N49" i="1" s="1"/>
  <c r="M49" i="1"/>
  <c r="M49" i="1" a="1"/>
  <c r="I49" i="1"/>
  <c r="H49" i="1"/>
  <c r="D49" i="1"/>
  <c r="C49" i="1"/>
  <c r="B49" i="1"/>
  <c r="A49" i="1"/>
  <c r="BT48" i="1"/>
  <c r="BS48" i="1"/>
  <c r="BR48" i="1"/>
  <c r="BQ48" i="1"/>
  <c r="BP48" i="1"/>
  <c r="BO48" i="1"/>
  <c r="BN48" i="1"/>
  <c r="BH48" i="1"/>
  <c r="BG48" i="1"/>
  <c r="BF48" i="1"/>
  <c r="BE48" i="1"/>
  <c r="BD48" i="1"/>
  <c r="BC48" i="1"/>
  <c r="BB48" i="1"/>
  <c r="BA48" i="1"/>
  <c r="AZ48" i="1"/>
  <c r="AY48" i="1"/>
  <c r="AX48" i="1"/>
  <c r="BI48" i="1" s="1"/>
  <c r="AW48" i="1"/>
  <c r="AV48" i="1"/>
  <c r="AU48" i="1"/>
  <c r="AT48" i="1"/>
  <c r="AS48" i="1"/>
  <c r="AN48" i="1"/>
  <c r="AL48" i="1"/>
  <c r="AK48" i="1"/>
  <c r="AJ48" i="1"/>
  <c r="AI48" i="1"/>
  <c r="AH48" i="1"/>
  <c r="AG48" i="1"/>
  <c r="AF48" i="1"/>
  <c r="AO48" i="1" s="1"/>
  <c r="AR48" i="1" s="1"/>
  <c r="AE48" i="1"/>
  <c r="AD48" i="1"/>
  <c r="AC48" i="1"/>
  <c r="AB48" i="1"/>
  <c r="AA48" i="1"/>
  <c r="Z48" i="1" a="1"/>
  <c r="Z48" i="1" s="1"/>
  <c r="Y48" i="1"/>
  <c r="Y48" i="1" a="1"/>
  <c r="X48" i="1" a="1"/>
  <c r="X48" i="1" s="1"/>
  <c r="W48" i="1"/>
  <c r="W48" i="1" a="1"/>
  <c r="V48" i="1" a="1"/>
  <c r="V48" i="1" s="1"/>
  <c r="U48" i="1"/>
  <c r="U48" i="1" a="1"/>
  <c r="T48" i="1" a="1"/>
  <c r="T48" i="1" s="1"/>
  <c r="S48" i="1"/>
  <c r="P48" i="1" a="1"/>
  <c r="P48" i="1" s="1"/>
  <c r="O48" i="1"/>
  <c r="O48" i="1" a="1"/>
  <c r="N48" i="1" a="1"/>
  <c r="N48" i="1" s="1"/>
  <c r="M48" i="1"/>
  <c r="M48" i="1" a="1"/>
  <c r="I48" i="1"/>
  <c r="R48" i="1" s="1"/>
  <c r="H48" i="1"/>
  <c r="D48" i="1"/>
  <c r="C48" i="1"/>
  <c r="B48" i="1"/>
  <c r="A48" i="1"/>
  <c r="BT47" i="1"/>
  <c r="BS47" i="1"/>
  <c r="BR47" i="1"/>
  <c r="BQ47" i="1"/>
  <c r="BP47" i="1"/>
  <c r="BO47" i="1"/>
  <c r="BN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BH47" i="1" s="1"/>
  <c r="AO47" i="1"/>
  <c r="AR47" i="1" s="1"/>
  <c r="AL47" i="1"/>
  <c r="AK47" i="1"/>
  <c r="AN47" i="1" s="1"/>
  <c r="AJ47" i="1"/>
  <c r="AI47" i="1"/>
  <c r="AH47" i="1"/>
  <c r="AG47" i="1"/>
  <c r="AF47" i="1"/>
  <c r="AE47" i="1"/>
  <c r="AD47" i="1"/>
  <c r="AC47" i="1"/>
  <c r="AB47" i="1"/>
  <c r="AA47" i="1"/>
  <c r="Z47" i="1" a="1"/>
  <c r="Z47" i="1" s="1"/>
  <c r="Y47" i="1"/>
  <c r="Y47" i="1" a="1"/>
  <c r="X47" i="1" a="1"/>
  <c r="X47" i="1" s="1"/>
  <c r="W47" i="1"/>
  <c r="W47" i="1" a="1"/>
  <c r="V47" i="1" a="1"/>
  <c r="V47" i="1" s="1"/>
  <c r="U47" i="1"/>
  <c r="U47" i="1" a="1"/>
  <c r="T47" i="1" a="1"/>
  <c r="T47" i="1" s="1"/>
  <c r="P47" i="1"/>
  <c r="P47" i="1" a="1"/>
  <c r="O47" i="1" a="1"/>
  <c r="O47" i="1" s="1"/>
  <c r="N47" i="1"/>
  <c r="N47" i="1" a="1"/>
  <c r="M47" i="1" a="1"/>
  <c r="M47" i="1" s="1"/>
  <c r="I47" i="1"/>
  <c r="H47" i="1"/>
  <c r="AQ47" i="1" s="1"/>
  <c r="D47" i="1"/>
  <c r="C47" i="1"/>
  <c r="B47" i="1"/>
  <c r="A47" i="1"/>
  <c r="BT46" i="1"/>
  <c r="BS46" i="1"/>
  <c r="BR46" i="1"/>
  <c r="BQ46" i="1"/>
  <c r="BP46" i="1"/>
  <c r="BO46" i="1"/>
  <c r="BN46" i="1"/>
  <c r="BG46" i="1"/>
  <c r="BF46" i="1"/>
  <c r="BJ46" i="1" s="1"/>
  <c r="BM46" i="1" s="1"/>
  <c r="BE46" i="1"/>
  <c r="BD46" i="1"/>
  <c r="BC46" i="1"/>
  <c r="BB46" i="1"/>
  <c r="BA46" i="1"/>
  <c r="AZ46" i="1"/>
  <c r="AY46" i="1"/>
  <c r="AX46" i="1"/>
  <c r="BI46" i="1" s="1"/>
  <c r="AW46" i="1"/>
  <c r="AV46" i="1"/>
  <c r="AU46" i="1"/>
  <c r="AT46" i="1"/>
  <c r="AS46" i="1"/>
  <c r="BH46" i="1" s="1"/>
  <c r="AP46" i="1"/>
  <c r="AL46" i="1"/>
  <c r="AK46" i="1"/>
  <c r="AJ46" i="1"/>
  <c r="AI46" i="1"/>
  <c r="AO46" i="1" s="1"/>
  <c r="AR46" i="1" s="1"/>
  <c r="AH46" i="1"/>
  <c r="AG46" i="1"/>
  <c r="AF46" i="1"/>
  <c r="AE46" i="1"/>
  <c r="AN46" i="1" s="1"/>
  <c r="AQ46" i="1" s="1"/>
  <c r="AD46" i="1"/>
  <c r="AM46" i="1" s="1"/>
  <c r="AC46" i="1"/>
  <c r="AB46" i="1"/>
  <c r="AA46" i="1"/>
  <c r="Z46" i="1"/>
  <c r="Z46" i="1" a="1"/>
  <c r="Y46" i="1" a="1"/>
  <c r="Y46" i="1" s="1"/>
  <c r="X46" i="1"/>
  <c r="X46" i="1" a="1"/>
  <c r="W46" i="1" a="1"/>
  <c r="W46" i="1" s="1"/>
  <c r="V46" i="1"/>
  <c r="V46" i="1" a="1"/>
  <c r="U46" i="1" a="1"/>
  <c r="U46" i="1" s="1"/>
  <c r="T46" i="1"/>
  <c r="T46" i="1" a="1"/>
  <c r="R46" i="1"/>
  <c r="Q46" i="1"/>
  <c r="P46" i="1"/>
  <c r="P46" i="1" a="1"/>
  <c r="O46" i="1" a="1"/>
  <c r="O46" i="1" s="1"/>
  <c r="N46" i="1"/>
  <c r="N46" i="1" a="1"/>
  <c r="M46" i="1"/>
  <c r="M46" i="1" a="1"/>
  <c r="I46" i="1"/>
  <c r="S46" i="1" s="1"/>
  <c r="H46" i="1"/>
  <c r="BL46" i="1" s="1"/>
  <c r="D46" i="1"/>
  <c r="C46" i="1"/>
  <c r="B46" i="1"/>
  <c r="A46" i="1"/>
  <c r="BT45" i="1"/>
  <c r="BS45" i="1"/>
  <c r="BR45" i="1"/>
  <c r="BQ45" i="1"/>
  <c r="BP45" i="1"/>
  <c r="BO45" i="1"/>
  <c r="BN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Q45" i="1"/>
  <c r="AN45" i="1"/>
  <c r="AM45" i="1"/>
  <c r="AL45" i="1"/>
  <c r="AK45" i="1"/>
  <c r="AJ45" i="1"/>
  <c r="AI45" i="1"/>
  <c r="AH45" i="1"/>
  <c r="AG45" i="1"/>
  <c r="AF45" i="1"/>
  <c r="AO45" i="1" s="1"/>
  <c r="AE45" i="1"/>
  <c r="AD45" i="1"/>
  <c r="AC45" i="1"/>
  <c r="AB45" i="1"/>
  <c r="AA45" i="1"/>
  <c r="Z45" i="1"/>
  <c r="Z45" i="1" a="1"/>
  <c r="Y45" i="1"/>
  <c r="Y45" i="1" a="1"/>
  <c r="X45" i="1"/>
  <c r="X45" i="1" a="1"/>
  <c r="W45" i="1" a="1"/>
  <c r="W45" i="1" s="1"/>
  <c r="V45" i="1"/>
  <c r="V45" i="1" a="1"/>
  <c r="U45" i="1" a="1"/>
  <c r="U45" i="1" s="1"/>
  <c r="T45" i="1"/>
  <c r="T45" i="1" a="1"/>
  <c r="S45" i="1"/>
  <c r="R45" i="1"/>
  <c r="Q45" i="1"/>
  <c r="P45" i="1" a="1"/>
  <c r="P45" i="1" s="1"/>
  <c r="O45" i="1"/>
  <c r="O45" i="1" a="1"/>
  <c r="N45" i="1" a="1"/>
  <c r="N45" i="1" s="1"/>
  <c r="M45" i="1"/>
  <c r="M45" i="1" a="1"/>
  <c r="I45" i="1"/>
  <c r="H45" i="1"/>
  <c r="BT44" i="1"/>
  <c r="BS44" i="1"/>
  <c r="BR44" i="1"/>
  <c r="BQ44" i="1"/>
  <c r="BP44" i="1"/>
  <c r="BO44" i="1"/>
  <c r="BN44" i="1"/>
  <c r="BG44" i="1"/>
  <c r="BF44" i="1"/>
  <c r="BE44" i="1"/>
  <c r="BD44" i="1"/>
  <c r="BC44" i="1"/>
  <c r="BB44" i="1"/>
  <c r="BA44" i="1"/>
  <c r="AZ44" i="1"/>
  <c r="AY44" i="1"/>
  <c r="AX44" i="1"/>
  <c r="AW44" i="1"/>
  <c r="BH44" i="1" s="1"/>
  <c r="AV44" i="1"/>
  <c r="AU44" i="1"/>
  <c r="AT44" i="1"/>
  <c r="AS44" i="1"/>
  <c r="AN44" i="1"/>
  <c r="AL44" i="1"/>
  <c r="AK44" i="1"/>
  <c r="AJ44" i="1"/>
  <c r="AI44" i="1"/>
  <c r="AH44" i="1"/>
  <c r="AG44" i="1"/>
  <c r="AF44" i="1"/>
  <c r="AO44" i="1" s="1"/>
  <c r="AR44" i="1" s="1"/>
  <c r="AE44" i="1"/>
  <c r="AD44" i="1"/>
  <c r="AC44" i="1"/>
  <c r="AB44" i="1"/>
  <c r="AA44" i="1"/>
  <c r="Z44" i="1" a="1"/>
  <c r="Z44" i="1" s="1"/>
  <c r="Y44" i="1"/>
  <c r="Y44" i="1" a="1"/>
  <c r="X44" i="1" a="1"/>
  <c r="X44" i="1" s="1"/>
  <c r="W44" i="1"/>
  <c r="W44" i="1" a="1"/>
  <c r="V44" i="1" a="1"/>
  <c r="V44" i="1" s="1"/>
  <c r="U44" i="1"/>
  <c r="U44" i="1" a="1"/>
  <c r="T44" i="1" a="1"/>
  <c r="T44" i="1" s="1"/>
  <c r="P44" i="1" a="1"/>
  <c r="P44" i="1" s="1"/>
  <c r="O44" i="1"/>
  <c r="O44" i="1" a="1"/>
  <c r="N44" i="1" a="1"/>
  <c r="N44" i="1" s="1"/>
  <c r="M44" i="1"/>
  <c r="M44" i="1" a="1"/>
  <c r="I44" i="1"/>
  <c r="H44" i="1"/>
  <c r="D44" i="1"/>
  <c r="C44" i="1"/>
  <c r="B44" i="1"/>
  <c r="A44" i="1"/>
  <c r="BT43" i="1"/>
  <c r="BS43" i="1"/>
  <c r="BR43" i="1"/>
  <c r="BQ43" i="1"/>
  <c r="BP43" i="1"/>
  <c r="BO43" i="1"/>
  <c r="BN43" i="1"/>
  <c r="BH43" i="1"/>
  <c r="BJ43" i="1" s="1"/>
  <c r="BM43" i="1" s="1"/>
  <c r="BG43" i="1"/>
  <c r="BF43" i="1"/>
  <c r="BE43" i="1"/>
  <c r="BD43" i="1"/>
  <c r="BC43" i="1"/>
  <c r="BB43" i="1"/>
  <c r="BA43" i="1"/>
  <c r="AZ43" i="1"/>
  <c r="BI43" i="1" s="1"/>
  <c r="AY43" i="1"/>
  <c r="AX43" i="1"/>
  <c r="AW43" i="1"/>
  <c r="AV43" i="1"/>
  <c r="AU43" i="1"/>
  <c r="AT43" i="1"/>
  <c r="AS43" i="1"/>
  <c r="AL43" i="1"/>
  <c r="AO43" i="1" s="1"/>
  <c r="AR43" i="1" s="1"/>
  <c r="AK43" i="1"/>
  <c r="AN43" i="1" s="1"/>
  <c r="AJ43" i="1"/>
  <c r="AI43" i="1"/>
  <c r="AH43" i="1"/>
  <c r="AG43" i="1"/>
  <c r="AF43" i="1"/>
  <c r="AE43" i="1"/>
  <c r="AD43" i="1"/>
  <c r="AC43" i="1"/>
  <c r="AB43" i="1"/>
  <c r="AA43" i="1"/>
  <c r="Z43" i="1" a="1"/>
  <c r="Z43" i="1" s="1"/>
  <c r="Y43" i="1"/>
  <c r="Y43" i="1" a="1"/>
  <c r="X43" i="1" a="1"/>
  <c r="X43" i="1" s="1"/>
  <c r="W43" i="1"/>
  <c r="W43" i="1" a="1"/>
  <c r="V43" i="1" a="1"/>
  <c r="V43" i="1" s="1"/>
  <c r="U43" i="1"/>
  <c r="U43" i="1" a="1"/>
  <c r="T43" i="1"/>
  <c r="T43" i="1" a="1"/>
  <c r="S43" i="1"/>
  <c r="P43" i="1"/>
  <c r="P43" i="1" a="1"/>
  <c r="O43" i="1" a="1"/>
  <c r="O43" i="1" s="1"/>
  <c r="N43" i="1" a="1"/>
  <c r="N43" i="1" s="1"/>
  <c r="M43" i="1" a="1"/>
  <c r="M43" i="1" s="1"/>
  <c r="I43" i="1"/>
  <c r="H43" i="1"/>
  <c r="AQ43" i="1" s="1"/>
  <c r="D43" i="1"/>
  <c r="C43" i="1"/>
  <c r="B43" i="1"/>
  <c r="A43" i="1"/>
  <c r="BT42" i="1"/>
  <c r="BS42" i="1"/>
  <c r="BR42" i="1"/>
  <c r="BQ42" i="1"/>
  <c r="BP42" i="1"/>
  <c r="BO42" i="1"/>
  <c r="BN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L42" i="1"/>
  <c r="AO42" i="1" s="1"/>
  <c r="AK42" i="1"/>
  <c r="AJ42" i="1"/>
  <c r="AI42" i="1"/>
  <c r="AH42" i="1"/>
  <c r="AG42" i="1"/>
  <c r="AF42" i="1"/>
  <c r="AE42" i="1"/>
  <c r="AN42" i="1" s="1"/>
  <c r="AQ42" i="1" s="1"/>
  <c r="AD42" i="1"/>
  <c r="AM42" i="1" s="1"/>
  <c r="AP42" i="1" s="1"/>
  <c r="AC42" i="1"/>
  <c r="AB42" i="1"/>
  <c r="AA42" i="1"/>
  <c r="Z42" i="1" a="1"/>
  <c r="Z42" i="1" s="1"/>
  <c r="Y42" i="1" a="1"/>
  <c r="Y42" i="1" s="1"/>
  <c r="X42" i="1"/>
  <c r="X42" i="1" a="1"/>
  <c r="W42" i="1" a="1"/>
  <c r="W42" i="1" s="1"/>
  <c r="V42" i="1"/>
  <c r="V42" i="1" a="1"/>
  <c r="U42" i="1" a="1"/>
  <c r="U42" i="1" s="1"/>
  <c r="T42" i="1"/>
  <c r="T42" i="1" a="1"/>
  <c r="Q42" i="1"/>
  <c r="P42" i="1"/>
  <c r="P42" i="1" a="1"/>
  <c r="O42" i="1" a="1"/>
  <c r="O42" i="1" s="1"/>
  <c r="N42" i="1" a="1"/>
  <c r="N42" i="1" s="1"/>
  <c r="M42" i="1" a="1"/>
  <c r="M42" i="1" s="1"/>
  <c r="I42" i="1"/>
  <c r="S42" i="1" s="1"/>
  <c r="H42" i="1"/>
  <c r="D42" i="1"/>
  <c r="C42" i="1"/>
  <c r="B42" i="1"/>
  <c r="A42" i="1"/>
  <c r="BT41" i="1"/>
  <c r="BS41" i="1"/>
  <c r="BR41" i="1"/>
  <c r="BQ41" i="1"/>
  <c r="BP41" i="1"/>
  <c r="BO41" i="1"/>
  <c r="BN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M41" i="1"/>
  <c r="AL41" i="1"/>
  <c r="AK41" i="1"/>
  <c r="AJ41" i="1"/>
  <c r="AI41" i="1"/>
  <c r="AH41" i="1"/>
  <c r="AG41" i="1"/>
  <c r="AF41" i="1"/>
  <c r="AO41" i="1" s="1"/>
  <c r="AE41" i="1"/>
  <c r="AN41" i="1" s="1"/>
  <c r="AD41" i="1"/>
  <c r="AC41" i="1"/>
  <c r="AB41" i="1"/>
  <c r="AA41" i="1"/>
  <c r="Z41" i="1" a="1"/>
  <c r="Z41" i="1" s="1"/>
  <c r="Y41" i="1" a="1"/>
  <c r="Y41" i="1" s="1"/>
  <c r="X41" i="1"/>
  <c r="X41" i="1" a="1"/>
  <c r="W41" i="1" a="1"/>
  <c r="W41" i="1" s="1"/>
  <c r="V41" i="1" a="1"/>
  <c r="V41" i="1" s="1"/>
  <c r="U41" i="1" a="1"/>
  <c r="U41" i="1" s="1"/>
  <c r="T41" i="1"/>
  <c r="T41" i="1" a="1"/>
  <c r="R41" i="1"/>
  <c r="P41" i="1" a="1"/>
  <c r="P41" i="1" s="1"/>
  <c r="O41" i="1"/>
  <c r="O41" i="1" a="1"/>
  <c r="N41" i="1" a="1"/>
  <c r="N41" i="1" s="1"/>
  <c r="M41" i="1"/>
  <c r="M41" i="1" a="1"/>
  <c r="I41" i="1"/>
  <c r="S41" i="1" s="1"/>
  <c r="H41" i="1"/>
  <c r="D41" i="1"/>
  <c r="C41" i="1"/>
  <c r="B41" i="1"/>
  <c r="A41" i="1"/>
  <c r="BT40" i="1"/>
  <c r="BT73" i="1" s="1" a="1"/>
  <c r="BT73" i="1" s="1"/>
  <c r="BS40" i="1"/>
  <c r="BR40" i="1"/>
  <c r="BQ40" i="1"/>
  <c r="BQ73" i="1" s="1" a="1"/>
  <c r="BQ73" i="1" s="1"/>
  <c r="BP40" i="1"/>
  <c r="BP73" i="1" s="1" a="1"/>
  <c r="BP73" i="1" s="1"/>
  <c r="BO40" i="1"/>
  <c r="BO73" i="1" s="1" a="1"/>
  <c r="BO73" i="1" s="1"/>
  <c r="BN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BH40" i="1" s="1"/>
  <c r="AL40" i="1"/>
  <c r="AK40" i="1"/>
  <c r="AN40" i="1" s="1"/>
  <c r="AJ40" i="1"/>
  <c r="AI40" i="1"/>
  <c r="AH40" i="1"/>
  <c r="AG40" i="1"/>
  <c r="AF40" i="1"/>
  <c r="AO40" i="1" s="1"/>
  <c r="AE40" i="1"/>
  <c r="AD40" i="1"/>
  <c r="AC40" i="1"/>
  <c r="AC73" i="1" s="1" a="1"/>
  <c r="AC73" i="1" s="1"/>
  <c r="AB40" i="1"/>
  <c r="AA40" i="1"/>
  <c r="AA73" i="1" s="1" a="1"/>
  <c r="AA73" i="1" s="1"/>
  <c r="Z40" i="1" a="1"/>
  <c r="Z40" i="1" s="1"/>
  <c r="Y40" i="1"/>
  <c r="Y40" i="1" a="1"/>
  <c r="X40" i="1"/>
  <c r="X40" i="1" a="1"/>
  <c r="W40" i="1"/>
  <c r="W73" i="1" s="1" a="1"/>
  <c r="W73" i="1" s="1"/>
  <c r="W40" i="1" a="1"/>
  <c r="V40" i="1" a="1"/>
  <c r="V40" i="1" s="1"/>
  <c r="U40" i="1"/>
  <c r="U40" i="1" a="1"/>
  <c r="T40" i="1" a="1"/>
  <c r="T40" i="1" s="1"/>
  <c r="T73" i="1" s="1" a="1"/>
  <c r="T73" i="1" s="1"/>
  <c r="S40" i="1"/>
  <c r="S73" i="1" s="1"/>
  <c r="R40" i="1"/>
  <c r="P40" i="1" a="1"/>
  <c r="P40" i="1" s="1"/>
  <c r="O40" i="1" a="1"/>
  <c r="O40" i="1" s="1"/>
  <c r="N40" i="1"/>
  <c r="N40" i="1" a="1"/>
  <c r="M40" i="1"/>
  <c r="M40" i="1" a="1"/>
  <c r="I40" i="1"/>
  <c r="Q40" i="1" s="1"/>
  <c r="H40" i="1"/>
  <c r="D40" i="1"/>
  <c r="C40" i="1"/>
  <c r="B40" i="1"/>
  <c r="A40" i="1"/>
  <c r="BN38" i="1"/>
  <c r="BT37" i="1"/>
  <c r="BS37" i="1"/>
  <c r="BR37" i="1"/>
  <c r="BQ37" i="1"/>
  <c r="BP37" i="1"/>
  <c r="BO37" i="1"/>
  <c r="BN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BH37" i="1" s="1"/>
  <c r="BK37" i="1" s="1"/>
  <c r="AT37" i="1"/>
  <c r="AS37" i="1"/>
  <c r="AM37" i="1"/>
  <c r="AL37" i="1"/>
  <c r="AK37" i="1"/>
  <c r="AJ37" i="1"/>
  <c r="AI37" i="1"/>
  <c r="AH37" i="1"/>
  <c r="AG37" i="1"/>
  <c r="AF37" i="1"/>
  <c r="AO37" i="1" s="1"/>
  <c r="AE37" i="1"/>
  <c r="AN37" i="1" s="1"/>
  <c r="AD37" i="1"/>
  <c r="AC37" i="1"/>
  <c r="AB37" i="1"/>
  <c r="AA37" i="1"/>
  <c r="Z37" i="1"/>
  <c r="Z37" i="1" a="1"/>
  <c r="Y37" i="1" a="1"/>
  <c r="Y37" i="1" s="1"/>
  <c r="X37" i="1"/>
  <c r="X37" i="1" a="1"/>
  <c r="W37" i="1"/>
  <c r="W37" i="1" a="1"/>
  <c r="V37" i="1"/>
  <c r="V37" i="1" a="1"/>
  <c r="U37" i="1" a="1"/>
  <c r="U37" i="1" s="1"/>
  <c r="T37" i="1"/>
  <c r="T37" i="1" a="1"/>
  <c r="P37" i="1"/>
  <c r="P37" i="1" a="1"/>
  <c r="O37" i="1"/>
  <c r="O37" i="1" a="1"/>
  <c r="N37" i="1" a="1"/>
  <c r="N37" i="1" s="1"/>
  <c r="M37" i="1" a="1"/>
  <c r="M37" i="1" s="1"/>
  <c r="I37" i="1"/>
  <c r="R37" i="1" s="1"/>
  <c r="H37" i="1"/>
  <c r="AP37" i="1" s="1"/>
  <c r="D37" i="1"/>
  <c r="C37" i="1"/>
  <c r="B37" i="1"/>
  <c r="A37" i="1"/>
  <c r="BT36" i="1"/>
  <c r="BS36" i="1"/>
  <c r="BR36" i="1"/>
  <c r="BQ36" i="1"/>
  <c r="BP36" i="1"/>
  <c r="BO36" i="1"/>
  <c r="BN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BH36" i="1" s="1"/>
  <c r="BK36" i="1" s="1"/>
  <c r="AL36" i="1"/>
  <c r="AO36" i="1" s="1"/>
  <c r="AR36" i="1" s="1"/>
  <c r="AK36" i="1"/>
  <c r="AJ36" i="1"/>
  <c r="AI36" i="1"/>
  <c r="AH36" i="1"/>
  <c r="AG36" i="1"/>
  <c r="AF36" i="1"/>
  <c r="AE36" i="1"/>
  <c r="AD36" i="1"/>
  <c r="AM36" i="1" s="1"/>
  <c r="AC36" i="1"/>
  <c r="AB36" i="1"/>
  <c r="AA36" i="1"/>
  <c r="Z36" i="1" a="1"/>
  <c r="Z36" i="1" s="1"/>
  <c r="Y36" i="1" a="1"/>
  <c r="Y36" i="1" s="1"/>
  <c r="X36" i="1"/>
  <c r="X36" i="1" a="1"/>
  <c r="W36" i="1"/>
  <c r="W36" i="1" a="1"/>
  <c r="V36" i="1" a="1"/>
  <c r="V36" i="1" s="1"/>
  <c r="U36" i="1" a="1"/>
  <c r="U36" i="1" s="1"/>
  <c r="T36" i="1"/>
  <c r="T36" i="1" a="1"/>
  <c r="S36" i="1"/>
  <c r="P36" i="1"/>
  <c r="P36" i="1" a="1"/>
  <c r="O36" i="1"/>
  <c r="O36" i="1" a="1"/>
  <c r="N36" i="1"/>
  <c r="N36" i="1" a="1"/>
  <c r="M36" i="1"/>
  <c r="M36" i="1" a="1"/>
  <c r="I36" i="1"/>
  <c r="H36" i="1"/>
  <c r="D36" i="1"/>
  <c r="C36" i="1"/>
  <c r="B36" i="1"/>
  <c r="A36" i="1"/>
  <c r="BT35" i="1"/>
  <c r="BS35" i="1"/>
  <c r="BR35" i="1"/>
  <c r="BQ35" i="1"/>
  <c r="BP35" i="1"/>
  <c r="BO35" i="1"/>
  <c r="BN35" i="1"/>
  <c r="BG35" i="1"/>
  <c r="BF35" i="1"/>
  <c r="BE35" i="1"/>
  <c r="BJ35" i="1" s="1"/>
  <c r="BM35" i="1" s="1"/>
  <c r="BD35" i="1"/>
  <c r="BC35" i="1"/>
  <c r="BB35" i="1"/>
  <c r="BA35" i="1"/>
  <c r="AZ35" i="1"/>
  <c r="AY35" i="1"/>
  <c r="AX35" i="1"/>
  <c r="AW35" i="1"/>
  <c r="AV35" i="1"/>
  <c r="AU35" i="1"/>
  <c r="AT35" i="1"/>
  <c r="BH35" i="1" s="1"/>
  <c r="AS35" i="1"/>
  <c r="AO35" i="1"/>
  <c r="AR35" i="1" s="1"/>
  <c r="AL35" i="1"/>
  <c r="AK35" i="1"/>
  <c r="AJ35" i="1"/>
  <c r="AI35" i="1"/>
  <c r="AH35" i="1"/>
  <c r="AN35" i="1" s="1"/>
  <c r="AQ35" i="1" s="1"/>
  <c r="AG35" i="1"/>
  <c r="AF35" i="1"/>
  <c r="AE35" i="1"/>
  <c r="AD35" i="1"/>
  <c r="AC35" i="1"/>
  <c r="AB35" i="1"/>
  <c r="AA35" i="1"/>
  <c r="Z35" i="1"/>
  <c r="Z35" i="1" a="1"/>
  <c r="Y35" i="1"/>
  <c r="Y35" i="1" a="1"/>
  <c r="X35" i="1"/>
  <c r="X35" i="1" a="1"/>
  <c r="W35" i="1"/>
  <c r="W35" i="1" a="1"/>
  <c r="V35" i="1"/>
  <c r="V35" i="1" a="1"/>
  <c r="U35" i="1"/>
  <c r="U35" i="1" a="1"/>
  <c r="T35" i="1"/>
  <c r="T35" i="1" a="1"/>
  <c r="S35" i="1"/>
  <c r="P35" i="1"/>
  <c r="P35" i="1" a="1"/>
  <c r="O35" i="1" a="1"/>
  <c r="O35" i="1" s="1"/>
  <c r="N35" i="1" a="1"/>
  <c r="N35" i="1" s="1"/>
  <c r="M35" i="1"/>
  <c r="M35" i="1" a="1"/>
  <c r="I35" i="1"/>
  <c r="R35" i="1" s="1"/>
  <c r="H35" i="1"/>
  <c r="D35" i="1"/>
  <c r="C35" i="1"/>
  <c r="B35" i="1"/>
  <c r="A35" i="1"/>
  <c r="BT34" i="1"/>
  <c r="BS34" i="1"/>
  <c r="BR34" i="1"/>
  <c r="BQ34" i="1"/>
  <c r="BP34" i="1"/>
  <c r="BO34" i="1"/>
  <c r="BN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L34" i="1"/>
  <c r="AK34" i="1"/>
  <c r="AJ34" i="1"/>
  <c r="AI34" i="1"/>
  <c r="AO34" i="1" s="1"/>
  <c r="AH34" i="1"/>
  <c r="AG34" i="1"/>
  <c r="AF34" i="1"/>
  <c r="AE34" i="1"/>
  <c r="AN34" i="1" s="1"/>
  <c r="AQ34" i="1" s="1"/>
  <c r="AD34" i="1"/>
  <c r="AM34" i="1" s="1"/>
  <c r="AC34" i="1"/>
  <c r="AB34" i="1"/>
  <c r="AA34" i="1"/>
  <c r="Z34" i="1" a="1"/>
  <c r="Z34" i="1" s="1"/>
  <c r="Y34" i="1"/>
  <c r="Y34" i="1" a="1"/>
  <c r="X34" i="1"/>
  <c r="X34" i="1" a="1"/>
  <c r="W34" i="1" a="1"/>
  <c r="W34" i="1" s="1"/>
  <c r="V34" i="1" a="1"/>
  <c r="V34" i="1" s="1"/>
  <c r="U34" i="1"/>
  <c r="U34" i="1" a="1"/>
  <c r="T34" i="1"/>
  <c r="T34" i="1" a="1"/>
  <c r="P34" i="1"/>
  <c r="P34" i="1" a="1"/>
  <c r="O34" i="1"/>
  <c r="O34" i="1" a="1"/>
  <c r="N34" i="1"/>
  <c r="N34" i="1" a="1"/>
  <c r="M34" i="1"/>
  <c r="M34" i="1" a="1"/>
  <c r="I34" i="1"/>
  <c r="H34" i="1"/>
  <c r="D34" i="1"/>
  <c r="C34" i="1"/>
  <c r="B34" i="1"/>
  <c r="A34" i="1"/>
  <c r="BT33" i="1"/>
  <c r="BS33" i="1"/>
  <c r="BR33" i="1"/>
  <c r="BQ33" i="1"/>
  <c r="BP33" i="1"/>
  <c r="BO33" i="1"/>
  <c r="BN33" i="1"/>
  <c r="BG33" i="1"/>
  <c r="BF33" i="1"/>
  <c r="BE33" i="1"/>
  <c r="BD33" i="1"/>
  <c r="BC33" i="1"/>
  <c r="BB33" i="1"/>
  <c r="BA33" i="1"/>
  <c r="AZ33" i="1"/>
  <c r="BI33" i="1" s="1"/>
  <c r="AY33" i="1"/>
  <c r="AX33" i="1"/>
  <c r="AW33" i="1"/>
  <c r="AV33" i="1"/>
  <c r="BH33" i="1" s="1"/>
  <c r="AU33" i="1"/>
  <c r="AT33" i="1"/>
  <c r="AS33" i="1"/>
  <c r="AN33" i="1"/>
  <c r="AL33" i="1"/>
  <c r="AK33" i="1"/>
  <c r="AJ33" i="1"/>
  <c r="AI33" i="1"/>
  <c r="AH33" i="1"/>
  <c r="AG33" i="1"/>
  <c r="AF33" i="1"/>
  <c r="AE33" i="1"/>
  <c r="AD33" i="1"/>
  <c r="AM33" i="1" s="1"/>
  <c r="AC33" i="1"/>
  <c r="AB33" i="1"/>
  <c r="AA33" i="1"/>
  <c r="Z33" i="1"/>
  <c r="Z33" i="1" a="1"/>
  <c r="Y33" i="1"/>
  <c r="Y33" i="1" a="1"/>
  <c r="X33" i="1"/>
  <c r="X33" i="1" a="1"/>
  <c r="W33" i="1"/>
  <c r="W33" i="1" a="1"/>
  <c r="V33" i="1"/>
  <c r="V33" i="1" a="1"/>
  <c r="U33" i="1" a="1"/>
  <c r="U33" i="1" s="1"/>
  <c r="T33" i="1"/>
  <c r="T33" i="1" a="1"/>
  <c r="S33" i="1"/>
  <c r="R33" i="1"/>
  <c r="Q33" i="1"/>
  <c r="P33" i="1" a="1"/>
  <c r="P33" i="1" s="1"/>
  <c r="O33" i="1" a="1"/>
  <c r="O33" i="1" s="1"/>
  <c r="N33" i="1"/>
  <c r="N33" i="1" a="1"/>
  <c r="M33" i="1"/>
  <c r="M33" i="1" a="1"/>
  <c r="I33" i="1"/>
  <c r="H33" i="1"/>
  <c r="D33" i="1"/>
  <c r="C33" i="1"/>
  <c r="B33" i="1"/>
  <c r="A33" i="1"/>
  <c r="BT32" i="1"/>
  <c r="BS32" i="1"/>
  <c r="BR32" i="1"/>
  <c r="BQ32" i="1"/>
  <c r="BP32" i="1"/>
  <c r="BO32" i="1"/>
  <c r="BN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N32" i="1"/>
  <c r="AL32" i="1"/>
  <c r="AK32" i="1"/>
  <c r="AJ32" i="1"/>
  <c r="AI32" i="1"/>
  <c r="AH32" i="1"/>
  <c r="AG32" i="1"/>
  <c r="AM32" i="1" s="1"/>
  <c r="AF32" i="1"/>
  <c r="AO32" i="1" s="1"/>
  <c r="AE32" i="1"/>
  <c r="AD32" i="1"/>
  <c r="AC32" i="1"/>
  <c r="AB32" i="1"/>
  <c r="AA32" i="1"/>
  <c r="Z32" i="1"/>
  <c r="Z32" i="1" a="1"/>
  <c r="Y32" i="1"/>
  <c r="Y32" i="1" a="1"/>
  <c r="X32" i="1" a="1"/>
  <c r="X32" i="1" s="1"/>
  <c r="W32" i="1"/>
  <c r="W32" i="1" a="1"/>
  <c r="V32" i="1" a="1"/>
  <c r="V32" i="1" s="1"/>
  <c r="U32" i="1"/>
  <c r="U32" i="1" a="1"/>
  <c r="T32" i="1" a="1"/>
  <c r="T32" i="1" s="1"/>
  <c r="S32" i="1"/>
  <c r="P32" i="1" a="1"/>
  <c r="P32" i="1" s="1"/>
  <c r="O32" i="1"/>
  <c r="O32" i="1" a="1"/>
  <c r="N32" i="1"/>
  <c r="N32" i="1" a="1"/>
  <c r="M32" i="1"/>
  <c r="M32" i="1" a="1"/>
  <c r="I32" i="1"/>
  <c r="R32" i="1" s="1"/>
  <c r="H32" i="1"/>
  <c r="AP32" i="1" s="1"/>
  <c r="D32" i="1"/>
  <c r="C32" i="1"/>
  <c r="B32" i="1"/>
  <c r="A32" i="1"/>
  <c r="BT31" i="1"/>
  <c r="BS31" i="1"/>
  <c r="BR31" i="1"/>
  <c r="BQ31" i="1"/>
  <c r="BP31" i="1"/>
  <c r="BO31" i="1"/>
  <c r="BN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N31" i="1"/>
  <c r="AL31" i="1"/>
  <c r="AK31" i="1"/>
  <c r="AJ31" i="1"/>
  <c r="AI31" i="1"/>
  <c r="AH31" i="1"/>
  <c r="AG31" i="1"/>
  <c r="AF31" i="1"/>
  <c r="AO31" i="1" s="1"/>
  <c r="AE31" i="1"/>
  <c r="AD31" i="1"/>
  <c r="AM31" i="1" s="1"/>
  <c r="AP31" i="1" s="1"/>
  <c r="AC31" i="1"/>
  <c r="AB31" i="1"/>
  <c r="AA31" i="1"/>
  <c r="Z31" i="1"/>
  <c r="Z31" i="1" a="1"/>
  <c r="Y31" i="1"/>
  <c r="Y31" i="1" a="1"/>
  <c r="X31" i="1"/>
  <c r="X31" i="1" a="1"/>
  <c r="W31" i="1"/>
  <c r="W31" i="1" a="1"/>
  <c r="V31" i="1"/>
  <c r="V31" i="1" a="1"/>
  <c r="U31" i="1"/>
  <c r="U31" i="1" a="1"/>
  <c r="T31" i="1"/>
  <c r="T31" i="1" a="1"/>
  <c r="P31" i="1" a="1"/>
  <c r="P31" i="1" s="1"/>
  <c r="O31" i="1" a="1"/>
  <c r="O31" i="1" s="1"/>
  <c r="N31" i="1"/>
  <c r="N31" i="1" a="1"/>
  <c r="M31" i="1" a="1"/>
  <c r="M31" i="1" s="1"/>
  <c r="I31" i="1"/>
  <c r="H31" i="1"/>
  <c r="D31" i="1"/>
  <c r="C31" i="1"/>
  <c r="B31" i="1"/>
  <c r="A31" i="1"/>
  <c r="BT30" i="1"/>
  <c r="BS30" i="1"/>
  <c r="BR30" i="1"/>
  <c r="BQ30" i="1"/>
  <c r="BP30" i="1"/>
  <c r="BO30" i="1"/>
  <c r="BN30" i="1"/>
  <c r="BG30" i="1"/>
  <c r="BF30" i="1"/>
  <c r="BE30" i="1"/>
  <c r="BD30" i="1"/>
  <c r="BC30" i="1"/>
  <c r="BB30" i="1"/>
  <c r="BA30" i="1"/>
  <c r="AZ30" i="1"/>
  <c r="AY30" i="1"/>
  <c r="AX30" i="1"/>
  <c r="BI30" i="1" s="1"/>
  <c r="AW30" i="1"/>
  <c r="AV30" i="1"/>
  <c r="AU30" i="1"/>
  <c r="AT30" i="1"/>
  <c r="AS30" i="1"/>
  <c r="BH30" i="1" s="1"/>
  <c r="AL30" i="1"/>
  <c r="AK30" i="1"/>
  <c r="AJ30" i="1"/>
  <c r="AI30" i="1"/>
  <c r="AH30" i="1"/>
  <c r="AG30" i="1"/>
  <c r="AF30" i="1"/>
  <c r="AE30" i="1"/>
  <c r="AD30" i="1"/>
  <c r="AM30" i="1" s="1"/>
  <c r="AP30" i="1" s="1"/>
  <c r="AC30" i="1"/>
  <c r="AB30" i="1"/>
  <c r="AA30" i="1"/>
  <c r="Z30" i="1"/>
  <c r="Z30" i="1" a="1"/>
  <c r="Y30" i="1" a="1"/>
  <c r="Y30" i="1" s="1"/>
  <c r="X30" i="1" a="1"/>
  <c r="X30" i="1" s="1"/>
  <c r="W30" i="1" a="1"/>
  <c r="W30" i="1" s="1"/>
  <c r="V30" i="1"/>
  <c r="V30" i="1" a="1"/>
  <c r="U30" i="1" a="1"/>
  <c r="U30" i="1" s="1"/>
  <c r="T30" i="1"/>
  <c r="T30" i="1" a="1"/>
  <c r="S30" i="1"/>
  <c r="R30" i="1"/>
  <c r="Q30" i="1"/>
  <c r="P30" i="1"/>
  <c r="P30" i="1" a="1"/>
  <c r="O30" i="1" a="1"/>
  <c r="O30" i="1" s="1"/>
  <c r="N30" i="1" a="1"/>
  <c r="N30" i="1" s="1"/>
  <c r="M30" i="1" a="1"/>
  <c r="M30" i="1" s="1"/>
  <c r="I30" i="1"/>
  <c r="H30" i="1"/>
  <c r="D30" i="1"/>
  <c r="C30" i="1"/>
  <c r="B30" i="1"/>
  <c r="A30" i="1"/>
  <c r="BT29" i="1"/>
  <c r="BS29" i="1"/>
  <c r="BR29" i="1"/>
  <c r="BQ29" i="1"/>
  <c r="BP29" i="1"/>
  <c r="BO29" i="1"/>
  <c r="BN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M29" i="1"/>
  <c r="AL29" i="1"/>
  <c r="AO29" i="1" s="1"/>
  <c r="AK29" i="1"/>
  <c r="AJ29" i="1"/>
  <c r="AI29" i="1"/>
  <c r="AH29" i="1"/>
  <c r="AG29" i="1"/>
  <c r="AF29" i="1"/>
  <c r="AE29" i="1"/>
  <c r="AN29" i="1" s="1"/>
  <c r="AD29" i="1"/>
  <c r="AC29" i="1"/>
  <c r="AB29" i="1"/>
  <c r="AA29" i="1"/>
  <c r="Z29" i="1" a="1"/>
  <c r="Z29" i="1" s="1"/>
  <c r="Y29" i="1" a="1"/>
  <c r="Y29" i="1" s="1"/>
  <c r="X29" i="1"/>
  <c r="X29" i="1" a="1"/>
  <c r="W29" i="1"/>
  <c r="W29" i="1" a="1"/>
  <c r="V29" i="1" a="1"/>
  <c r="V29" i="1" s="1"/>
  <c r="U29" i="1" a="1"/>
  <c r="U29" i="1" s="1"/>
  <c r="T29" i="1"/>
  <c r="T29" i="1" a="1"/>
  <c r="S29" i="1"/>
  <c r="P29" i="1"/>
  <c r="P29" i="1" a="1"/>
  <c r="O29" i="1"/>
  <c r="O29" i="1" a="1"/>
  <c r="N29" i="1" a="1"/>
  <c r="N29" i="1" s="1"/>
  <c r="M29" i="1"/>
  <c r="M29" i="1" a="1"/>
  <c r="I29" i="1"/>
  <c r="R29" i="1" s="1"/>
  <c r="H29" i="1"/>
  <c r="D29" i="1"/>
  <c r="C29" i="1"/>
  <c r="B29" i="1"/>
  <c r="A29" i="1"/>
  <c r="BT28" i="1"/>
  <c r="BS28" i="1"/>
  <c r="BR28" i="1"/>
  <c r="BQ28" i="1"/>
  <c r="BP28" i="1"/>
  <c r="BO28" i="1"/>
  <c r="BN28" i="1"/>
  <c r="BG28" i="1"/>
  <c r="BF28" i="1"/>
  <c r="BE28" i="1"/>
  <c r="BD28" i="1"/>
  <c r="BC28" i="1"/>
  <c r="BB28" i="1"/>
  <c r="BA28" i="1"/>
  <c r="AZ28" i="1"/>
  <c r="AY28" i="1"/>
  <c r="BI28" i="1" s="1"/>
  <c r="BL28" i="1" s="1"/>
  <c r="AX28" i="1"/>
  <c r="AW28" i="1"/>
  <c r="AV28" i="1"/>
  <c r="AU28" i="1"/>
  <c r="AT28" i="1"/>
  <c r="AS28" i="1"/>
  <c r="BH28" i="1" s="1"/>
  <c r="AQ28" i="1"/>
  <c r="AN28" i="1"/>
  <c r="AL28" i="1"/>
  <c r="AK28" i="1"/>
  <c r="AJ28" i="1"/>
  <c r="AI28" i="1"/>
  <c r="AH28" i="1"/>
  <c r="AG28" i="1"/>
  <c r="AM28" i="1" s="1"/>
  <c r="AF28" i="1"/>
  <c r="AO28" i="1" s="1"/>
  <c r="AE28" i="1"/>
  <c r="AD28" i="1"/>
  <c r="AC28" i="1"/>
  <c r="AB28" i="1"/>
  <c r="AA28" i="1"/>
  <c r="Z28" i="1" a="1"/>
  <c r="Z28" i="1" s="1"/>
  <c r="Y28" i="1" a="1"/>
  <c r="Y28" i="1" s="1"/>
  <c r="X28" i="1"/>
  <c r="X28" i="1" a="1"/>
  <c r="W28" i="1" a="1"/>
  <c r="W28" i="1" s="1"/>
  <c r="V28" i="1" a="1"/>
  <c r="V28" i="1" s="1"/>
  <c r="U28" i="1"/>
  <c r="U28" i="1" a="1"/>
  <c r="T28" i="1"/>
  <c r="T28" i="1" a="1"/>
  <c r="P28" i="1"/>
  <c r="P28" i="1" a="1"/>
  <c r="O28" i="1"/>
  <c r="O28" i="1" a="1"/>
  <c r="N28" i="1"/>
  <c r="N28" i="1" a="1"/>
  <c r="M28" i="1"/>
  <c r="M28" i="1" a="1"/>
  <c r="I28" i="1"/>
  <c r="Q28" i="1" s="1"/>
  <c r="H28" i="1"/>
  <c r="D28" i="1"/>
  <c r="C28" i="1"/>
  <c r="B28" i="1"/>
  <c r="A28" i="1"/>
  <c r="BT27" i="1"/>
  <c r="BS27" i="1"/>
  <c r="BR27" i="1"/>
  <c r="BQ27" i="1"/>
  <c r="BP27" i="1"/>
  <c r="BO27" i="1"/>
  <c r="BN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BH27" i="1" s="1"/>
  <c r="AL27" i="1"/>
  <c r="AK27" i="1"/>
  <c r="AJ27" i="1"/>
  <c r="AI27" i="1"/>
  <c r="AH27" i="1"/>
  <c r="AG27" i="1"/>
  <c r="AF27" i="1"/>
  <c r="AO27" i="1" s="1"/>
  <c r="AE27" i="1"/>
  <c r="AD27" i="1"/>
  <c r="AC27" i="1"/>
  <c r="AB27" i="1"/>
  <c r="AA27" i="1"/>
  <c r="Z27" i="1"/>
  <c r="Z27" i="1" a="1"/>
  <c r="Y27" i="1"/>
  <c r="Y27" i="1" a="1"/>
  <c r="X27" i="1" a="1"/>
  <c r="X27" i="1" s="1"/>
  <c r="W27" i="1"/>
  <c r="W27" i="1" a="1"/>
  <c r="V27" i="1"/>
  <c r="V27" i="1" a="1"/>
  <c r="U27" i="1"/>
  <c r="U27" i="1" a="1"/>
  <c r="T27" i="1" a="1"/>
  <c r="T27" i="1" s="1"/>
  <c r="Q27" i="1"/>
  <c r="P27" i="1" a="1"/>
  <c r="P27" i="1" s="1"/>
  <c r="O27" i="1"/>
  <c r="O27" i="1" a="1"/>
  <c r="N27" i="1" a="1"/>
  <c r="N27" i="1" s="1"/>
  <c r="M27" i="1" a="1"/>
  <c r="M27" i="1" s="1"/>
  <c r="I27" i="1"/>
  <c r="S27" i="1" s="1"/>
  <c r="H27" i="1"/>
  <c r="D27" i="1"/>
  <c r="C27" i="1"/>
  <c r="B27" i="1"/>
  <c r="A27" i="1"/>
  <c r="BT26" i="1"/>
  <c r="BS26" i="1"/>
  <c r="BR26" i="1"/>
  <c r="BQ26" i="1"/>
  <c r="BP26" i="1"/>
  <c r="BO26" i="1"/>
  <c r="BN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M26" i="1"/>
  <c r="AP26" i="1" s="1"/>
  <c r="AL26" i="1"/>
  <c r="AO26" i="1" s="1"/>
  <c r="AR26" i="1" s="1"/>
  <c r="AK26" i="1"/>
  <c r="AJ26" i="1"/>
  <c r="AI26" i="1"/>
  <c r="AH26" i="1"/>
  <c r="AG26" i="1"/>
  <c r="AF26" i="1"/>
  <c r="AE26" i="1"/>
  <c r="AN26" i="1" s="1"/>
  <c r="AD26" i="1"/>
  <c r="AC26" i="1"/>
  <c r="AB26" i="1"/>
  <c r="AA26" i="1"/>
  <c r="Z26" i="1" a="1"/>
  <c r="Z26" i="1" s="1"/>
  <c r="Y26" i="1" a="1"/>
  <c r="Y26" i="1" s="1"/>
  <c r="X26" i="1" a="1"/>
  <c r="X26" i="1" s="1"/>
  <c r="W26" i="1"/>
  <c r="W26" i="1" a="1"/>
  <c r="V26" i="1" a="1"/>
  <c r="V26" i="1" s="1"/>
  <c r="U26" i="1" a="1"/>
  <c r="U26" i="1" s="1"/>
  <c r="T26" i="1" a="1"/>
  <c r="T26" i="1" s="1"/>
  <c r="P26" i="1"/>
  <c r="P26" i="1" a="1"/>
  <c r="O26" i="1"/>
  <c r="O26" i="1" a="1"/>
  <c r="N26" i="1"/>
  <c r="N26" i="1" a="1"/>
  <c r="M26" i="1" a="1"/>
  <c r="M26" i="1" s="1"/>
  <c r="I26" i="1"/>
  <c r="S26" i="1" s="1"/>
  <c r="H26" i="1"/>
  <c r="D26" i="1"/>
  <c r="C26" i="1"/>
  <c r="B26" i="1"/>
  <c r="A26" i="1"/>
  <c r="BT25" i="1"/>
  <c r="BS25" i="1"/>
  <c r="BR25" i="1"/>
  <c r="BQ25" i="1"/>
  <c r="BP25" i="1"/>
  <c r="BO25" i="1"/>
  <c r="BN25" i="1"/>
  <c r="BH25" i="1"/>
  <c r="BK25" i="1" s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L25" i="1"/>
  <c r="AK25" i="1"/>
  <c r="AJ25" i="1"/>
  <c r="AI25" i="1"/>
  <c r="AO25" i="1" s="1"/>
  <c r="AH25" i="1"/>
  <c r="AG25" i="1"/>
  <c r="AF25" i="1"/>
  <c r="AE25" i="1"/>
  <c r="AN25" i="1" s="1"/>
  <c r="AQ25" i="1" s="1"/>
  <c r="AD25" i="1"/>
  <c r="AM25" i="1" s="1"/>
  <c r="AP25" i="1" s="1"/>
  <c r="AC25" i="1"/>
  <c r="AB25" i="1"/>
  <c r="AA25" i="1"/>
  <c r="Z25" i="1"/>
  <c r="Z25" i="1" a="1"/>
  <c r="Y25" i="1" a="1"/>
  <c r="Y25" i="1" s="1"/>
  <c r="X25" i="1"/>
  <c r="X25" i="1" a="1"/>
  <c r="W25" i="1"/>
  <c r="W25" i="1" a="1"/>
  <c r="V25" i="1"/>
  <c r="V25" i="1" a="1"/>
  <c r="U25" i="1" a="1"/>
  <c r="U25" i="1" s="1"/>
  <c r="T25" i="1"/>
  <c r="T25" i="1" a="1"/>
  <c r="S25" i="1"/>
  <c r="R25" i="1"/>
  <c r="Q25" i="1"/>
  <c r="P25" i="1"/>
  <c r="P25" i="1" a="1"/>
  <c r="O25" i="1" a="1"/>
  <c r="O25" i="1" s="1"/>
  <c r="N25" i="1" a="1"/>
  <c r="N25" i="1" s="1"/>
  <c r="M25" i="1" a="1"/>
  <c r="M25" i="1" s="1"/>
  <c r="I25" i="1"/>
  <c r="H25" i="1"/>
  <c r="D25" i="1"/>
  <c r="C25" i="1"/>
  <c r="B25" i="1"/>
  <c r="A25" i="1"/>
  <c r="BT24" i="1"/>
  <c r="BS24" i="1"/>
  <c r="BR24" i="1"/>
  <c r="BQ24" i="1"/>
  <c r="BP24" i="1"/>
  <c r="BO24" i="1"/>
  <c r="BN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O24" i="1"/>
  <c r="AL24" i="1"/>
  <c r="AK24" i="1"/>
  <c r="AJ24" i="1"/>
  <c r="AI24" i="1"/>
  <c r="AH24" i="1"/>
  <c r="AG24" i="1"/>
  <c r="AM24" i="1" s="1"/>
  <c r="AF24" i="1"/>
  <c r="AE24" i="1"/>
  <c r="AN24" i="1" s="1"/>
  <c r="AD24" i="1"/>
  <c r="AC24" i="1"/>
  <c r="AB24" i="1"/>
  <c r="AA24" i="1"/>
  <c r="Z24" i="1" a="1"/>
  <c r="Z24" i="1" s="1"/>
  <c r="Y24" i="1" a="1"/>
  <c r="Y24" i="1" s="1"/>
  <c r="X24" i="1"/>
  <c r="X24" i="1" a="1"/>
  <c r="W24" i="1" a="1"/>
  <c r="W24" i="1" s="1"/>
  <c r="V24" i="1" a="1"/>
  <c r="V24" i="1" s="1"/>
  <c r="U24" i="1" a="1"/>
  <c r="U24" i="1" s="1"/>
  <c r="T24" i="1"/>
  <c r="T24" i="1" a="1"/>
  <c r="P24" i="1"/>
  <c r="P24" i="1" a="1"/>
  <c r="O24" i="1"/>
  <c r="O24" i="1" a="1"/>
  <c r="N24" i="1" a="1"/>
  <c r="N24" i="1" s="1"/>
  <c r="M24" i="1"/>
  <c r="M24" i="1" a="1"/>
  <c r="I24" i="1"/>
  <c r="H24" i="1"/>
  <c r="D24" i="1"/>
  <c r="C24" i="1"/>
  <c r="B24" i="1"/>
  <c r="A24" i="1"/>
  <c r="BT23" i="1"/>
  <c r="BS23" i="1"/>
  <c r="BR23" i="1"/>
  <c r="BQ23" i="1"/>
  <c r="BP23" i="1"/>
  <c r="BO23" i="1"/>
  <c r="BN23" i="1"/>
  <c r="BJ23" i="1"/>
  <c r="BG23" i="1"/>
  <c r="BF23" i="1"/>
  <c r="BE23" i="1"/>
  <c r="BD23" i="1"/>
  <c r="BC23" i="1"/>
  <c r="BB23" i="1"/>
  <c r="BA23" i="1"/>
  <c r="AZ23" i="1"/>
  <c r="BI23" i="1" s="1"/>
  <c r="AY23" i="1"/>
  <c r="AX23" i="1"/>
  <c r="AW23" i="1"/>
  <c r="AV23" i="1"/>
  <c r="AU23" i="1"/>
  <c r="AT23" i="1"/>
  <c r="BH23" i="1" s="1"/>
  <c r="AS23" i="1"/>
  <c r="AN23" i="1"/>
  <c r="AL23" i="1"/>
  <c r="AK23" i="1"/>
  <c r="AJ23" i="1"/>
  <c r="AI23" i="1"/>
  <c r="AH23" i="1"/>
  <c r="AG23" i="1"/>
  <c r="AF23" i="1"/>
  <c r="AE23" i="1"/>
  <c r="AD23" i="1"/>
  <c r="AM23" i="1" s="1"/>
  <c r="AC23" i="1"/>
  <c r="AB23" i="1"/>
  <c r="AA23" i="1"/>
  <c r="Z23" i="1" a="1"/>
  <c r="Z23" i="1" s="1"/>
  <c r="Y23" i="1"/>
  <c r="Y23" i="1" a="1"/>
  <c r="X23" i="1"/>
  <c r="X23" i="1" a="1"/>
  <c r="W23" i="1"/>
  <c r="W23" i="1" a="1"/>
  <c r="V23" i="1" a="1"/>
  <c r="V23" i="1" s="1"/>
  <c r="U23" i="1"/>
  <c r="U23" i="1" a="1"/>
  <c r="T23" i="1"/>
  <c r="T23" i="1" a="1"/>
  <c r="S23" i="1"/>
  <c r="R23" i="1"/>
  <c r="P23" i="1" a="1"/>
  <c r="P23" i="1" s="1"/>
  <c r="O23" i="1" a="1"/>
  <c r="O23" i="1" s="1"/>
  <c r="N23" i="1" a="1"/>
  <c r="N23" i="1" s="1"/>
  <c r="M23" i="1"/>
  <c r="M23" i="1" a="1"/>
  <c r="I23" i="1"/>
  <c r="Q23" i="1" s="1"/>
  <c r="H23" i="1"/>
  <c r="AQ23" i="1" s="1"/>
  <c r="D23" i="1"/>
  <c r="C23" i="1"/>
  <c r="B23" i="1"/>
  <c r="A23" i="1"/>
  <c r="BT22" i="1"/>
  <c r="BS22" i="1"/>
  <c r="BR22" i="1"/>
  <c r="BQ22" i="1"/>
  <c r="BP22" i="1"/>
  <c r="BO22" i="1"/>
  <c r="BN22" i="1"/>
  <c r="BG22" i="1"/>
  <c r="BF22" i="1"/>
  <c r="BE22" i="1"/>
  <c r="BD22" i="1"/>
  <c r="BJ22" i="1" s="1"/>
  <c r="BM22" i="1" s="1"/>
  <c r="BC22" i="1"/>
  <c r="BB22" i="1"/>
  <c r="BA22" i="1"/>
  <c r="AZ22" i="1"/>
  <c r="AY22" i="1"/>
  <c r="AX22" i="1"/>
  <c r="AW22" i="1"/>
  <c r="AV22" i="1"/>
  <c r="AU22" i="1"/>
  <c r="AT22" i="1"/>
  <c r="AS22" i="1"/>
  <c r="BH22" i="1" s="1"/>
  <c r="AL22" i="1"/>
  <c r="AK22" i="1"/>
  <c r="AJ22" i="1"/>
  <c r="AI22" i="1"/>
  <c r="AO22" i="1" s="1"/>
  <c r="AH22" i="1"/>
  <c r="AN22" i="1" s="1"/>
  <c r="AQ22" i="1" s="1"/>
  <c r="AG22" i="1"/>
  <c r="AF22" i="1"/>
  <c r="AE22" i="1"/>
  <c r="AD22" i="1"/>
  <c r="AM22" i="1" s="1"/>
  <c r="AP22" i="1" s="1"/>
  <c r="AC22" i="1"/>
  <c r="AB22" i="1"/>
  <c r="AA22" i="1"/>
  <c r="Z22" i="1" a="1"/>
  <c r="Z22" i="1" s="1"/>
  <c r="Y22" i="1"/>
  <c r="Y22" i="1" a="1"/>
  <c r="X22" i="1" a="1"/>
  <c r="X22" i="1" s="1"/>
  <c r="W22" i="1" a="1"/>
  <c r="W22" i="1" s="1"/>
  <c r="V22" i="1" a="1"/>
  <c r="V22" i="1" s="1"/>
  <c r="U22" i="1"/>
  <c r="U22" i="1" a="1"/>
  <c r="T22" i="1" a="1"/>
  <c r="T22" i="1" s="1"/>
  <c r="R22" i="1"/>
  <c r="P22" i="1"/>
  <c r="P22" i="1" a="1"/>
  <c r="O22" i="1" a="1"/>
  <c r="O22" i="1" s="1"/>
  <c r="N22" i="1"/>
  <c r="N22" i="1" a="1"/>
  <c r="M22" i="1"/>
  <c r="M22" i="1" a="1"/>
  <c r="I22" i="1"/>
  <c r="Q22" i="1" s="1"/>
  <c r="H22" i="1"/>
  <c r="D22" i="1"/>
  <c r="C22" i="1"/>
  <c r="B22" i="1"/>
  <c r="A22" i="1"/>
  <c r="BT21" i="1"/>
  <c r="BS21" i="1"/>
  <c r="BR21" i="1"/>
  <c r="BQ21" i="1"/>
  <c r="BP21" i="1"/>
  <c r="BO21" i="1"/>
  <c r="BN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N21" i="1"/>
  <c r="AL21" i="1"/>
  <c r="AK21" i="1"/>
  <c r="AJ21" i="1"/>
  <c r="AI21" i="1"/>
  <c r="AH21" i="1"/>
  <c r="AG21" i="1"/>
  <c r="AF21" i="1"/>
  <c r="AE21" i="1"/>
  <c r="AD21" i="1"/>
  <c r="AM21" i="1" s="1"/>
  <c r="AC21" i="1"/>
  <c r="AB21" i="1"/>
  <c r="AA21" i="1"/>
  <c r="Z21" i="1"/>
  <c r="Z21" i="1" a="1"/>
  <c r="Y21" i="1"/>
  <c r="Y21" i="1" a="1"/>
  <c r="X21" i="1"/>
  <c r="X21" i="1" a="1"/>
  <c r="W21" i="1" a="1"/>
  <c r="W21" i="1" s="1"/>
  <c r="V21" i="1"/>
  <c r="V21" i="1" a="1"/>
  <c r="U21" i="1"/>
  <c r="U21" i="1" a="1"/>
  <c r="T21" i="1"/>
  <c r="T21" i="1" a="1"/>
  <c r="R21" i="1"/>
  <c r="Q21" i="1"/>
  <c r="P21" i="1" a="1"/>
  <c r="P21" i="1" s="1"/>
  <c r="O21" i="1" a="1"/>
  <c r="O21" i="1" s="1"/>
  <c r="N21" i="1"/>
  <c r="N21" i="1" a="1"/>
  <c r="M21" i="1" a="1"/>
  <c r="M21" i="1" s="1"/>
  <c r="I21" i="1"/>
  <c r="S21" i="1" s="1"/>
  <c r="H21" i="1"/>
  <c r="D21" i="1"/>
  <c r="C21" i="1"/>
  <c r="B21" i="1"/>
  <c r="A21" i="1"/>
  <c r="BT20" i="1"/>
  <c r="BS20" i="1"/>
  <c r="BR20" i="1"/>
  <c r="BQ20" i="1"/>
  <c r="BP20" i="1"/>
  <c r="BO20" i="1"/>
  <c r="BN20" i="1"/>
  <c r="BG20" i="1"/>
  <c r="BF20" i="1"/>
  <c r="BE20" i="1"/>
  <c r="BD20" i="1"/>
  <c r="BC20" i="1"/>
  <c r="BJ20" i="1" s="1"/>
  <c r="BB20" i="1"/>
  <c r="BA20" i="1"/>
  <c r="AZ20" i="1"/>
  <c r="AY20" i="1"/>
  <c r="BI20" i="1" s="1"/>
  <c r="AX20" i="1"/>
  <c r="AW20" i="1"/>
  <c r="AV20" i="1"/>
  <c r="AU20" i="1"/>
  <c r="AT20" i="1"/>
  <c r="AS20" i="1"/>
  <c r="BH20" i="1" s="1"/>
  <c r="BK20" i="1" s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Z20" i="1" a="1"/>
  <c r="Y20" i="1" a="1"/>
  <c r="Y20" i="1" s="1"/>
  <c r="X20" i="1" a="1"/>
  <c r="X20" i="1" s="1"/>
  <c r="W20" i="1" a="1"/>
  <c r="W20" i="1" s="1"/>
  <c r="V20" i="1"/>
  <c r="V20" i="1" a="1"/>
  <c r="U20" i="1" a="1"/>
  <c r="U20" i="1" s="1"/>
  <c r="T20" i="1" a="1"/>
  <c r="T20" i="1" s="1"/>
  <c r="S20" i="1"/>
  <c r="R20" i="1"/>
  <c r="Q20" i="1"/>
  <c r="P20" i="1" a="1"/>
  <c r="P20" i="1" s="1"/>
  <c r="O20" i="1"/>
  <c r="O20" i="1" a="1"/>
  <c r="N20" i="1"/>
  <c r="N20" i="1" a="1"/>
  <c r="M20" i="1"/>
  <c r="M20" i="1" a="1"/>
  <c r="I20" i="1"/>
  <c r="H20" i="1"/>
  <c r="AP20" i="1" s="1"/>
  <c r="D20" i="1"/>
  <c r="C20" i="1"/>
  <c r="B20" i="1"/>
  <c r="A20" i="1"/>
  <c r="BT19" i="1"/>
  <c r="BS19" i="1"/>
  <c r="BR19" i="1"/>
  <c r="BQ19" i="1"/>
  <c r="BP19" i="1"/>
  <c r="BO19" i="1"/>
  <c r="BN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BH19" i="1" s="1"/>
  <c r="AU19" i="1"/>
  <c r="AT19" i="1"/>
  <c r="AS19" i="1"/>
  <c r="AN19" i="1"/>
  <c r="AL19" i="1"/>
  <c r="AK19" i="1"/>
  <c r="AJ19" i="1"/>
  <c r="AI19" i="1"/>
  <c r="AH19" i="1"/>
  <c r="AG19" i="1"/>
  <c r="AM19" i="1" s="1"/>
  <c r="AF19" i="1"/>
  <c r="AO19" i="1" s="1"/>
  <c r="AE19" i="1"/>
  <c r="AD19" i="1"/>
  <c r="AC19" i="1"/>
  <c r="AB19" i="1"/>
  <c r="AA19" i="1"/>
  <c r="Z19" i="1" a="1"/>
  <c r="Z19" i="1" s="1"/>
  <c r="Y19" i="1"/>
  <c r="Y19" i="1" a="1"/>
  <c r="X19" i="1" a="1"/>
  <c r="X19" i="1" s="1"/>
  <c r="W19" i="1"/>
  <c r="W19" i="1" a="1"/>
  <c r="V19" i="1" a="1"/>
  <c r="V19" i="1" s="1"/>
  <c r="U19" i="1" a="1"/>
  <c r="U19" i="1" s="1"/>
  <c r="T19" i="1" a="1"/>
  <c r="T19" i="1" s="1"/>
  <c r="S19" i="1"/>
  <c r="P19" i="1"/>
  <c r="P19" i="1" a="1"/>
  <c r="O19" i="1"/>
  <c r="O19" i="1" a="1"/>
  <c r="N19" i="1"/>
  <c r="N19" i="1" a="1"/>
  <c r="M19" i="1" a="1"/>
  <c r="M19" i="1" s="1"/>
  <c r="I19" i="1"/>
  <c r="R19" i="1" s="1"/>
  <c r="H19" i="1"/>
  <c r="D19" i="1"/>
  <c r="C19" i="1"/>
  <c r="B19" i="1"/>
  <c r="A19" i="1"/>
  <c r="BT18" i="1"/>
  <c r="BS18" i="1"/>
  <c r="BR18" i="1"/>
  <c r="BQ18" i="1"/>
  <c r="BP18" i="1"/>
  <c r="BO18" i="1"/>
  <c r="BN18" i="1"/>
  <c r="BG18" i="1"/>
  <c r="BF18" i="1"/>
  <c r="BE18" i="1"/>
  <c r="BD18" i="1"/>
  <c r="BC18" i="1"/>
  <c r="BB18" i="1"/>
  <c r="BA18" i="1"/>
  <c r="AZ18" i="1"/>
  <c r="AY18" i="1"/>
  <c r="AX18" i="1"/>
  <c r="BI18" i="1" s="1"/>
  <c r="AW18" i="1"/>
  <c r="AV18" i="1"/>
  <c r="AU18" i="1"/>
  <c r="AT18" i="1"/>
  <c r="AS18" i="1"/>
  <c r="BH18" i="1" s="1"/>
  <c r="AL18" i="1"/>
  <c r="AO18" i="1" s="1"/>
  <c r="AR18" i="1" s="1"/>
  <c r="AK18" i="1"/>
  <c r="AJ18" i="1"/>
  <c r="AI18" i="1"/>
  <c r="AH18" i="1"/>
  <c r="AG18" i="1"/>
  <c r="AF18" i="1"/>
  <c r="AE18" i="1"/>
  <c r="AN18" i="1" s="1"/>
  <c r="AD18" i="1"/>
  <c r="AM18" i="1" s="1"/>
  <c r="AP18" i="1" s="1"/>
  <c r="AC18" i="1"/>
  <c r="AB18" i="1"/>
  <c r="AA18" i="1"/>
  <c r="Z18" i="1"/>
  <c r="Z18" i="1" a="1"/>
  <c r="Y18" i="1" a="1"/>
  <c r="Y18" i="1" s="1"/>
  <c r="X18" i="1" a="1"/>
  <c r="X18" i="1" s="1"/>
  <c r="W18" i="1"/>
  <c r="W18" i="1" a="1"/>
  <c r="V18" i="1" a="1"/>
  <c r="V18" i="1" s="1"/>
  <c r="U18" i="1" a="1"/>
  <c r="U18" i="1" s="1"/>
  <c r="T18" i="1" a="1"/>
  <c r="T18" i="1" s="1"/>
  <c r="S18" i="1"/>
  <c r="P18" i="1"/>
  <c r="P18" i="1" a="1"/>
  <c r="O18" i="1"/>
  <c r="O18" i="1" a="1"/>
  <c r="N18" i="1" a="1"/>
  <c r="N18" i="1" s="1"/>
  <c r="M18" i="1" a="1"/>
  <c r="M18" i="1" s="1"/>
  <c r="I18" i="1"/>
  <c r="R18" i="1" s="1"/>
  <c r="H18" i="1"/>
  <c r="AQ18" i="1" s="1"/>
  <c r="D18" i="1"/>
  <c r="C18" i="1"/>
  <c r="B18" i="1"/>
  <c r="A18" i="1"/>
  <c r="BT17" i="1"/>
  <c r="BS17" i="1"/>
  <c r="BR17" i="1"/>
  <c r="BQ17" i="1"/>
  <c r="BP17" i="1"/>
  <c r="BO17" i="1"/>
  <c r="BN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BH17" i="1" s="1"/>
  <c r="AS17" i="1"/>
  <c r="AO17" i="1"/>
  <c r="AR17" i="1" s="1"/>
  <c r="AL17" i="1"/>
  <c r="AK17" i="1"/>
  <c r="AJ17" i="1"/>
  <c r="AI17" i="1"/>
  <c r="AH17" i="1"/>
  <c r="AG17" i="1"/>
  <c r="AF17" i="1"/>
  <c r="AE17" i="1"/>
  <c r="AD17" i="1"/>
  <c r="AM17" i="1" s="1"/>
  <c r="AP17" i="1" s="1"/>
  <c r="AC17" i="1"/>
  <c r="AB17" i="1"/>
  <c r="AA17" i="1"/>
  <c r="Z17" i="1"/>
  <c r="Z17" i="1" a="1"/>
  <c r="Y17" i="1" a="1"/>
  <c r="Y17" i="1" s="1"/>
  <c r="X17" i="1"/>
  <c r="X17" i="1" a="1"/>
  <c r="W17" i="1" a="1"/>
  <c r="W17" i="1" s="1"/>
  <c r="V17" i="1" a="1"/>
  <c r="V17" i="1" s="1"/>
  <c r="U17" i="1" a="1"/>
  <c r="U17" i="1" s="1"/>
  <c r="T17" i="1"/>
  <c r="T17" i="1" a="1"/>
  <c r="P17" i="1"/>
  <c r="P17" i="1" a="1"/>
  <c r="O17" i="1"/>
  <c r="O17" i="1" a="1"/>
  <c r="N17" i="1" a="1"/>
  <c r="N17" i="1" s="1"/>
  <c r="M17" i="1" a="1"/>
  <c r="M17" i="1" s="1"/>
  <c r="I17" i="1"/>
  <c r="S17" i="1" s="1"/>
  <c r="H17" i="1"/>
  <c r="D17" i="1"/>
  <c r="C17" i="1"/>
  <c r="B17" i="1"/>
  <c r="A17" i="1"/>
  <c r="BT16" i="1"/>
  <c r="BS16" i="1"/>
  <c r="BR16" i="1"/>
  <c r="BQ16" i="1"/>
  <c r="BP16" i="1"/>
  <c r="BO16" i="1"/>
  <c r="BN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BH16" i="1" s="1"/>
  <c r="BJ16" i="1" s="1"/>
  <c r="AS16" i="1"/>
  <c r="AO16" i="1"/>
  <c r="AN16" i="1"/>
  <c r="AL16" i="1"/>
  <c r="AK16" i="1"/>
  <c r="AJ16" i="1"/>
  <c r="AI16" i="1"/>
  <c r="AH16" i="1"/>
  <c r="AG16" i="1"/>
  <c r="AF16" i="1"/>
  <c r="AE16" i="1"/>
  <c r="AD16" i="1"/>
  <c r="AM16" i="1" s="1"/>
  <c r="AC16" i="1"/>
  <c r="AB16" i="1"/>
  <c r="AA16" i="1"/>
  <c r="Z16" i="1" a="1"/>
  <c r="Z16" i="1" s="1"/>
  <c r="Y16" i="1"/>
  <c r="Y16" i="1" a="1"/>
  <c r="X16" i="1"/>
  <c r="X16" i="1" a="1"/>
  <c r="W16" i="1" a="1"/>
  <c r="W16" i="1" s="1"/>
  <c r="V16" i="1" a="1"/>
  <c r="V16" i="1" s="1"/>
  <c r="U16" i="1"/>
  <c r="U16" i="1" a="1"/>
  <c r="T16" i="1"/>
  <c r="T16" i="1" a="1"/>
  <c r="P16" i="1"/>
  <c r="P16" i="1" a="1"/>
  <c r="O16" i="1"/>
  <c r="O16" i="1" a="1"/>
  <c r="N16" i="1" a="1"/>
  <c r="N16" i="1" s="1"/>
  <c r="M16" i="1"/>
  <c r="M16" i="1" a="1"/>
  <c r="I16" i="1"/>
  <c r="Q16" i="1" s="1"/>
  <c r="H16" i="1"/>
  <c r="AR16" i="1" s="1"/>
  <c r="D16" i="1"/>
  <c r="C16" i="1"/>
  <c r="B16" i="1"/>
  <c r="A16" i="1"/>
  <c r="BT15" i="1"/>
  <c r="BS15" i="1"/>
  <c r="BR15" i="1"/>
  <c r="BQ15" i="1"/>
  <c r="BQ38" i="1" s="1"/>
  <c r="BP15" i="1"/>
  <c r="BP38" i="1" s="1"/>
  <c r="BO15" i="1"/>
  <c r="BO38" i="1" s="1"/>
  <c r="BN15" i="1"/>
  <c r="BH15" i="1"/>
  <c r="BG15" i="1"/>
  <c r="BF15" i="1"/>
  <c r="BE15" i="1"/>
  <c r="BD15" i="1"/>
  <c r="BJ15" i="1" s="1"/>
  <c r="BC15" i="1"/>
  <c r="BB15" i="1"/>
  <c r="BA15" i="1"/>
  <c r="AZ15" i="1"/>
  <c r="BI15" i="1" s="1"/>
  <c r="AY15" i="1"/>
  <c r="AX15" i="1"/>
  <c r="AW15" i="1"/>
  <c r="AV15" i="1"/>
  <c r="AU15" i="1"/>
  <c r="AT15" i="1"/>
  <c r="AS15" i="1"/>
  <c r="AN15" i="1"/>
  <c r="AN38" i="1" s="1"/>
  <c r="AL15" i="1"/>
  <c r="AK15" i="1"/>
  <c r="AJ15" i="1"/>
  <c r="AI15" i="1"/>
  <c r="AH15" i="1"/>
  <c r="AG15" i="1"/>
  <c r="AF15" i="1"/>
  <c r="AO15" i="1" s="1"/>
  <c r="AE15" i="1"/>
  <c r="AD15" i="1"/>
  <c r="AM15" i="1" s="1"/>
  <c r="AM38" i="1" s="1"/>
  <c r="AC15" i="1"/>
  <c r="AB15" i="1"/>
  <c r="AA15" i="1"/>
  <c r="AA38" i="1" s="1"/>
  <c r="Z15" i="1" a="1"/>
  <c r="Z15" i="1" s="1"/>
  <c r="Y15" i="1"/>
  <c r="Y15" i="1" a="1"/>
  <c r="X15" i="1"/>
  <c r="X38" i="1" s="1"/>
  <c r="X15" i="1" a="1"/>
  <c r="W15" i="1" a="1"/>
  <c r="W15" i="1" s="1"/>
  <c r="W38" i="1" s="1"/>
  <c r="V15" i="1" a="1"/>
  <c r="V15" i="1" s="1"/>
  <c r="V38" i="1" s="1"/>
  <c r="U15" i="1"/>
  <c r="U38" i="1" s="1"/>
  <c r="U15" i="1" a="1"/>
  <c r="T15" i="1"/>
  <c r="T38" i="1" s="1"/>
  <c r="T15" i="1" a="1"/>
  <c r="S15" i="1"/>
  <c r="S38" i="1" s="1"/>
  <c r="P15" i="1" a="1"/>
  <c r="P15" i="1" s="1"/>
  <c r="P38" i="1" s="1"/>
  <c r="O15" i="1" a="1"/>
  <c r="O15" i="1" s="1"/>
  <c r="O38" i="1" s="1"/>
  <c r="N15" i="1" a="1"/>
  <c r="N15" i="1" s="1"/>
  <c r="N38" i="1" s="1"/>
  <c r="M15" i="1"/>
  <c r="M38" i="1" s="1"/>
  <c r="M15" i="1" a="1"/>
  <c r="I15" i="1"/>
  <c r="Q15" i="1" s="1"/>
  <c r="Q38" i="1" s="1"/>
  <c r="H15" i="1"/>
  <c r="AQ15" i="1" s="1"/>
  <c r="D15" i="1"/>
  <c r="C15" i="1"/>
  <c r="B15" i="1"/>
  <c r="A15" i="1"/>
  <c r="BT12" i="1"/>
  <c r="BS12" i="1"/>
  <c r="BR12" i="1"/>
  <c r="BQ12" i="1"/>
  <c r="BP12" i="1"/>
  <c r="BO12" i="1"/>
  <c r="BN12" i="1"/>
  <c r="BG12" i="1"/>
  <c r="BF12" i="1"/>
  <c r="BE12" i="1"/>
  <c r="BD12" i="1"/>
  <c r="BC12" i="1"/>
  <c r="BB12" i="1"/>
  <c r="BA12" i="1"/>
  <c r="AZ12" i="1"/>
  <c r="AY12" i="1"/>
  <c r="AX12" i="1"/>
  <c r="BI12" i="1" s="1"/>
  <c r="AW12" i="1"/>
  <c r="AV12" i="1"/>
  <c r="AU12" i="1"/>
  <c r="AT12" i="1"/>
  <c r="AS12" i="1"/>
  <c r="BH12" i="1" s="1"/>
  <c r="AO12" i="1"/>
  <c r="AL12" i="1"/>
  <c r="AK12" i="1"/>
  <c r="AJ12" i="1"/>
  <c r="AI12" i="1"/>
  <c r="AH12" i="1"/>
  <c r="AG12" i="1"/>
  <c r="AM12" i="1" s="1"/>
  <c r="AF12" i="1"/>
  <c r="AE12" i="1"/>
  <c r="AN12" i="1" s="1"/>
  <c r="AD12" i="1"/>
  <c r="AC12" i="1"/>
  <c r="AB12" i="1"/>
  <c r="AA12" i="1"/>
  <c r="Z12" i="1" a="1"/>
  <c r="Z12" i="1" s="1"/>
  <c r="Y12" i="1"/>
  <c r="Y12" i="1" a="1"/>
  <c r="X12" i="1" a="1"/>
  <c r="X12" i="1" s="1"/>
  <c r="W12" i="1"/>
  <c r="W12" i="1" a="1"/>
  <c r="V12" i="1" a="1"/>
  <c r="V12" i="1" s="1"/>
  <c r="U12" i="1"/>
  <c r="U12" i="1" a="1"/>
  <c r="T12" i="1" a="1"/>
  <c r="T12" i="1" s="1"/>
  <c r="P12" i="1" a="1"/>
  <c r="P12" i="1" s="1"/>
  <c r="O12" i="1"/>
  <c r="O12" i="1" a="1"/>
  <c r="N12" i="1"/>
  <c r="N12" i="1" a="1"/>
  <c r="M12" i="1"/>
  <c r="M12" i="1" a="1"/>
  <c r="I12" i="1"/>
  <c r="Q12" i="1" s="1"/>
  <c r="H12" i="1"/>
  <c r="AR12" i="1" s="1"/>
  <c r="D12" i="1"/>
  <c r="C12" i="1"/>
  <c r="B12" i="1"/>
  <c r="A12" i="1"/>
  <c r="BT11" i="1"/>
  <c r="BS11" i="1"/>
  <c r="BR11" i="1"/>
  <c r="BQ11" i="1"/>
  <c r="BP11" i="1"/>
  <c r="BO11" i="1"/>
  <c r="BN11" i="1"/>
  <c r="BH11" i="1"/>
  <c r="BG11" i="1"/>
  <c r="BF11" i="1"/>
  <c r="BE11" i="1"/>
  <c r="BD11" i="1"/>
  <c r="BJ11" i="1" s="1"/>
  <c r="BC11" i="1"/>
  <c r="BB11" i="1"/>
  <c r="BA11" i="1"/>
  <c r="AZ11" i="1"/>
  <c r="AY11" i="1"/>
  <c r="BI11" i="1" s="1"/>
  <c r="AX11" i="1"/>
  <c r="AW11" i="1"/>
  <c r="AV11" i="1"/>
  <c r="AU11" i="1"/>
  <c r="AT11" i="1"/>
  <c r="AS11" i="1"/>
  <c r="AL11" i="1"/>
  <c r="AK11" i="1"/>
  <c r="AJ11" i="1"/>
  <c r="AI11" i="1"/>
  <c r="AH11" i="1"/>
  <c r="AN11" i="1" s="1"/>
  <c r="AQ11" i="1" s="1"/>
  <c r="AG11" i="1"/>
  <c r="AF11" i="1"/>
  <c r="AO11" i="1" s="1"/>
  <c r="AR11" i="1" s="1"/>
  <c r="AE11" i="1"/>
  <c r="AD11" i="1"/>
  <c r="AM11" i="1" s="1"/>
  <c r="AP11" i="1" s="1"/>
  <c r="AC11" i="1"/>
  <c r="AB11" i="1"/>
  <c r="AA11" i="1"/>
  <c r="Z11" i="1"/>
  <c r="Z11" i="1" a="1"/>
  <c r="Y11" i="1"/>
  <c r="Y11" i="1" a="1"/>
  <c r="X11" i="1" a="1"/>
  <c r="X11" i="1" s="1"/>
  <c r="W11" i="1"/>
  <c r="W11" i="1" a="1"/>
  <c r="V11" i="1"/>
  <c r="V11" i="1" a="1"/>
  <c r="U11" i="1" a="1"/>
  <c r="U11" i="1" s="1"/>
  <c r="T11" i="1" a="1"/>
  <c r="T11" i="1" s="1"/>
  <c r="S11" i="1"/>
  <c r="R11" i="1"/>
  <c r="Q11" i="1"/>
  <c r="P11" i="1"/>
  <c r="P11" i="1" a="1"/>
  <c r="O11" i="1" a="1"/>
  <c r="O11" i="1" s="1"/>
  <c r="N11" i="1" a="1"/>
  <c r="N11" i="1" s="1"/>
  <c r="M11" i="1"/>
  <c r="M11" i="1" a="1"/>
  <c r="I11" i="1"/>
  <c r="H11" i="1"/>
  <c r="BK11" i="1" s="1"/>
  <c r="D11" i="1"/>
  <c r="C11" i="1"/>
  <c r="B11" i="1"/>
  <c r="A11" i="1"/>
  <c r="BT10" i="1"/>
  <c r="BS10" i="1"/>
  <c r="BR10" i="1"/>
  <c r="BQ10" i="1"/>
  <c r="BP10" i="1"/>
  <c r="BO10" i="1"/>
  <c r="BN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BH10" i="1" s="1"/>
  <c r="AO10" i="1"/>
  <c r="AN10" i="1"/>
  <c r="AL10" i="1"/>
  <c r="AK10" i="1"/>
  <c r="AJ10" i="1"/>
  <c r="AI10" i="1"/>
  <c r="AH10" i="1"/>
  <c r="AG10" i="1"/>
  <c r="AF10" i="1"/>
  <c r="AE10" i="1"/>
  <c r="AD10" i="1"/>
  <c r="AM10" i="1" s="1"/>
  <c r="AC10" i="1"/>
  <c r="AB10" i="1"/>
  <c r="AA10" i="1"/>
  <c r="Z10" i="1" a="1"/>
  <c r="Z10" i="1" s="1"/>
  <c r="Y10" i="1"/>
  <c r="Y10" i="1" a="1"/>
  <c r="X10" i="1"/>
  <c r="X10" i="1" a="1"/>
  <c r="W10" i="1" a="1"/>
  <c r="W10" i="1" s="1"/>
  <c r="V10" i="1" a="1"/>
  <c r="V10" i="1" s="1"/>
  <c r="U10" i="1"/>
  <c r="U10" i="1" a="1"/>
  <c r="T10" i="1"/>
  <c r="T10" i="1" a="1"/>
  <c r="P10" i="1"/>
  <c r="P10" i="1" a="1"/>
  <c r="O10" i="1"/>
  <c r="O10" i="1" a="1"/>
  <c r="N10" i="1"/>
  <c r="N10" i="1" a="1"/>
  <c r="M10" i="1" a="1"/>
  <c r="M10" i="1" s="1"/>
  <c r="I10" i="1"/>
  <c r="S10" i="1" s="1"/>
  <c r="H10" i="1"/>
  <c r="AR10" i="1" s="1"/>
  <c r="D10" i="1"/>
  <c r="C10" i="1"/>
  <c r="B10" i="1"/>
  <c r="A10" i="1"/>
  <c r="BT9" i="1"/>
  <c r="BS9" i="1"/>
  <c r="BR9" i="1"/>
  <c r="BQ9" i="1"/>
  <c r="BP9" i="1"/>
  <c r="BO9" i="1"/>
  <c r="BN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BH9" i="1" s="1"/>
  <c r="AL9" i="1"/>
  <c r="AK9" i="1"/>
  <c r="AJ9" i="1"/>
  <c r="AI9" i="1"/>
  <c r="AH9" i="1"/>
  <c r="AG9" i="1"/>
  <c r="AF9" i="1"/>
  <c r="AO9" i="1" s="1"/>
  <c r="AR9" i="1" s="1"/>
  <c r="AE9" i="1"/>
  <c r="AN9" i="1" s="1"/>
  <c r="AQ9" i="1" s="1"/>
  <c r="AD9" i="1"/>
  <c r="AM9" i="1" s="1"/>
  <c r="AC9" i="1"/>
  <c r="AB9" i="1"/>
  <c r="AA9" i="1"/>
  <c r="Z9" i="1" a="1"/>
  <c r="Z9" i="1" s="1"/>
  <c r="Y9" i="1" a="1"/>
  <c r="Y9" i="1" s="1"/>
  <c r="X9" i="1"/>
  <c r="X9" i="1" a="1"/>
  <c r="W9" i="1"/>
  <c r="W9" i="1" a="1"/>
  <c r="V9" i="1" a="1"/>
  <c r="V9" i="1" s="1"/>
  <c r="U9" i="1" a="1"/>
  <c r="U9" i="1" s="1"/>
  <c r="T9" i="1"/>
  <c r="T9" i="1" a="1"/>
  <c r="S9" i="1"/>
  <c r="R9" i="1"/>
  <c r="P9" i="1"/>
  <c r="P9" i="1" a="1"/>
  <c r="O9" i="1" a="1"/>
  <c r="O9" i="1" s="1"/>
  <c r="N9" i="1"/>
  <c r="N9" i="1" a="1"/>
  <c r="M9" i="1"/>
  <c r="M9" i="1" a="1"/>
  <c r="I9" i="1"/>
  <c r="Q9" i="1" s="1"/>
  <c r="H9" i="1"/>
  <c r="D9" i="1"/>
  <c r="C9" i="1"/>
  <c r="B9" i="1"/>
  <c r="A9" i="1"/>
  <c r="BT8" i="1"/>
  <c r="BS8" i="1"/>
  <c r="BR8" i="1"/>
  <c r="BQ8" i="1"/>
  <c r="BP8" i="1"/>
  <c r="BO8" i="1"/>
  <c r="BN8" i="1"/>
  <c r="BH8" i="1"/>
  <c r="BG8" i="1"/>
  <c r="BF8" i="1"/>
  <c r="BE8" i="1"/>
  <c r="BD8" i="1"/>
  <c r="BJ8" i="1" s="1"/>
  <c r="BC8" i="1"/>
  <c r="BB8" i="1"/>
  <c r="BA8" i="1"/>
  <c r="AZ8" i="1"/>
  <c r="AY8" i="1"/>
  <c r="AX8" i="1"/>
  <c r="BI8" i="1" s="1"/>
  <c r="AW8" i="1"/>
  <c r="AV8" i="1"/>
  <c r="AU8" i="1"/>
  <c r="AT8" i="1"/>
  <c r="AS8" i="1"/>
  <c r="AL8" i="1"/>
  <c r="AK8" i="1"/>
  <c r="AJ8" i="1"/>
  <c r="AI8" i="1"/>
  <c r="AO8" i="1" s="1"/>
  <c r="AR8" i="1" s="1"/>
  <c r="AH8" i="1"/>
  <c r="AN8" i="1" s="1"/>
  <c r="AQ8" i="1" s="1"/>
  <c r="AG8" i="1"/>
  <c r="AF8" i="1"/>
  <c r="AE8" i="1"/>
  <c r="AD8" i="1"/>
  <c r="AM8" i="1" s="1"/>
  <c r="AP8" i="1" s="1"/>
  <c r="AC8" i="1"/>
  <c r="AB8" i="1"/>
  <c r="AA8" i="1"/>
  <c r="Z8" i="1"/>
  <c r="Z8" i="1" a="1"/>
  <c r="Y8" i="1"/>
  <c r="Y8" i="1" a="1"/>
  <c r="X8" i="1"/>
  <c r="X8" i="1" a="1"/>
  <c r="W8" i="1" a="1"/>
  <c r="W8" i="1" s="1"/>
  <c r="V8" i="1"/>
  <c r="V8" i="1" a="1"/>
  <c r="U8" i="1"/>
  <c r="U8" i="1" a="1"/>
  <c r="T8" i="1"/>
  <c r="T8" i="1" a="1"/>
  <c r="S8" i="1"/>
  <c r="R8" i="1"/>
  <c r="Q8" i="1"/>
  <c r="P8" i="1"/>
  <c r="P8" i="1" a="1"/>
  <c r="O8" i="1"/>
  <c r="O8" i="1" a="1"/>
  <c r="N8" i="1" a="1"/>
  <c r="N8" i="1" s="1"/>
  <c r="M8" i="1"/>
  <c r="M8" i="1" a="1"/>
  <c r="I8" i="1"/>
  <c r="H8" i="1"/>
  <c r="BM8" i="1" s="1"/>
  <c r="D8" i="1"/>
  <c r="C8" i="1"/>
  <c r="B8" i="1"/>
  <c r="A8" i="1"/>
  <c r="BT7" i="1"/>
  <c r="BS7" i="1"/>
  <c r="BR7" i="1"/>
  <c r="BQ7" i="1"/>
  <c r="BP7" i="1"/>
  <c r="BO7" i="1"/>
  <c r="BN7" i="1"/>
  <c r="BG7" i="1"/>
  <c r="BF7" i="1"/>
  <c r="BE7" i="1"/>
  <c r="BD7" i="1"/>
  <c r="BC7" i="1"/>
  <c r="BJ7" i="1" s="1"/>
  <c r="BB7" i="1"/>
  <c r="BA7" i="1"/>
  <c r="AZ7" i="1"/>
  <c r="AY7" i="1"/>
  <c r="AX7" i="1"/>
  <c r="AW7" i="1"/>
  <c r="AV7" i="1"/>
  <c r="AU7" i="1"/>
  <c r="AT7" i="1"/>
  <c r="AS7" i="1"/>
  <c r="BH7" i="1" s="1"/>
  <c r="AN7" i="1"/>
  <c r="AM7" i="1"/>
  <c r="AL7" i="1"/>
  <c r="AK7" i="1"/>
  <c r="AJ7" i="1"/>
  <c r="AI7" i="1"/>
  <c r="AH7" i="1"/>
  <c r="AG7" i="1"/>
  <c r="AF7" i="1"/>
  <c r="AO7" i="1" s="1"/>
  <c r="AE7" i="1"/>
  <c r="AD7" i="1"/>
  <c r="AC7" i="1"/>
  <c r="AB7" i="1"/>
  <c r="AA7" i="1"/>
  <c r="Z7" i="1" a="1"/>
  <c r="Z7" i="1" s="1"/>
  <c r="Y7" i="1"/>
  <c r="Y7" i="1" a="1"/>
  <c r="X7" i="1" a="1"/>
  <c r="X7" i="1" s="1"/>
  <c r="W7" i="1"/>
  <c r="W7" i="1" a="1"/>
  <c r="V7" i="1" a="1"/>
  <c r="V7" i="1" s="1"/>
  <c r="U7" i="1"/>
  <c r="U7" i="1" a="1"/>
  <c r="T7" i="1" a="1"/>
  <c r="T7" i="1" s="1"/>
  <c r="P7" i="1" a="1"/>
  <c r="P7" i="1" s="1"/>
  <c r="O7" i="1"/>
  <c r="O7" i="1" a="1"/>
  <c r="N7" i="1"/>
  <c r="N7" i="1" a="1"/>
  <c r="M7" i="1" a="1"/>
  <c r="M7" i="1" s="1"/>
  <c r="I7" i="1"/>
  <c r="R7" i="1" s="1"/>
  <c r="H7" i="1"/>
  <c r="AQ7" i="1" s="1"/>
  <c r="D7" i="1"/>
  <c r="C7" i="1"/>
  <c r="B7" i="1"/>
  <c r="A7" i="1"/>
  <c r="BT6" i="1"/>
  <c r="BT13" i="1" s="1"/>
  <c r="BS6" i="1"/>
  <c r="BR6" i="1"/>
  <c r="BR13" i="1" s="1"/>
  <c r="BQ6" i="1"/>
  <c r="BQ13" i="1" s="1"/>
  <c r="BP6" i="1"/>
  <c r="BP13" i="1" s="1"/>
  <c r="BO6" i="1"/>
  <c r="BO13" i="1" s="1"/>
  <c r="BN6" i="1"/>
  <c r="BN13" i="1" s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BH6" i="1" s="1"/>
  <c r="BJ6" i="1" s="1"/>
  <c r="AL6" i="1"/>
  <c r="AK6" i="1"/>
  <c r="AJ6" i="1"/>
  <c r="AI6" i="1"/>
  <c r="AH6" i="1"/>
  <c r="AN6" i="1" s="1"/>
  <c r="AN13" i="1" s="1"/>
  <c r="AG6" i="1"/>
  <c r="AF6" i="1"/>
  <c r="AO6" i="1" s="1"/>
  <c r="AE6" i="1"/>
  <c r="AD6" i="1"/>
  <c r="AM6" i="1" s="1"/>
  <c r="AC6" i="1"/>
  <c r="AC13" i="1" s="1"/>
  <c r="AB6" i="1"/>
  <c r="AB13" i="1" s="1"/>
  <c r="AA6" i="1"/>
  <c r="AA13" i="1" s="1"/>
  <c r="Z6" i="1"/>
  <c r="Z6" i="1" a="1"/>
  <c r="Y6" i="1"/>
  <c r="Y6" i="1" a="1"/>
  <c r="X6" i="1" a="1"/>
  <c r="X6" i="1" s="1"/>
  <c r="X13" i="1" s="1"/>
  <c r="W6" i="1"/>
  <c r="W13" i="1" s="1"/>
  <c r="W6" i="1" a="1"/>
  <c r="V6" i="1"/>
  <c r="V13" i="1" s="1"/>
  <c r="V6" i="1" a="1"/>
  <c r="U6" i="1"/>
  <c r="U13" i="1" s="1"/>
  <c r="U6" i="1" a="1"/>
  <c r="T6" i="1" a="1"/>
  <c r="T6" i="1" s="1"/>
  <c r="T13" i="1" s="1"/>
  <c r="S6" i="1"/>
  <c r="S13" i="1" s="1"/>
  <c r="R6" i="1"/>
  <c r="R13" i="1" s="1"/>
  <c r="Q6" i="1"/>
  <c r="Q13" i="1" s="1"/>
  <c r="P6" i="1" a="1"/>
  <c r="P6" i="1" s="1"/>
  <c r="P13" i="1" s="1"/>
  <c r="O6" i="1" a="1"/>
  <c r="O6" i="1" s="1"/>
  <c r="O13" i="1" s="1"/>
  <c r="N6" i="1"/>
  <c r="N13" i="1" s="1"/>
  <c r="N6" i="1" a="1"/>
  <c r="M6" i="1" a="1"/>
  <c r="M6" i="1" s="1"/>
  <c r="M13" i="1" s="1"/>
  <c r="I6" i="1"/>
  <c r="H6" i="1"/>
  <c r="D6" i="1"/>
  <c r="C6" i="1"/>
  <c r="B6" i="1"/>
  <c r="A6" i="1"/>
  <c r="BI6" i="1" l="1"/>
  <c r="BK18" i="1"/>
  <c r="BJ18" i="1"/>
  <c r="BM18" i="1" s="1"/>
  <c r="AR6" i="1"/>
  <c r="AO13" i="1"/>
  <c r="BK17" i="1"/>
  <c r="BJ17" i="1"/>
  <c r="BM17" i="1" s="1"/>
  <c r="BI7" i="1"/>
  <c r="AO38" i="1"/>
  <c r="AR15" i="1"/>
  <c r="BJ10" i="1"/>
  <c r="BM10" i="1" s="1"/>
  <c r="BK9" i="1"/>
  <c r="BJ9" i="1"/>
  <c r="BM9" i="1" s="1"/>
  <c r="BI9" i="1"/>
  <c r="BL6" i="1"/>
  <c r="BI10" i="1"/>
  <c r="AM13" i="1"/>
  <c r="AP6" i="1"/>
  <c r="BM6" i="1"/>
  <c r="S7" i="1"/>
  <c r="AR7" i="1"/>
  <c r="BK8" i="1"/>
  <c r="AP9" i="1"/>
  <c r="BL11" i="1"/>
  <c r="R12" i="1"/>
  <c r="BM15" i="1"/>
  <c r="BK19" i="1"/>
  <c r="AQ19" i="1"/>
  <c r="BI22" i="1"/>
  <c r="BI27" i="1"/>
  <c r="AQ33" i="1"/>
  <c r="BJ33" i="1"/>
  <c r="BL8" i="1"/>
  <c r="BM11" i="1"/>
  <c r="S12" i="1"/>
  <c r="BK12" i="1"/>
  <c r="BI16" i="1"/>
  <c r="BI17" i="1"/>
  <c r="Q19" i="1"/>
  <c r="BM19" i="1"/>
  <c r="BH24" i="1"/>
  <c r="BK24" i="1" s="1"/>
  <c r="AQ26" i="1"/>
  <c r="AR29" i="1"/>
  <c r="BH32" i="1"/>
  <c r="BJ36" i="1"/>
  <c r="BM36" i="1" s="1"/>
  <c r="AQ6" i="1"/>
  <c r="BK10" i="1"/>
  <c r="BJ12" i="1"/>
  <c r="BM12" i="1" s="1"/>
  <c r="BL12" i="1"/>
  <c r="AQ16" i="1"/>
  <c r="BJ19" i="1"/>
  <c r="BL22" i="1"/>
  <c r="S24" i="1"/>
  <c r="R24" i="1"/>
  <c r="Q24" i="1"/>
  <c r="BJ24" i="1"/>
  <c r="BM24" i="1" s="1"/>
  <c r="AN27" i="1"/>
  <c r="AQ27" i="1" s="1"/>
  <c r="BJ28" i="1"/>
  <c r="BM28" i="1" s="1"/>
  <c r="BI36" i="1"/>
  <c r="BI40" i="1"/>
  <c r="BL40" i="1" s="1"/>
  <c r="BJ44" i="1"/>
  <c r="BK7" i="1"/>
  <c r="BL10" i="1"/>
  <c r="BL17" i="1"/>
  <c r="Q18" i="1"/>
  <c r="AQ21" i="1"/>
  <c r="AP21" i="1"/>
  <c r="BI25" i="1"/>
  <c r="BL25" i="1" s="1"/>
  <c r="BJ25" i="1"/>
  <c r="BM25" i="1" s="1"/>
  <c r="BH29" i="1"/>
  <c r="BK29" i="1" s="1"/>
  <c r="BI32" i="1"/>
  <c r="BK40" i="1"/>
  <c r="AR40" i="1"/>
  <c r="AQ40" i="1"/>
  <c r="BL7" i="1"/>
  <c r="AP16" i="1"/>
  <c r="Q17" i="1"/>
  <c r="BM7" i="1"/>
  <c r="Q10" i="1"/>
  <c r="AP10" i="1"/>
  <c r="AP12" i="1"/>
  <c r="BR38" i="1"/>
  <c r="R16" i="1"/>
  <c r="BK16" i="1"/>
  <c r="R17" i="1"/>
  <c r="BI19" i="1"/>
  <c r="BL19" i="1" s="1"/>
  <c r="BI24" i="1"/>
  <c r="BL24" i="1" s="1"/>
  <c r="BK30" i="1"/>
  <c r="BJ30" i="1"/>
  <c r="BM30" i="1" s="1"/>
  <c r="BK6" i="1"/>
  <c r="BK13" i="1" s="1"/>
  <c r="BS13" i="1"/>
  <c r="Q7" i="1"/>
  <c r="AP7" i="1"/>
  <c r="BL9" i="1"/>
  <c r="R10" i="1"/>
  <c r="AQ10" i="1"/>
  <c r="AQ12" i="1"/>
  <c r="AP15" i="1"/>
  <c r="BK15" i="1"/>
  <c r="AB38" i="1"/>
  <c r="S16" i="1"/>
  <c r="BL16" i="1"/>
  <c r="AP19" i="1"/>
  <c r="AN20" i="1"/>
  <c r="AQ20" i="1" s="1"/>
  <c r="AO21" i="1"/>
  <c r="AR21" i="1" s="1"/>
  <c r="BH21" i="1"/>
  <c r="BJ21" i="1" s="1"/>
  <c r="BM21" i="1" s="1"/>
  <c r="AO23" i="1"/>
  <c r="AR23" i="1" s="1"/>
  <c r="BJ27" i="1"/>
  <c r="BM27" i="1" s="1"/>
  <c r="BI31" i="1"/>
  <c r="R15" i="1"/>
  <c r="R38" i="1" s="1"/>
  <c r="AC38" i="1"/>
  <c r="BL15" i="1"/>
  <c r="BT38" i="1"/>
  <c r="BM16" i="1"/>
  <c r="AN17" i="1"/>
  <c r="AQ17" i="1" s="1"/>
  <c r="AR19" i="1"/>
  <c r="AO20" i="1"/>
  <c r="AR20" i="1" s="1"/>
  <c r="BH26" i="1"/>
  <c r="BK26" i="1" s="1"/>
  <c r="BI26" i="1"/>
  <c r="BL26" i="1" s="1"/>
  <c r="BJ40" i="1"/>
  <c r="BM40" i="1" s="1"/>
  <c r="BS38" i="1"/>
  <c r="BL18" i="1"/>
  <c r="S22" i="1"/>
  <c r="AR22" i="1"/>
  <c r="BK23" i="1"/>
  <c r="AP24" i="1"/>
  <c r="R27" i="1"/>
  <c r="AR27" i="1"/>
  <c r="AP28" i="1"/>
  <c r="AR28" i="1"/>
  <c r="AN30" i="1"/>
  <c r="AQ30" i="1" s="1"/>
  <c r="AO33" i="1"/>
  <c r="AR33" i="1" s="1"/>
  <c r="AR34" i="1"/>
  <c r="AP34" i="1"/>
  <c r="AM35" i="1"/>
  <c r="AP35" i="1" s="1"/>
  <c r="BJ37" i="1"/>
  <c r="BM37" i="1" s="1"/>
  <c r="AM40" i="1"/>
  <c r="AP40" i="1" s="1"/>
  <c r="S47" i="1"/>
  <c r="R47" i="1"/>
  <c r="Q47" i="1"/>
  <c r="BL23" i="1"/>
  <c r="AQ24" i="1"/>
  <c r="BK32" i="1"/>
  <c r="AQ32" i="1"/>
  <c r="AP33" i="1"/>
  <c r="BM33" i="1"/>
  <c r="BK33" i="1"/>
  <c r="S34" i="1"/>
  <c r="Q34" i="1"/>
  <c r="X73" i="1" a="1"/>
  <c r="X73" i="1" s="1"/>
  <c r="AR41" i="1"/>
  <c r="AP41" i="1"/>
  <c r="AM43" i="1"/>
  <c r="BL48" i="1"/>
  <c r="BJ51" i="1"/>
  <c r="BM51" i="1" s="1"/>
  <c r="BL20" i="1"/>
  <c r="BM23" i="1"/>
  <c r="AR24" i="1"/>
  <c r="Q26" i="1"/>
  <c r="R28" i="1"/>
  <c r="Q29" i="1"/>
  <c r="AP29" i="1"/>
  <c r="BI29" i="1"/>
  <c r="BL29" i="1" s="1"/>
  <c r="AR31" i="1"/>
  <c r="AQ31" i="1"/>
  <c r="BH31" i="1"/>
  <c r="BJ31" i="1" s="1"/>
  <c r="BM31" i="1" s="1"/>
  <c r="AR32" i="1"/>
  <c r="R34" i="1"/>
  <c r="BI35" i="1"/>
  <c r="BL35" i="1" s="1"/>
  <c r="M73" i="1"/>
  <c r="R42" i="1"/>
  <c r="R73" i="1" s="1"/>
  <c r="R43" i="1"/>
  <c r="Q43" i="1"/>
  <c r="BK44" i="1"/>
  <c r="AQ44" i="1"/>
  <c r="BJ47" i="1"/>
  <c r="BM47" i="1" s="1"/>
  <c r="AM48" i="1"/>
  <c r="BJ49" i="1"/>
  <c r="BM20" i="1"/>
  <c r="BK22" i="1"/>
  <c r="AP23" i="1"/>
  <c r="R26" i="1"/>
  <c r="AM27" i="1"/>
  <c r="BL27" i="1"/>
  <c r="S28" i="1"/>
  <c r="BK28" i="1"/>
  <c r="AQ29" i="1"/>
  <c r="BL30" i="1"/>
  <c r="S31" i="1"/>
  <c r="R31" i="1"/>
  <c r="Q31" i="1"/>
  <c r="BK31" i="1"/>
  <c r="Q32" i="1"/>
  <c r="R36" i="1"/>
  <c r="Q36" i="1"/>
  <c r="AN36" i="1"/>
  <c r="AQ36" i="1" s="1"/>
  <c r="BI37" i="1"/>
  <c r="BL37" i="1" s="1"/>
  <c r="AQ41" i="1"/>
  <c r="R44" i="1"/>
  <c r="Q44" i="1"/>
  <c r="S44" i="1"/>
  <c r="BI44" i="1"/>
  <c r="AO30" i="1"/>
  <c r="AR30" i="1" s="1"/>
  <c r="BL31" i="1"/>
  <c r="BL32" i="1"/>
  <c r="BL33" i="1"/>
  <c r="Q35" i="1"/>
  <c r="N73" i="1" a="1"/>
  <c r="N73" i="1" s="1"/>
  <c r="U73" i="1" a="1"/>
  <c r="U73" i="1" s="1"/>
  <c r="BK41" i="1"/>
  <c r="AM44" i="1"/>
  <c r="AP44" i="1" s="1"/>
  <c r="AM47" i="1"/>
  <c r="BK27" i="1"/>
  <c r="BJ32" i="1"/>
  <c r="BM32" i="1" s="1"/>
  <c r="AQ37" i="1"/>
  <c r="Q37" i="1"/>
  <c r="AR37" i="1"/>
  <c r="O73" i="1" a="1"/>
  <c r="O73" i="1" s="1"/>
  <c r="V73" i="1" a="1"/>
  <c r="V73" i="1" s="1"/>
  <c r="BH41" i="1"/>
  <c r="BJ41" i="1" s="1"/>
  <c r="BM41" i="1" s="1"/>
  <c r="BH42" i="1"/>
  <c r="BK42" i="1" s="1"/>
  <c r="BL44" i="1"/>
  <c r="BM49" i="1"/>
  <c r="BK49" i="1"/>
  <c r="AP49" i="1"/>
  <c r="BI51" i="1"/>
  <c r="BI59" i="1"/>
  <c r="AP27" i="1"/>
  <c r="BH34" i="1"/>
  <c r="S37" i="1"/>
  <c r="P73" i="1" a="1"/>
  <c r="P73" i="1" s="1"/>
  <c r="AB73" i="1" a="1"/>
  <c r="AB73" i="1" s="1"/>
  <c r="BM44" i="1"/>
  <c r="AR45" i="1"/>
  <c r="AP45" i="1"/>
  <c r="BH45" i="1"/>
  <c r="BK45" i="1" s="1"/>
  <c r="BI47" i="1"/>
  <c r="AN49" i="1"/>
  <c r="AQ49" i="1" s="1"/>
  <c r="BK55" i="1"/>
  <c r="AR55" i="1"/>
  <c r="AQ55" i="1"/>
  <c r="AP55" i="1"/>
  <c r="BI55" i="1"/>
  <c r="S63" i="1"/>
  <c r="R63" i="1"/>
  <c r="Q63" i="1"/>
  <c r="BK70" i="1"/>
  <c r="BJ70" i="1"/>
  <c r="BI70" i="1"/>
  <c r="AQ51" i="1"/>
  <c r="AP51" i="1"/>
  <c r="BK51" i="1"/>
  <c r="AM51" i="1"/>
  <c r="BJ53" i="1"/>
  <c r="BM53" i="1" s="1"/>
  <c r="S55" i="1"/>
  <c r="R55" i="1"/>
  <c r="Q55" i="1"/>
  <c r="AR57" i="1"/>
  <c r="BJ66" i="1"/>
  <c r="BM66" i="1" s="1"/>
  <c r="BR73" i="1" a="1"/>
  <c r="BR73" i="1" s="1"/>
  <c r="AR42" i="1"/>
  <c r="BK43" i="1"/>
  <c r="BK47" i="1"/>
  <c r="Q48" i="1"/>
  <c r="AP48" i="1"/>
  <c r="AO49" i="1"/>
  <c r="AR49" i="1" s="1"/>
  <c r="R51" i="1"/>
  <c r="Q51" i="1"/>
  <c r="BK52" i="1"/>
  <c r="BJ63" i="1"/>
  <c r="BI64" i="1"/>
  <c r="BL64" i="1" s="1"/>
  <c r="BH65" i="1"/>
  <c r="BM67" i="1"/>
  <c r="AM67" i="1"/>
  <c r="AP67" i="1" s="1"/>
  <c r="BL36" i="1"/>
  <c r="BS73" i="1" a="1"/>
  <c r="BS73" i="1" s="1"/>
  <c r="Q41" i="1"/>
  <c r="Q73" i="1" s="1"/>
  <c r="BL43" i="1"/>
  <c r="BL47" i="1"/>
  <c r="AQ48" i="1"/>
  <c r="BI49" i="1"/>
  <c r="BL49" i="1" s="1"/>
  <c r="BH50" i="1"/>
  <c r="BK50" i="1" s="1"/>
  <c r="BJ55" i="1"/>
  <c r="BM55" i="1" s="1"/>
  <c r="BI60" i="1"/>
  <c r="BL60" i="1" s="1"/>
  <c r="AN62" i="1"/>
  <c r="BJ62" i="1"/>
  <c r="AR70" i="1"/>
  <c r="AR51" i="1"/>
  <c r="AP52" i="1"/>
  <c r="BJ52" i="1"/>
  <c r="BM52" i="1" s="1"/>
  <c r="BI53" i="1"/>
  <c r="BJ54" i="1"/>
  <c r="BM54" i="1" s="1"/>
  <c r="AP56" i="1"/>
  <c r="AR60" i="1"/>
  <c r="AQ60" i="1"/>
  <c r="AP60" i="1"/>
  <c r="BI63" i="1"/>
  <c r="BL63" i="1" s="1"/>
  <c r="BI68" i="1"/>
  <c r="BL68" i="1" s="1"/>
  <c r="BK35" i="1"/>
  <c r="AP36" i="1"/>
  <c r="AP43" i="1"/>
  <c r="BK46" i="1"/>
  <c r="AP47" i="1"/>
  <c r="R52" i="1"/>
  <c r="AM55" i="1"/>
  <c r="AO56" i="1"/>
  <c r="AR56" i="1" s="1"/>
  <c r="S58" i="1"/>
  <c r="R58" i="1"/>
  <c r="BJ59" i="1"/>
  <c r="BJ60" i="1"/>
  <c r="BM60" i="1" s="1"/>
  <c r="BJ61" i="1"/>
  <c r="BM61" i="1" s="1"/>
  <c r="AR62" i="1"/>
  <c r="AN66" i="1"/>
  <c r="AQ66" i="1" s="1"/>
  <c r="BN73" i="1" a="1"/>
  <c r="BN73" i="1" s="1"/>
  <c r="BK48" i="1"/>
  <c r="Q50" i="1"/>
  <c r="S52" i="1"/>
  <c r="BH58" i="1"/>
  <c r="BJ58" i="1" s="1"/>
  <c r="BM58" i="1" s="1"/>
  <c r="AM59" i="1"/>
  <c r="AP59" i="1" s="1"/>
  <c r="BJ64" i="1"/>
  <c r="BM64" i="1" s="1"/>
  <c r="BI65" i="1"/>
  <c r="BL65" i="1" s="1"/>
  <c r="Q66" i="1"/>
  <c r="BJ68" i="1"/>
  <c r="BM68" i="1" s="1"/>
  <c r="BI71" i="1"/>
  <c r="BL71" i="1" s="1"/>
  <c r="BJ48" i="1"/>
  <c r="BM48" i="1" s="1"/>
  <c r="BL51" i="1"/>
  <c r="BL55" i="1"/>
  <c r="BI57" i="1"/>
  <c r="BL57" i="1" s="1"/>
  <c r="BM59" i="1"/>
  <c r="BI61" i="1"/>
  <c r="BL61" i="1" s="1"/>
  <c r="BK63" i="1"/>
  <c r="AR63" i="1"/>
  <c r="AQ63" i="1"/>
  <c r="AP63" i="1"/>
  <c r="BM63" i="1"/>
  <c r="AR65" i="1"/>
  <c r="BH66" i="1"/>
  <c r="BI66" i="1" s="1"/>
  <c r="BL66" i="1" s="1"/>
  <c r="AR68" i="1"/>
  <c r="BM69" i="1"/>
  <c r="BM71" i="1"/>
  <c r="Q71" i="1"/>
  <c r="AP71" i="1"/>
  <c r="AR50" i="1"/>
  <c r="BL54" i="1"/>
  <c r="BM57" i="1"/>
  <c r="AR58" i="1"/>
  <c r="Q60" i="1"/>
  <c r="BL62" i="1"/>
  <c r="AR66" i="1"/>
  <c r="BK67" i="1"/>
  <c r="Q68" i="1"/>
  <c r="AP68" i="1"/>
  <c r="BL70" i="1"/>
  <c r="R71" i="1"/>
  <c r="AQ71" i="1"/>
  <c r="BK56" i="1"/>
  <c r="Q57" i="1"/>
  <c r="AP57" i="1"/>
  <c r="BL59" i="1"/>
  <c r="R60" i="1"/>
  <c r="BM62" i="1"/>
  <c r="AP65" i="1"/>
  <c r="BL67" i="1"/>
  <c r="R68" i="1"/>
  <c r="AQ68" i="1"/>
  <c r="BM70" i="1"/>
  <c r="AR71" i="1"/>
  <c r="BL56" i="1"/>
  <c r="AQ57" i="1"/>
  <c r="BK61" i="1"/>
  <c r="Q62" i="1"/>
  <c r="AP62" i="1"/>
  <c r="AQ65" i="1"/>
  <c r="BK69" i="1"/>
  <c r="Q70" i="1"/>
  <c r="AP70" i="1"/>
  <c r="BL72" i="1"/>
  <c r="BL53" i="1"/>
  <c r="R54" i="1"/>
  <c r="BM56" i="1"/>
  <c r="BK58" i="1"/>
  <c r="AQ62" i="1"/>
  <c r="BL69" i="1"/>
  <c r="BM72" i="1"/>
  <c r="AQ38" i="1" l="1"/>
  <c r="AP73" i="1" a="1"/>
  <c r="AP73" i="1" s="1"/>
  <c r="BI41" i="1"/>
  <c r="BL41" i="1" s="1"/>
  <c r="BL73" i="1" s="1" a="1"/>
  <c r="BL73" i="1" s="1"/>
  <c r="BJ26" i="1"/>
  <c r="BM26" i="1" s="1"/>
  <c r="BI45" i="1"/>
  <c r="BL45" i="1" s="1"/>
  <c r="AO73" i="1" a="1"/>
  <c r="AO73" i="1" s="1"/>
  <c r="AP38" i="1"/>
  <c r="BI58" i="1"/>
  <c r="BL58" i="1" s="1"/>
  <c r="AM73" i="1" a="1"/>
  <c r="AM73" i="1" s="1"/>
  <c r="BJ50" i="1"/>
  <c r="BM50" i="1" s="1"/>
  <c r="BJ45" i="1"/>
  <c r="BM45" i="1" s="1"/>
  <c r="AQ13" i="1"/>
  <c r="BM13" i="1"/>
  <c r="BK65" i="1"/>
  <c r="BJ65" i="1"/>
  <c r="BM65" i="1" s="1"/>
  <c r="BK34" i="1"/>
  <c r="BJ34" i="1"/>
  <c r="BM34" i="1" s="1"/>
  <c r="BI50" i="1"/>
  <c r="BL50" i="1" s="1"/>
  <c r="AQ73" i="1" a="1"/>
  <c r="AQ73" i="1" s="1"/>
  <c r="BK21" i="1"/>
  <c r="BK38" i="1" s="1"/>
  <c r="AN73" i="1" a="1"/>
  <c r="AN73" i="1" s="1"/>
  <c r="BJ42" i="1"/>
  <c r="BM42" i="1" s="1"/>
  <c r="BM73" i="1" s="1" a="1"/>
  <c r="BM73" i="1" s="1"/>
  <c r="AP13" i="1"/>
  <c r="AR13" i="1"/>
  <c r="BI34" i="1"/>
  <c r="BL34" i="1" s="1"/>
  <c r="AR73" i="1" a="1"/>
  <c r="AR73" i="1" s="1"/>
  <c r="AR38" i="1"/>
  <c r="BK66" i="1"/>
  <c r="BI42" i="1"/>
  <c r="BL42" i="1" s="1"/>
  <c r="BJ29" i="1"/>
  <c r="BM29" i="1" s="1"/>
  <c r="BM38" i="1" s="1"/>
  <c r="BK73" i="1" a="1"/>
  <c r="BK73" i="1" s="1"/>
  <c r="BI21" i="1"/>
  <c r="BL21" i="1" s="1"/>
  <c r="BL38" i="1" s="1"/>
  <c r="BL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<sst xmlns="http://schemas.openxmlformats.org/spreadsheetml/2006/main" count="631" uniqueCount="312">
  <si>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</si>
  <si>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</si>
  <si>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</si>
  <si>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</si>
  <si>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</si>
  <si>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</si>
  <si>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(US$m)</t>
  </si>
  <si>
    <t>Market Cap ($USm)</t>
  </si>
  <si>
    <t>Price / NAV Consensus</t>
  </si>
  <si>
    <t>Price / CF</t>
  </si>
  <si>
    <t>FCF Yield %</t>
  </si>
  <si>
    <t>Price / Earnings</t>
  </si>
  <si>
    <t>EV / EBITDA</t>
  </si>
  <si>
    <t>Net Debt / EBITDA</t>
  </si>
  <si>
    <t xml:space="preserve"> Debt / Equity</t>
  </si>
  <si>
    <t>Production guidance Au (koz)</t>
  </si>
  <si>
    <t>Consensus</t>
  </si>
  <si>
    <t>Production Au equ consensus (koz)</t>
  </si>
  <si>
    <t>EV/Production Au equ ($/oz)</t>
  </si>
  <si>
    <t>Attributable Reserves</t>
  </si>
  <si>
    <t>Attributable M&amp;I Resources</t>
  </si>
  <si>
    <t>Attributable Total Resources</t>
  </si>
  <si>
    <t>Au equ resources (koz)</t>
  </si>
  <si>
    <t>EV/Metrics Au equ ($/oz)</t>
  </si>
  <si>
    <t>AISC Reported ($/oz)</t>
  </si>
  <si>
    <t>AISC Guidance ($/oz)</t>
  </si>
  <si>
    <t>Model (Y/N)</t>
  </si>
  <si>
    <t>Priority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</si>
  <si>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</si>
  <si>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</si>
  <si>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</si>
  <si>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</si>
  <si>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</si>
  <si>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</si>
  <si>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</si>
  <si>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</si>
  <si>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</si>
  <si>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2024Y</t>
  </si>
  <si>
    <t>2025Y</t>
  </si>
  <si>
    <t>2026Y</t>
  </si>
  <si>
    <t>Gold</t>
  </si>
  <si>
    <t>Silver</t>
  </si>
  <si>
    <t>Copper</t>
  </si>
  <si>
    <t>Zinc</t>
  </si>
  <si>
    <t>Lead</t>
  </si>
  <si>
    <t>Reserves</t>
  </si>
  <si>
    <t>M&amp;I</t>
  </si>
  <si>
    <t>M,I&amp;I</t>
  </si>
  <si>
    <t>2021Y</t>
  </si>
  <si>
    <t>2022Y</t>
  </si>
  <si>
    <t>2023Y</t>
  </si>
  <si>
    <t>NA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</si>
  <si>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</si>
  <si>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</si>
  <si>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</si>
  <si>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</si>
  <si>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</si>
  <si>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</si>
  <si>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</si>
  <si>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</si>
  <si>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SP_TEV_EBITDA_FWD</t>
  </si>
  <si>
    <t>IQ_NET_DEBT</t>
  </si>
  <si>
    <t>SP_DEBT_TO_EQUITY</t>
  </si>
  <si>
    <t>SNL_ATTRIBUTABLE_PRODUCTION_PROJECTION_HIGH_OZ</t>
  </si>
  <si>
    <t>SNL_ATTRIBUTABLE_RESV_OZ</t>
  </si>
  <si>
    <t>SNL_ATTRIBUTABLE_RESV_TONNES</t>
  </si>
  <si>
    <t>SNL_ATTRIBUTABLE_M_AND_I_RESRC_OZ</t>
  </si>
  <si>
    <t>SNL_ATTRIBUTABLE_M_AND_I_RESRC_TONNES</t>
  </si>
  <si>
    <t>SNL_ATTRIBUTABLE_TOTAL_RESRC_OZ</t>
  </si>
  <si>
    <t>SNL_ATTRIBUTABLE_TOTAL_RESRC_TONNES</t>
  </si>
  <si>
    <t>SNL_ALL_IN_SUSTAINING_COST_OZ</t>
  </si>
  <si>
    <t>SNL_PROJ_ALL_IN_SUSTAINING_COST_HIGH_OZ</t>
  </si>
  <si>
    <t>-</t>
  </si>
  <si>
    <t>FQ0</t>
  </si>
  <si>
    <t>FH0</t>
  </si>
  <si>
    <t>SNL_ATTRIBUTABLE_PRODUCTION_PROJECTION_LOW_OZ</t>
  </si>
  <si>
    <t>SP_GOLD_PRODUCTION_EST</t>
  </si>
  <si>
    <t>SP_SILVER_PRODUCTION_EST</t>
  </si>
  <si>
    <t>SP_COPPER_PRODUCTION_EST</t>
  </si>
  <si>
    <t>MRQ</t>
  </si>
  <si>
    <t>SNL_PROJ_ALL_IN_SUSTAINING_COST_LOW_OZ</t>
  </si>
  <si>
    <t>Senior Producers</t>
  </si>
  <si>
    <t>30/07/2025</t>
  </si>
  <si>
    <t>Confirmed</t>
  </si>
  <si>
    <t>#N/A N/A</t>
  </si>
  <si>
    <t>Agnico Eagle</t>
  </si>
  <si>
    <t>AEM US EQUITY</t>
  </si>
  <si>
    <t>NYSE:AEM</t>
  </si>
  <si>
    <t>N</t>
  </si>
  <si>
    <t>YES</t>
  </si>
  <si>
    <t>09/05/2025</t>
  </si>
  <si>
    <t>AngloGold</t>
  </si>
  <si>
    <t>AU US EQUITY</t>
  </si>
  <si>
    <t>NYSE:AU</t>
  </si>
  <si>
    <t>07/05/2025</t>
  </si>
  <si>
    <t>Barrick</t>
  </si>
  <si>
    <t>GOLD US EQUITY</t>
  </si>
  <si>
    <t>TSX:ABX</t>
  </si>
  <si>
    <t>22/08/2025</t>
  </si>
  <si>
    <t>06/05/2025</t>
  </si>
  <si>
    <t>Gold Fields</t>
  </si>
  <si>
    <t>GFI SJ EQUITY</t>
  </si>
  <si>
    <t>JSE:GFI</t>
  </si>
  <si>
    <t>Kinross</t>
  </si>
  <si>
    <t>KGC US EQUITY</t>
  </si>
  <si>
    <t>TSX:K</t>
  </si>
  <si>
    <t>24/07/2025</t>
  </si>
  <si>
    <t>Estimated</t>
  </si>
  <si>
    <t>Newmont</t>
  </si>
  <si>
    <t>NEM US EQUITY</t>
  </si>
  <si>
    <t>NYSE:NEM</t>
  </si>
  <si>
    <t>21/08/2025</t>
  </si>
  <si>
    <t>29/04/2025</t>
  </si>
  <si>
    <t>Northern Star</t>
  </si>
  <si>
    <t>NST AU EQUITY</t>
  </si>
  <si>
    <t>ASX:NST</t>
  </si>
  <si>
    <t>Average</t>
  </si>
  <si>
    <t>Intermediate Producers</t>
  </si>
  <si>
    <t>30/04/2025</t>
  </si>
  <si>
    <t>Alamos</t>
  </si>
  <si>
    <t>AGI CT EQUITY</t>
  </si>
  <si>
    <t>TSX:AGI</t>
  </si>
  <si>
    <t>High</t>
  </si>
  <si>
    <t>Allied Gold</t>
  </si>
  <si>
    <t>AAUC CN EQUITY</t>
  </si>
  <si>
    <t>TSX:AAUC</t>
  </si>
  <si>
    <t>B2Gold</t>
  </si>
  <si>
    <t>BTG US EQUITY</t>
  </si>
  <si>
    <t>TSX:BTO</t>
  </si>
  <si>
    <t>Centerra</t>
  </si>
  <si>
    <t>CG CT EQUITY</t>
  </si>
  <si>
    <t>TSX:CG</t>
  </si>
  <si>
    <t>Coeur Mining</t>
  </si>
  <si>
    <t>CDE US EQUITY</t>
  </si>
  <si>
    <t>NYSE:CDE</t>
  </si>
  <si>
    <t>Dundee Precious Metals</t>
  </si>
  <si>
    <t>DPM CN EQUITY</t>
  </si>
  <si>
    <t>TSX:DPM</t>
  </si>
  <si>
    <t>01/05/2025</t>
  </si>
  <si>
    <t>Eldorado</t>
  </si>
  <si>
    <t>EGO US EQUITY</t>
  </si>
  <si>
    <t>TSX:ELD</t>
  </si>
  <si>
    <t>Endeavour Mining</t>
  </si>
  <si>
    <t>EDV CT EQUITY</t>
  </si>
  <si>
    <t>TSX:EDV</t>
  </si>
  <si>
    <t>08/05/2025</t>
  </si>
  <si>
    <t>Equinox Gold</t>
  </si>
  <si>
    <t>EQX CN EQUITY</t>
  </si>
  <si>
    <t>TSX:EQX</t>
  </si>
  <si>
    <t>13/08/2025</t>
  </si>
  <si>
    <t>16/07/2025</t>
  </si>
  <si>
    <t>Evolution Mining</t>
  </si>
  <si>
    <t>EVN AU EQUITY</t>
  </si>
  <si>
    <t>ASX:EVN</t>
  </si>
  <si>
    <t>05/08/2025</t>
  </si>
  <si>
    <t>23/07/2025</t>
  </si>
  <si>
    <t>Fresnillo PLC</t>
  </si>
  <si>
    <t>FRES LN EQUITY</t>
  </si>
  <si>
    <t>LSE:FRES</t>
  </si>
  <si>
    <t>Harmony</t>
  </si>
  <si>
    <t>HAR SJ EQUITY</t>
  </si>
  <si>
    <t>JSE:HAR</t>
  </si>
  <si>
    <t>Tentative</t>
  </si>
  <si>
    <t>Hecla</t>
  </si>
  <si>
    <t>HL US EQUITY</t>
  </si>
  <si>
    <t>NYSE:HL</t>
  </si>
  <si>
    <t>IAMGOLD</t>
  </si>
  <si>
    <t>IAG US EQUITY</t>
  </si>
  <si>
    <t>TSX:IMG</t>
  </si>
  <si>
    <t>Y</t>
  </si>
  <si>
    <t>Lundin Gold</t>
  </si>
  <si>
    <t>LUG CT EQUITY</t>
  </si>
  <si>
    <t>TSX:LUG</t>
  </si>
  <si>
    <t>New Gold</t>
  </si>
  <si>
    <t>NGD CN EQUITY</t>
  </si>
  <si>
    <t>TSX:NGD</t>
  </si>
  <si>
    <t>OceanaGold</t>
  </si>
  <si>
    <t>OGC CT EQUITY</t>
  </si>
  <si>
    <t>TSX:OGC</t>
  </si>
  <si>
    <t>Pan American Silver</t>
  </si>
  <si>
    <t>PAAS US EQUITY</t>
  </si>
  <si>
    <t>TSX:PAAS</t>
  </si>
  <si>
    <t>28/08/2025</t>
  </si>
  <si>
    <t>Perseus</t>
  </si>
  <si>
    <t>PRU AU EQUITY</t>
  </si>
  <si>
    <t>ASX:PRU</t>
  </si>
  <si>
    <t>Regis</t>
  </si>
  <si>
    <t>RRL AU EQUITY</t>
  </si>
  <si>
    <t>ASX:RRL</t>
  </si>
  <si>
    <t>Sibanye Gold</t>
  </si>
  <si>
    <t>SSW SJ EQUITY</t>
  </si>
  <si>
    <t>JSE:SSW</t>
  </si>
  <si>
    <t>SSR Mining</t>
  </si>
  <si>
    <t>SSRM US EQUITY</t>
  </si>
  <si>
    <t>TSX:SSRM</t>
  </si>
  <si>
    <t>NO</t>
  </si>
  <si>
    <t>Torex</t>
  </si>
  <si>
    <t>TXG CN EQUITY</t>
  </si>
  <si>
    <t>TSX:TXG</t>
  </si>
  <si>
    <t>Junior Producers</t>
  </si>
  <si>
    <t>Aris Mining</t>
  </si>
  <si>
    <t>ARIS CT EQUITY</t>
  </si>
  <si>
    <t>TSX:ARIS</t>
  </si>
  <si>
    <t>05/05/2025</t>
  </si>
  <si>
    <t>Aura Minerals</t>
  </si>
  <si>
    <t>ORA CN EQUITY</t>
  </si>
  <si>
    <t>TSX:ORA</t>
  </si>
  <si>
    <t>02/09/2025</t>
  </si>
  <si>
    <t>Bellevue Gold</t>
  </si>
  <si>
    <t>BGL AU EQUITY</t>
  </si>
  <si>
    <t>ASX:BGL</t>
  </si>
  <si>
    <t>05/09/2025</t>
  </si>
  <si>
    <t>Capricorn Metals</t>
  </si>
  <si>
    <t>CMM AU EQUITY</t>
  </si>
  <si>
    <t>ASX:CMM</t>
  </si>
  <si>
    <t>Catalyst Metals</t>
  </si>
  <si>
    <t>CYL AU EQUITY</t>
  </si>
  <si>
    <t>ASX:CYL</t>
  </si>
  <si>
    <t>Discovery Silver</t>
  </si>
  <si>
    <t>TSX:DSV</t>
  </si>
  <si>
    <t>DRD Gold</t>
  </si>
  <si>
    <t>DRD SJ EQUITY</t>
  </si>
  <si>
    <t>JSE:DRD</t>
  </si>
  <si>
    <t>29/08/2025</t>
  </si>
  <si>
    <t>Emerald Resources</t>
  </si>
  <si>
    <t>EMR AU EQUITY</t>
  </si>
  <si>
    <t>ASX:EMR</t>
  </si>
  <si>
    <t>Fortuna Mining</t>
  </si>
  <si>
    <t>FVI CN EQUITY</t>
  </si>
  <si>
    <t>TSX:FVI</t>
  </si>
  <si>
    <t>14/05/2025</t>
  </si>
  <si>
    <t xml:space="preserve">G Mining </t>
  </si>
  <si>
    <t>GMIN CN EQUITY</t>
  </si>
  <si>
    <t>TSX:GMIN</t>
  </si>
  <si>
    <t>Genesis Minerals</t>
  </si>
  <si>
    <t>GMD AU EQUITY</t>
  </si>
  <si>
    <t>ASX:GMD</t>
  </si>
  <si>
    <t>Greatland Gold</t>
  </si>
  <si>
    <t>AIM:GGP</t>
  </si>
  <si>
    <t>26/08/2025</t>
  </si>
  <si>
    <t>28/04/2025</t>
  </si>
  <si>
    <t>Gold Road Resources</t>
  </si>
  <si>
    <t>GOR AU EQUITY</t>
  </si>
  <si>
    <t>ASX:GOR</t>
  </si>
  <si>
    <t>Hochschild</t>
  </si>
  <si>
    <t>HOC LN EQUITY</t>
  </si>
  <si>
    <t>LSE:HOC</t>
  </si>
  <si>
    <t>12/05/2025</t>
  </si>
  <si>
    <t>K92</t>
  </si>
  <si>
    <t>KNT CN EQUITY</t>
  </si>
  <si>
    <t>TSX:KNT</t>
  </si>
  <si>
    <t>Mandalay Resources</t>
  </si>
  <si>
    <t>MND CN EQUITY</t>
  </si>
  <si>
    <t>TSX:MND</t>
  </si>
  <si>
    <t>Mineros</t>
  </si>
  <si>
    <t>BVC:MINEROS</t>
  </si>
  <si>
    <t>13/05/2025</t>
  </si>
  <si>
    <t>Orezone Gold</t>
  </si>
  <si>
    <t>ORE CN EQUITY</t>
  </si>
  <si>
    <t>TSX:ORE</t>
  </si>
  <si>
    <t>26/09/2025</t>
  </si>
  <si>
    <t>Ora Banda Mining</t>
  </si>
  <si>
    <t>OBM AU EQUITY</t>
  </si>
  <si>
    <t>ASX:OBM</t>
  </si>
  <si>
    <t>10/09/2025</t>
  </si>
  <si>
    <t>Pan African Resources</t>
  </si>
  <si>
    <t>PAF LN EQUITY</t>
  </si>
  <si>
    <t>AIM:PAF</t>
  </si>
  <si>
    <t>Ramelius</t>
  </si>
  <si>
    <t>RMS AU EQUITY</t>
  </si>
  <si>
    <t>ASX:RMS</t>
  </si>
  <si>
    <t>Resolute Mining</t>
  </si>
  <si>
    <t>RSG AU EQUITY</t>
  </si>
  <si>
    <t>ASX:RSG</t>
  </si>
  <si>
    <t>Wesdome</t>
  </si>
  <si>
    <t>WDO CN EQUITY</t>
  </si>
  <si>
    <t>TSX:WDO</t>
  </si>
  <si>
    <t>West African Resources</t>
  </si>
  <si>
    <t>WAF AU EQUITY</t>
  </si>
  <si>
    <t>ASX:WAF</t>
  </si>
  <si>
    <t>27/08/2025</t>
  </si>
  <si>
    <t>Westgold</t>
  </si>
  <si>
    <t>WGX AU EQUITY</t>
  </si>
  <si>
    <t>ASX:WGX</t>
  </si>
  <si>
    <t>Alkane Resources</t>
  </si>
  <si>
    <t>ALK AU EQUITY</t>
  </si>
  <si>
    <t>ASX:ALK</t>
  </si>
  <si>
    <t>16/05/2025</t>
  </si>
  <si>
    <t>Anglo Asian Mining</t>
  </si>
  <si>
    <t>AAZ LN EQUITY</t>
  </si>
  <si>
    <t>AIM:AAZ</t>
  </si>
  <si>
    <t>Galiano Gold</t>
  </si>
  <si>
    <t>GAU CN EQUITY</t>
  </si>
  <si>
    <t>TSX:GAU</t>
  </si>
  <si>
    <t>15/05/2025</t>
  </si>
  <si>
    <t>Jaguar Mining</t>
  </si>
  <si>
    <t>JAG CN EQUITY</t>
  </si>
  <si>
    <t>TSX:JAG</t>
  </si>
  <si>
    <t>McEwen Mining</t>
  </si>
  <si>
    <t>MUX US EQUITY</t>
  </si>
  <si>
    <t>NYSE:MUX</t>
  </si>
  <si>
    <t>Orla Mining</t>
  </si>
  <si>
    <t>OLA CN EQUITY</t>
  </si>
  <si>
    <t>TSX:OLA</t>
  </si>
  <si>
    <t>29/07/2025</t>
  </si>
  <si>
    <t>St Barbara</t>
  </si>
  <si>
    <t>SBM AU EQUITY</t>
  </si>
  <si>
    <t>ASX:SBM</t>
  </si>
  <si>
    <t>29/05/2025</t>
  </si>
  <si>
    <t>Thor Exploration</t>
  </si>
  <si>
    <t>THX CN EQUITY</t>
  </si>
  <si>
    <t>TSXV:THX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</si>
</sst>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3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525252"/>
      <name val="Arial Narrow"/>
      <family val="2"/>
    </font>
    <font>
      <sz val="6"/>
      <color rgb="FF000000"/>
      <name val="Arial"/>
      <family val="2"/>
    </font>
    <font>
      <sz val="7"/>
      <color rgb="FF525252"/>
      <name val="Arial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4" borderId="6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5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164" fontId="0" fillId="5" borderId="16" xfId="0" applyNumberForma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10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7" xfId="1" applyNumberFormat="1" applyFont="1" applyBorder="1" applyAlignment="1">
      <alignment horizontal="center" vertical="top"/>
    </xf>
    <xf numFmtId="166" fontId="0" fillId="0" borderId="9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9" fontId="0" fillId="0" borderId="0" xfId="1" applyFon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 vertical="top"/>
    </xf>
    <xf numFmtId="3" fontId="0" fillId="0" borderId="7" xfId="0" applyNumberFormat="1" applyBorder="1" applyAlignment="1">
      <alignment horizontal="center" vertical="top"/>
    </xf>
    <xf numFmtId="3" fontId="0" fillId="0" borderId="8" xfId="0" applyNumberFormat="1" applyBorder="1" applyAlignment="1">
      <alignment horizontal="center" vertical="top"/>
    </xf>
    <xf numFmtId="3" fontId="0" fillId="0" borderId="6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/>
    </xf>
    <xf numFmtId="3" fontId="0" fillId="0" borderId="6" xfId="0" applyNumberFormat="1" applyBorder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0" fillId="0" borderId="11" xfId="0" applyNumberFormat="1" applyBorder="1" applyAlignment="1">
      <alignment horizontal="center" vertical="top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3" xfId="0" applyNumberFormat="1" applyBorder="1" applyAlignment="1">
      <alignment horizontal="center" vertical="top"/>
    </xf>
    <xf numFmtId="3" fontId="0" fillId="0" borderId="14" xfId="0" applyNumberFormat="1" applyBorder="1" applyAlignment="1">
      <alignment horizontal="center" vertical="top"/>
    </xf>
    <xf numFmtId="3" fontId="0" fillId="0" borderId="15" xfId="0" applyNumberForma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" fillId="6" borderId="3" xfId="0" applyFont="1" applyFill="1" applyBorder="1" applyAlignment="1">
      <alignment horizontal="right" vertical="top"/>
    </xf>
    <xf numFmtId="2" fontId="1" fillId="6" borderId="16" xfId="0" applyNumberFormat="1" applyFont="1" applyFill="1" applyBorder="1" applyAlignment="1">
      <alignment horizontal="center" vertical="top"/>
    </xf>
    <xf numFmtId="164" fontId="1" fillId="6" borderId="2" xfId="0" applyNumberFormat="1" applyFont="1" applyFill="1" applyBorder="1" applyAlignment="1">
      <alignment horizontal="center" vertical="top"/>
    </xf>
    <xf numFmtId="164" fontId="1" fillId="6" borderId="3" xfId="0" applyNumberFormat="1" applyFont="1" applyFill="1" applyBorder="1" applyAlignment="1">
      <alignment horizontal="center" vertical="top"/>
    </xf>
    <xf numFmtId="164" fontId="1" fillId="6" borderId="4" xfId="0" applyNumberFormat="1" applyFont="1" applyFill="1" applyBorder="1" applyAlignment="1">
      <alignment horizontal="center" vertical="top"/>
    </xf>
    <xf numFmtId="165" fontId="1" fillId="6" borderId="3" xfId="1" applyNumberFormat="1" applyFont="1" applyFill="1" applyBorder="1" applyAlignment="1">
      <alignment horizontal="center" vertical="top"/>
    </xf>
    <xf numFmtId="3" fontId="1" fillId="6" borderId="3" xfId="0" applyNumberFormat="1" applyFont="1" applyFill="1" applyBorder="1" applyAlignment="1">
      <alignment horizontal="center" vertical="top"/>
    </xf>
    <xf numFmtId="3" fontId="1" fillId="6" borderId="2" xfId="0" applyNumberFormat="1" applyFont="1" applyFill="1" applyBorder="1" applyAlignment="1">
      <alignment horizontal="center" vertical="top"/>
    </xf>
    <xf numFmtId="3" fontId="1" fillId="6" borderId="8" xfId="0" applyNumberFormat="1" applyFont="1" applyFill="1" applyBorder="1" applyAlignment="1">
      <alignment horizontal="center" vertical="top"/>
    </xf>
    <xf numFmtId="3" fontId="1" fillId="6" borderId="0" xfId="0" applyNumberFormat="1" applyFont="1" applyFill="1" applyAlignment="1">
      <alignment horizontal="center" vertical="top"/>
    </xf>
    <xf numFmtId="3" fontId="1" fillId="6" borderId="4" xfId="0" applyNumberFormat="1" applyFont="1" applyFill="1" applyBorder="1" applyAlignment="1">
      <alignment horizontal="center" vertical="top"/>
    </xf>
    <xf numFmtId="14" fontId="0" fillId="0" borderId="0" xfId="0" applyNumberFormat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164" fontId="0" fillId="5" borderId="3" xfId="0" applyNumberFormat="1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14" fontId="1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 vertical="top"/>
    </xf>
    <xf numFmtId="0" fontId="0" fillId="7" borderId="12" xfId="0" applyFill="1" applyBorder="1" applyAlignment="1">
      <alignment horizontal="left" vertical="top"/>
    </xf>
    <xf numFmtId="0" fontId="1" fillId="0" borderId="3" xfId="0" applyFont="1" applyBorder="1" applyAlignment="1">
      <alignment horizontal="right" vertical="top"/>
    </xf>
    <xf numFmtId="3" fontId="0" fillId="0" borderId="3" xfId="0" applyNumberForma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64" fontId="0" fillId="5" borderId="14" xfId="0" applyNumberFormat="1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/>
    </xf>
    <xf numFmtId="0" fontId="3" fillId="7" borderId="12" xfId="0" applyFont="1" applyFill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2" fontId="1" fillId="6" borderId="18" xfId="0" applyNumberFormat="1" applyFont="1" applyFill="1" applyBorder="1" applyAlignment="1">
      <alignment horizontal="center" vertical="top"/>
    </xf>
    <xf numFmtId="0" fontId="0" fillId="4" borderId="0" xfId="0" applyFill="1" applyAlignment="1">
      <alignment horizontal="left" vertical="top"/>
    </xf>
    <xf numFmtId="0" fontId="1" fillId="4" borderId="7" xfId="0" applyFont="1" applyFill="1" applyBorder="1" applyAlignment="1">
      <alignment horizontal="right" vertical="top"/>
    </xf>
    <xf numFmtId="2" fontId="1" fillId="4" borderId="0" xfId="0" applyNumberFormat="1" applyFont="1" applyFill="1" applyAlignment="1">
      <alignment horizontal="center" vertical="top"/>
    </xf>
    <xf numFmtId="164" fontId="1" fillId="4" borderId="0" xfId="0" applyNumberFormat="1" applyFont="1" applyFill="1" applyAlignment="1">
      <alignment horizontal="center" vertical="top"/>
    </xf>
    <xf numFmtId="165" fontId="1" fillId="4" borderId="0" xfId="1" applyNumberFormat="1" applyFont="1" applyFill="1" applyBorder="1" applyAlignment="1">
      <alignment horizontal="center" vertical="top"/>
    </xf>
    <xf numFmtId="3" fontId="1" fillId="4" borderId="0" xfId="0" applyNumberFormat="1" applyFont="1" applyFill="1" applyAlignment="1">
      <alignment horizontal="center" vertical="top"/>
    </xf>
    <xf numFmtId="3" fontId="0" fillId="4" borderId="0" xfId="0" applyNumberFormat="1" applyFill="1" applyAlignment="1">
      <alignment horizontal="left" vertical="top"/>
    </xf>
    <xf numFmtId="3" fontId="1" fillId="4" borderId="7" xfId="0" applyNumberFormat="1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center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1899-97CC-4B31-AEAF-2BFB87BEF723}">
  <sheetPr>
    <pageSetUpPr fitToPage="1"/>
  </sheetPr>
  <dimension ref="A1:BY74"/>
  <sheetViews>
    <sheetView showGridLines="0" tabSelected="1" zoomScaleNormal="100" workbookViewId="0">
      <pane xSplit="11" ySplit="4" topLeftCell="L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P10" sqref="P10"/>
    </sheetView>
  </sheetViews>
  <sheetFormatPr defaultRowHeight="13.2" outlineLevelRow="1" outlineLevelCol="3" x14ac:dyDescent="0.25"/>
  <cols>
    <col min="1" max="1" width="12" style="3" hidden="1" customWidth="1" outlineLevel="3"/>
    <col min="2" max="4" width="12.77734375" style="3" hidden="1" customWidth="1" outlineLevel="3"/>
    <col min="5" max="6" width="12.77734375" style="3" hidden="1" customWidth="1" outlineLevel="2"/>
    <col min="7" max="7" width="12.77734375" style="3" hidden="1" customWidth="1" outlineLevel="3"/>
    <col min="8" max="9" width="10.77734375" style="3" hidden="1" customWidth="1" outlineLevel="1"/>
    <col min="10" max="10" width="27.109375" style="3" customWidth="1" collapsed="1"/>
    <col min="11" max="11" width="17.6640625" style="3" hidden="1" customWidth="1" outlineLevel="1"/>
    <col min="12" max="12" width="14.21875" style="3" bestFit="1" customWidth="1" collapsed="1"/>
    <col min="13" max="13" width="13" style="3" customWidth="1"/>
    <col min="14" max="14" width="8.6640625" style="3" hidden="1" customWidth="1" outlineLevel="1"/>
    <col min="15" max="15" width="9.33203125" style="3" customWidth="1" collapsed="1"/>
    <col min="16" max="16" width="8.77734375" style="3" customWidth="1"/>
    <col min="17" max="17" width="10" style="3" hidden="1" customWidth="1" outlineLevel="1"/>
    <col min="18" max="18" width="10.33203125" style="3" bestFit="1" customWidth="1" collapsed="1"/>
    <col min="19" max="19" width="10.33203125" style="3" customWidth="1"/>
    <col min="20" max="20" width="9.33203125" style="3" customWidth="1"/>
    <col min="21" max="24" width="8.77734375" style="3" customWidth="1"/>
    <col min="25" max="25" width="13.44140625" style="3" customWidth="1"/>
    <col min="26" max="26" width="8.77734375" style="3" customWidth="1"/>
    <col min="27" max="28" width="8.77734375" style="3" hidden="1" customWidth="1" outlineLevel="1"/>
    <col min="29" max="29" width="9.77734375" style="3" hidden="1" customWidth="1" outlineLevel="1"/>
    <col min="30" max="38" width="8.77734375" style="3" hidden="1" customWidth="1" outlineLevel="2"/>
    <col min="39" max="39" width="8.6640625" style="3" hidden="1" customWidth="1" outlineLevel="1" collapsed="1"/>
    <col min="40" max="41" width="9.77734375" style="3" hidden="1" customWidth="1" outlineLevel="1"/>
    <col min="42" max="42" width="6.77734375" style="3" bestFit="1" customWidth="1" collapsed="1"/>
    <col min="43" max="43" width="6.77734375" style="3" bestFit="1" customWidth="1"/>
    <col min="44" max="44" width="8.6640625" style="3" customWidth="1"/>
    <col min="45" max="45" width="8.33203125" style="3" hidden="1" customWidth="1" outlineLevel="1"/>
    <col min="46" max="46" width="9" style="3" hidden="1" customWidth="1" outlineLevel="1"/>
    <col min="47" max="47" width="8.33203125" style="3" hidden="1" customWidth="1" outlineLevel="1"/>
    <col min="48" max="48" width="9.33203125" style="3" hidden="1" customWidth="1" outlineLevel="1"/>
    <col min="49" max="50" width="7.77734375" style="3" hidden="1" customWidth="1" outlineLevel="1"/>
    <col min="51" max="51" width="9.33203125" style="3" hidden="1" customWidth="1" outlineLevel="1"/>
    <col min="52" max="53" width="7.77734375" style="3" hidden="1" customWidth="1" outlineLevel="1"/>
    <col min="54" max="58" width="10.33203125" style="3" hidden="1" customWidth="1" outlineLevel="1"/>
    <col min="59" max="59" width="11.109375" style="3" hidden="1" customWidth="1" outlineLevel="1"/>
    <col min="60" max="62" width="8.77734375" style="3" hidden="1" customWidth="1" outlineLevel="1"/>
    <col min="63" max="63" width="8.33203125" style="3" bestFit="1" customWidth="1" collapsed="1"/>
    <col min="64" max="64" width="5.44140625" style="3" bestFit="1" customWidth="1"/>
    <col min="65" max="65" width="6.109375" style="3" bestFit="1" customWidth="1"/>
    <col min="66" max="66" width="7.109375" style="3" customWidth="1"/>
    <col min="67" max="67" width="9" style="3" customWidth="1"/>
    <col min="68" max="69" width="9.109375" style="3" customWidth="1"/>
    <col min="70" max="70" width="7.33203125" style="3" customWidth="1"/>
    <col min="71" max="71" width="6.6640625" style="3" customWidth="1"/>
    <col min="72" max="72" width="8.33203125" style="3" customWidth="1"/>
    <col min="73" max="73" width="8.88671875" style="3"/>
    <col min="74" max="74" width="11.33203125" style="3" bestFit="1" customWidth="1"/>
    <col min="75" max="75" width="11.33203125" style="3" customWidth="1"/>
    <col min="76" max="76" width="11.33203125" style="3" bestFit="1" customWidth="1"/>
    <col min="77" max="77" width="13.77734375" style="3" customWidth="1"/>
    <col min="78" max="16384" width="8.88671875" style="3"/>
  </cols>
  <sheetData>
    <row r="1" spans="1:77" ht="25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8" t="s">
        <v>10</v>
      </c>
      <c r="R1" s="9"/>
      <c r="S1" s="9"/>
      <c r="T1" s="8" t="s">
        <v>11</v>
      </c>
      <c r="U1" s="10"/>
      <c r="V1" s="8" t="s">
        <v>12</v>
      </c>
      <c r="W1" s="9"/>
      <c r="X1" s="10"/>
      <c r="Y1" s="11" t="s">
        <v>13</v>
      </c>
      <c r="Z1" s="12" t="s">
        <v>14</v>
      </c>
      <c r="AA1" s="8" t="s">
        <v>15</v>
      </c>
      <c r="AB1" s="9"/>
      <c r="AC1" s="9"/>
      <c r="AD1" s="13" t="s">
        <v>16</v>
      </c>
      <c r="AE1" s="14"/>
      <c r="AF1" s="14"/>
      <c r="AG1" s="14"/>
      <c r="AH1" s="14"/>
      <c r="AI1" s="14"/>
      <c r="AJ1" s="14"/>
      <c r="AK1" s="14"/>
      <c r="AL1" s="14"/>
      <c r="AM1" s="8" t="s">
        <v>17</v>
      </c>
      <c r="AN1" s="9"/>
      <c r="AO1" s="9"/>
      <c r="AP1" s="8" t="s">
        <v>18</v>
      </c>
      <c r="AQ1" s="9"/>
      <c r="AR1" s="10"/>
      <c r="AS1" s="15" t="s">
        <v>19</v>
      </c>
      <c r="AT1" s="16"/>
      <c r="AU1" s="16"/>
      <c r="AV1" s="16"/>
      <c r="AW1" s="16"/>
      <c r="AX1" s="15" t="s">
        <v>20</v>
      </c>
      <c r="AY1" s="16"/>
      <c r="AZ1" s="16"/>
      <c r="BA1" s="16"/>
      <c r="BB1" s="16"/>
      <c r="BC1" s="15" t="s">
        <v>21</v>
      </c>
      <c r="BD1" s="16"/>
      <c r="BE1" s="16"/>
      <c r="BF1" s="16"/>
      <c r="BG1" s="16"/>
      <c r="BH1" s="17" t="s">
        <v>22</v>
      </c>
      <c r="BJ1" s="18"/>
      <c r="BK1" s="8" t="s">
        <v>23</v>
      </c>
      <c r="BL1" s="9"/>
      <c r="BM1" s="10"/>
      <c r="BN1" s="8" t="s">
        <v>24</v>
      </c>
      <c r="BO1" s="9"/>
      <c r="BP1" s="9"/>
      <c r="BQ1" s="10"/>
      <c r="BR1" s="8" t="s">
        <v>25</v>
      </c>
      <c r="BS1" s="9"/>
      <c r="BT1" s="10"/>
      <c r="BV1" s="19" t="s">
        <v>26</v>
      </c>
      <c r="BW1" s="19" t="s">
        <v>27</v>
      </c>
      <c r="BX1" s="19" t="s">
        <v>28</v>
      </c>
      <c r="BY1" s="19" t="s">
        <v>29</v>
      </c>
    </row>
    <row r="2" spans="1:77" ht="24.75" customHeight="1" x14ac:dyDescent="0.25">
      <c r="A2" s="1"/>
      <c r="B2" s="1"/>
      <c r="C2" s="1"/>
      <c r="D2" s="2" t="s">
        <v>30</v>
      </c>
      <c r="E2" s="1"/>
      <c r="F2" s="1"/>
      <c r="G2" s="2" t="s">
        <v>31</v>
      </c>
      <c r="H2" s="1"/>
      <c r="I2" s="1"/>
      <c r="K2" s="20" t="s">
        <v>32</v>
      </c>
      <c r="L2" s="21" t="s">
        <v>33</v>
      </c>
      <c r="M2" s="4"/>
      <c r="N2" s="22" t="s">
        <v>34</v>
      </c>
      <c r="O2" s="23" t="s">
        <v>35</v>
      </c>
      <c r="P2" s="24" t="s">
        <v>36</v>
      </c>
      <c r="Q2" s="22" t="s">
        <v>34</v>
      </c>
      <c r="R2" s="23" t="s">
        <v>35</v>
      </c>
      <c r="S2" s="23" t="s">
        <v>36</v>
      </c>
      <c r="T2" s="25" t="s">
        <v>35</v>
      </c>
      <c r="U2" s="24" t="s">
        <v>36</v>
      </c>
      <c r="V2" s="22" t="s">
        <v>34</v>
      </c>
      <c r="W2" s="23" t="s">
        <v>35</v>
      </c>
      <c r="X2" s="24" t="s">
        <v>36</v>
      </c>
      <c r="Y2" s="22" t="s">
        <v>35</v>
      </c>
      <c r="Z2" s="26"/>
      <c r="AA2" s="27" t="s">
        <v>37</v>
      </c>
      <c r="AB2" s="28" t="s">
        <v>38</v>
      </c>
      <c r="AC2" s="29" t="s">
        <v>39</v>
      </c>
      <c r="AD2" s="28" t="s">
        <v>34</v>
      </c>
      <c r="AE2" s="28" t="s">
        <v>35</v>
      </c>
      <c r="AF2" s="28" t="s">
        <v>36</v>
      </c>
      <c r="AG2" s="28" t="s">
        <v>34</v>
      </c>
      <c r="AH2" s="28" t="s">
        <v>35</v>
      </c>
      <c r="AI2" s="28" t="s">
        <v>36</v>
      </c>
      <c r="AJ2" s="28" t="s">
        <v>34</v>
      </c>
      <c r="AK2" s="28" t="s">
        <v>35</v>
      </c>
      <c r="AL2" s="28" t="s">
        <v>36</v>
      </c>
      <c r="AM2" s="27" t="s">
        <v>37</v>
      </c>
      <c r="AN2" s="28" t="s">
        <v>38</v>
      </c>
      <c r="AO2" s="28" t="s">
        <v>39</v>
      </c>
      <c r="AP2" s="30" t="s">
        <v>37</v>
      </c>
      <c r="AQ2" s="28" t="s">
        <v>38</v>
      </c>
      <c r="AR2" s="31" t="s">
        <v>39</v>
      </c>
      <c r="AS2" s="28" t="s">
        <v>40</v>
      </c>
      <c r="AT2" s="28" t="s">
        <v>41</v>
      </c>
      <c r="AU2" s="28" t="s">
        <v>42</v>
      </c>
      <c r="AV2" s="28" t="s">
        <v>43</v>
      </c>
      <c r="AW2" s="28" t="s">
        <v>44</v>
      </c>
      <c r="AX2" s="28" t="s">
        <v>40</v>
      </c>
      <c r="AY2" s="28" t="s">
        <v>41</v>
      </c>
      <c r="AZ2" s="28" t="s">
        <v>42</v>
      </c>
      <c r="BA2" s="28" t="s">
        <v>43</v>
      </c>
      <c r="BB2" s="28" t="s">
        <v>44</v>
      </c>
      <c r="BC2" s="28" t="s">
        <v>40</v>
      </c>
      <c r="BD2" s="28" t="s">
        <v>41</v>
      </c>
      <c r="BE2" s="28" t="s">
        <v>42</v>
      </c>
      <c r="BF2" s="28" t="s">
        <v>43</v>
      </c>
      <c r="BG2" s="28" t="s">
        <v>44</v>
      </c>
      <c r="BH2" s="18" t="s">
        <v>45</v>
      </c>
      <c r="BI2" s="18" t="s">
        <v>46</v>
      </c>
      <c r="BJ2" s="18" t="s">
        <v>47</v>
      </c>
      <c r="BK2" s="32" t="s">
        <v>45</v>
      </c>
      <c r="BL2" s="33" t="s">
        <v>46</v>
      </c>
      <c r="BM2" s="34" t="s">
        <v>47</v>
      </c>
      <c r="BN2" s="28" t="s">
        <v>48</v>
      </c>
      <c r="BO2" s="28" t="s">
        <v>49</v>
      </c>
      <c r="BP2" s="35" t="s">
        <v>50</v>
      </c>
      <c r="BQ2" s="35" t="s">
        <v>37</v>
      </c>
      <c r="BR2" s="30" t="s">
        <v>37</v>
      </c>
      <c r="BS2" s="28" t="s">
        <v>38</v>
      </c>
      <c r="BT2" s="31" t="s">
        <v>39</v>
      </c>
      <c r="BV2" s="36" t="s">
        <v>51</v>
      </c>
      <c r="BW2" s="36"/>
      <c r="BX2" s="36"/>
      <c r="BY2" s="36"/>
    </row>
    <row r="3" spans="1:77" outlineLevel="1" x14ac:dyDescent="0.25">
      <c r="A3" s="37" t="s">
        <v>52</v>
      </c>
      <c r="B3" s="38" t="s">
        <v>53</v>
      </c>
      <c r="C3" s="38" t="s">
        <v>54</v>
      </c>
      <c r="D3" s="38" t="s">
        <v>55</v>
      </c>
      <c r="E3" s="38"/>
      <c r="F3" s="38"/>
      <c r="G3" s="38"/>
      <c r="L3" s="21"/>
      <c r="M3" s="37" t="s">
        <v>56</v>
      </c>
      <c r="N3" s="39" t="s">
        <v>57</v>
      </c>
      <c r="Q3" s="38" t="s">
        <v>58</v>
      </c>
      <c r="R3" s="38" t="s">
        <v>59</v>
      </c>
      <c r="S3" s="38" t="s">
        <v>59</v>
      </c>
      <c r="T3" s="40"/>
      <c r="V3" s="39" t="s">
        <v>60</v>
      </c>
      <c r="W3" s="41"/>
      <c r="X3" s="41"/>
      <c r="Y3" s="42" t="s">
        <v>61</v>
      </c>
      <c r="Z3" s="42" t="s">
        <v>62</v>
      </c>
      <c r="AA3" s="39" t="s">
        <v>63</v>
      </c>
      <c r="AP3" s="40"/>
      <c r="AR3" s="43"/>
      <c r="AS3" s="44" t="s">
        <v>64</v>
      </c>
      <c r="AT3" s="41"/>
      <c r="AU3" s="41"/>
      <c r="AV3" s="41" t="s">
        <v>65</v>
      </c>
      <c r="AW3" s="41"/>
      <c r="AX3" s="41" t="s">
        <v>66</v>
      </c>
      <c r="AY3" s="41"/>
      <c r="AZ3" s="41"/>
      <c r="BA3" s="41" t="s">
        <v>67</v>
      </c>
      <c r="BB3" s="41"/>
      <c r="BC3" s="41" t="s">
        <v>68</v>
      </c>
      <c r="BD3" s="41"/>
      <c r="BE3" s="41"/>
      <c r="BF3" s="41" t="s">
        <v>69</v>
      </c>
      <c r="BG3" s="41"/>
      <c r="BH3" s="41"/>
      <c r="BI3" s="41"/>
      <c r="BJ3" s="41"/>
      <c r="BK3" s="44"/>
      <c r="BL3" s="41"/>
      <c r="BM3" s="45"/>
      <c r="BN3" s="39" t="s">
        <v>70</v>
      </c>
      <c r="BR3" s="39" t="s">
        <v>71</v>
      </c>
      <c r="BT3" s="43"/>
      <c r="BV3" s="36" t="s">
        <v>72</v>
      </c>
      <c r="BW3" s="36"/>
      <c r="BX3" s="36"/>
      <c r="BY3" s="36"/>
    </row>
    <row r="4" spans="1:77" outlineLevel="1" x14ac:dyDescent="0.25">
      <c r="L4" s="21"/>
      <c r="M4" s="37"/>
      <c r="N4" s="39"/>
      <c r="Q4" s="38"/>
      <c r="R4" s="38"/>
      <c r="S4" s="38"/>
      <c r="T4" s="40"/>
      <c r="X4" s="43"/>
      <c r="Y4" s="42" t="s">
        <v>73</v>
      </c>
      <c r="Z4" s="42" t="s">
        <v>74</v>
      </c>
      <c r="AA4" s="39" t="s">
        <v>75</v>
      </c>
      <c r="AD4" s="46" t="s">
        <v>76</v>
      </c>
      <c r="AG4" s="46" t="s">
        <v>77</v>
      </c>
      <c r="AH4" s="18"/>
      <c r="AI4" s="18"/>
      <c r="AJ4" s="46" t="s">
        <v>78</v>
      </c>
      <c r="AP4" s="47"/>
      <c r="AQ4" s="48"/>
      <c r="AR4" s="49"/>
      <c r="AS4" s="44" t="s">
        <v>79</v>
      </c>
      <c r="BK4" s="47"/>
      <c r="BL4" s="48"/>
      <c r="BM4" s="49"/>
      <c r="BN4" s="38"/>
      <c r="BR4" s="39" t="s">
        <v>80</v>
      </c>
      <c r="BT4" s="43"/>
      <c r="BV4" s="36"/>
      <c r="BW4" s="36"/>
      <c r="BX4" s="36"/>
      <c r="BY4" s="36"/>
    </row>
    <row r="5" spans="1:77" ht="16.8" x14ac:dyDescent="0.25">
      <c r="J5" s="50" t="s">
        <v>81</v>
      </c>
      <c r="K5" s="50"/>
      <c r="L5" s="51"/>
      <c r="M5" s="52"/>
      <c r="N5" s="53"/>
      <c r="O5" s="54"/>
      <c r="P5" s="54"/>
      <c r="Q5" s="54"/>
      <c r="R5" s="54"/>
      <c r="S5" s="54"/>
      <c r="T5" s="54"/>
      <c r="U5" s="54"/>
      <c r="V5" s="54"/>
      <c r="W5" s="54"/>
      <c r="X5" s="55"/>
      <c r="Y5" s="54"/>
      <c r="Z5" s="54"/>
      <c r="AA5" s="54"/>
      <c r="AB5" s="54"/>
      <c r="AC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5"/>
      <c r="BN5" s="54"/>
      <c r="BO5" s="54"/>
      <c r="BP5" s="54"/>
      <c r="BQ5" s="54"/>
      <c r="BR5" s="53"/>
      <c r="BS5" s="54"/>
      <c r="BT5" s="55"/>
      <c r="BV5" s="36" t="s">
        <v>72</v>
      </c>
      <c r="BW5" s="36"/>
      <c r="BX5" s="36"/>
      <c r="BY5" s="36"/>
    </row>
    <row r="6" spans="1:77" ht="13.8" x14ac:dyDescent="0.25">
      <c r="A6" s="56" t="e">
        <f ca="1">_xll.SNL.Clients.Office.Excel.Functions.SPG($L6, A$3)</f>
        <v>#NAME?</v>
      </c>
      <c r="B6" s="56" t="e">
        <f ca="1">_xll.BDP($K6,B$3)</f>
        <v>#NAME?</v>
      </c>
      <c r="C6" s="56" t="e">
        <f ca="1">_xll.BDP($K6,C$3)</f>
        <v>#NAME?</v>
      </c>
      <c r="D6" s="56" t="e">
        <f ca="1">_xll.BDP($K6,D$3)</f>
        <v>#NAME?</v>
      </c>
      <c r="E6" s="57" t="s">
        <v>82</v>
      </c>
      <c r="F6" s="57" t="s">
        <v>83</v>
      </c>
      <c r="G6" s="57" t="s">
        <v>84</v>
      </c>
      <c r="H6" s="58" t="e">
        <f ca="1">_xll.SNL.Clients.Office.Excel.Functions.SPG($L6, "IQ_TEV", "Options: Curr=USD")</f>
        <v>#NAME?</v>
      </c>
      <c r="I6" s="58" t="e">
        <f ca="1">_xll.SNL.Clients.Office.Excel.Functions.SPG($L6, "SP_MARKETCAP", "Options: Curr=USD")</f>
        <v>#NAME?</v>
      </c>
      <c r="J6" s="59" t="s">
        <v>85</v>
      </c>
      <c r="K6" s="3" t="s">
        <v>86</v>
      </c>
      <c r="L6" s="18" t="s">
        <v>87</v>
      </c>
      <c r="M6" s="60" t="e" cm="1">
        <f t="array" aca="1" ref="M6" ca="1">_xll.SNL.Clients.Office.Excel.Functions.SPG($L6, $M$3)/100</f>
        <v>#NAME?</v>
      </c>
      <c r="N6" s="61" t="e" cm="1">
        <f t="array" aca="1" ref="N6" ca="1">_xll.SNL.Clients.Office.Excel.Functions.SPG($L6, "SP_PCFPS_FWD",N$2)</f>
        <v>#NAME?</v>
      </c>
      <c r="O6" s="62" t="e" cm="1">
        <f t="array" aca="1" ref="O6" ca="1">_xll.SNL.Clients.Office.Excel.Functions.SPG($L6, "SP_PCFPS_FWD",O$2)</f>
        <v>#NAME?</v>
      </c>
      <c r="P6" s="63" t="e" cm="1">
        <f t="array" aca="1" ref="P6" ca="1">_xll.SNL.Clients.Office.Excel.Functions.SPG($L6, "SP_PCFPS_FWD",P$2)</f>
        <v>#NAME?</v>
      </c>
      <c r="Q6" s="64" t="e">
        <f ca="1">_xll.SNL.Clients.Office.Excel.Functions.SPG($L6, "SP_FCF_EST",Q$2, "Options: Curr=USD")/1000/$I6</f>
        <v>#NAME?</v>
      </c>
      <c r="R6" s="65" t="e">
        <f ca="1">_xll.SNL.Clients.Office.Excel.Functions.SPG($L6, "SP_FCF_EST",R$2, "Options: Curr=USD")/1000/$I6</f>
        <v>#NAME?</v>
      </c>
      <c r="S6" s="65" t="e">
        <f ca="1">_xll.SNL.Clients.Office.Excel.Functions.SPG($L6, "SP_FCF_EST",S$2, "Options: Curr=USD")/1000/$I6</f>
        <v>#NAME?</v>
      </c>
      <c r="T6" s="61" t="e" cm="1">
        <f t="array" aca="1" ref="T6" ca="1">_xll.SNL.Clients.Office.Excel.Functions.SPG($L6, "SP_PE_FWD",T$2)</f>
        <v>#NAME?</v>
      </c>
      <c r="U6" s="63" t="e" cm="1">
        <f t="array" aca="1" ref="U6" ca="1">_xll.SNL.Clients.Office.Excel.Functions.SPG($L6, "SP_PE_FWD",U$2)</f>
        <v>#NAME?</v>
      </c>
      <c r="V6" s="66" t="e" cm="1">
        <f t="array" aca="1" ref="V6" ca="1">_xll.SNL.Clients.Office.Excel.Functions.SPG($L6, $V$3,V$2)</f>
        <v>#NAME?</v>
      </c>
      <c r="W6" s="67" t="e" cm="1">
        <f t="array" aca="1" ref="W6" ca="1">_xll.SNL.Clients.Office.Excel.Functions.SPG($L6, $V$3,W$2)</f>
        <v>#NAME?</v>
      </c>
      <c r="X6" s="68" t="e" cm="1">
        <f t="array" aca="1" ref="X6" ca="1">_xll.SNL.Clients.Office.Excel.Functions.SPG($L6, $V$3,X$2)</f>
        <v>#NAME?</v>
      </c>
      <c r="Y6" s="69" t="e" cm="1">
        <f t="array" aca="1" ref="Y6" ca="1">IF((_xll.SNL.Clients.Office.Excel.Functions.SPG($L6,Y$3,Y$4,"Options: Curr=USD") / _xll.SNL.Clients.Office.Excel.Functions.SPG($L6,"SP_EBITDA_EST",Y$2,"Options: Curr=USD")) &lt; 0, "NM", (_xll.SNL.Clients.Office.Excel.Functions.SPG($L6,Y$3,Y$4,"Options: Curr=USD") / _xll.SNL.Clients.Office.Excel.Functions.SPG($L6,"SP_EBITDA_EST",Y$2,"Options: Curr=USD")))</f>
        <v>#NAME?</v>
      </c>
      <c r="Z6" s="70" t="e" cm="1">
        <f t="array" aca="1" ref="Z6" ca="1">_xll.SNL.Clients.Office.Excel.Functions.SPG($L6, Z$3,Z$4)</f>
        <v>#NAME?</v>
      </c>
      <c r="AA6" s="71" t="str">
        <f ca="1">IFERROR(0.001*AVERAGE(_xll.SNL.Clients.Office.Excel.Functions.SPG($L6,$AA$4,"Au",AA$2),_xll.SNL.Clients.Office.Excel.Functions.SPG($L6,$AA$3,"Au",AA$2)),"NA")</f>
        <v>NA</v>
      </c>
      <c r="AB6" s="72" t="str">
        <f ca="1">IFERROR(0.001*AVERAGE(_xll.SNL.Clients.Office.Excel.Functions.SPG($L6,$AA$4,"Au",AB$2),_xll.SNL.Clients.Office.Excel.Functions.SPG($L6,$AA$3,"Au",AB$2)),"NA")</f>
        <v>NA</v>
      </c>
      <c r="AC6" s="73" t="str">
        <f ca="1">IFERROR(0.001*AVERAGE(_xll.SNL.Clients.Office.Excel.Functions.SPG($L6,$AA$4,"Au",AC$2),_xll.SNL.Clients.Office.Excel.Functions.SPG($L6,$AA$3,"Au",AC$2)),"NA")</f>
        <v>NA</v>
      </c>
      <c r="AD6" s="72" t="e">
        <f ca="1" xml:space="preserve"> IF(ISNUMBER(SEARCH("na",_xll.SNL.Clients.Office.Excel.Functions.SPG($L6, $AD$4, AD$2))), 0,_xll.SNL.Clients.Office.Excel.Functions.SPG($L6, $AD$4, AD$2))</f>
        <v>#NAME?</v>
      </c>
      <c r="AE6" s="72" t="e">
        <f ca="1" xml:space="preserve"> IF(ISNUMBER(SEARCH("na",_xll.SNL.Clients.Office.Excel.Functions.SPG($L6, $AD$4, AE$2))), 0,_xll.SNL.Clients.Office.Excel.Functions.SPG($L6, $AD$4, AE$2))</f>
        <v>#NAME?</v>
      </c>
      <c r="AF6" s="72" t="e">
        <f ca="1" xml:space="preserve"> IF(ISNUMBER(SEARCH("na",_xll.SNL.Clients.Office.Excel.Functions.SPG($L6, $AD$4, AF$2))), 0,_xll.SNL.Clients.Office.Excel.Functions.SPG($L6, $AD$4, AF$2))</f>
        <v>#NAME?</v>
      </c>
      <c r="AG6" s="72" t="e">
        <f ca="1" xml:space="preserve"> IF(ISNUMBER(SEARCH("na",_xll.SNL.Clients.Office.Excel.Functions.SPG($L6, $AG$4, AG$2))), 0,_xll.SNL.Clients.Office.Excel.Functions.SPG($L6, $AG$4, AG$2))</f>
        <v>#NAME?</v>
      </c>
      <c r="AH6" s="72" t="e">
        <f ca="1" xml:space="preserve"> IF(ISNUMBER(SEARCH("na",_xll.SNL.Clients.Office.Excel.Functions.SPG($L6, $AG$4, AH$2))), 0,_xll.SNL.Clients.Office.Excel.Functions.SPG($L6, $AG$4, AH$2))</f>
        <v>#NAME?</v>
      </c>
      <c r="AI6" s="72" t="e">
        <f ca="1" xml:space="preserve"> IF(ISNUMBER(SEARCH("na",_xll.SNL.Clients.Office.Excel.Functions.SPG($L6, $AG$4, AI$2))), 0,_xll.SNL.Clients.Office.Excel.Functions.SPG($L6, $AG$4, AI$2))</f>
        <v>#NAME?</v>
      </c>
      <c r="AJ6" s="72" t="e">
        <f ca="1" xml:space="preserve"> IF(ISNUMBER(SEARCH("na",_xll.SNL.Clients.Office.Excel.Functions.SPG($L6, $AJ$4, AJ$2))), 0,_xll.SNL.Clients.Office.Excel.Functions.SPG($L6, $AJ$4, AJ$2))</f>
        <v>#NAME?</v>
      </c>
      <c r="AK6" s="72" t="e">
        <f ca="1" xml:space="preserve"> IF(ISNUMBER(SEARCH("na",_xll.SNL.Clients.Office.Excel.Functions.SPG($L6, $AJ$4, AK$2))), 0,_xll.SNL.Clients.Office.Excel.Functions.SPG($L6, $AJ$4, AK$2))</f>
        <v>#NAME?</v>
      </c>
      <c r="AL6" s="72" t="e">
        <f ca="1" xml:space="preserve"> IF(ISNUMBER(SEARCH("na",_xll.SNL.Clients.Office.Excel.Functions.SPG($L6, $AJ$4, AL$2))), 0,_xll.SNL.Clients.Office.Excel.Functions.SPG($L6, $AJ$4, AL$2))</f>
        <v>#NAME?</v>
      </c>
      <c r="AM6" s="72" t="e">
        <f t="shared" ref="AM6:AO12" ca="1" si="0">AD6+AG6*agprice/auprice+AJ6*cuprice/auprice</f>
        <v>#NAME?</v>
      </c>
      <c r="AN6" s="72" t="e">
        <f t="shared" ca="1" si="0"/>
        <v>#NAME?</v>
      </c>
      <c r="AO6" s="72" t="e">
        <f t="shared" ca="1" si="0"/>
        <v>#NAME?</v>
      </c>
      <c r="AP6" s="74" t="str">
        <f ca="1">IFERROR($H6/AM6*1000,"NA")</f>
        <v>NA</v>
      </c>
      <c r="AQ6" s="75" t="str">
        <f ca="1">IFERROR($H6/AN6*1000,"NA")</f>
        <v>NA</v>
      </c>
      <c r="AR6" s="76" t="str">
        <f ca="1">IFERROR($H6/AO6*1000,"NA")</f>
        <v>NA</v>
      </c>
      <c r="AS6" s="72">
        <f ca="1">IFERROR(_xll.SNL.Clients.Office.Excel.Functions.SPG($L6, $AS$3, AS$2,$AS$4)/1000,0)</f>
        <v>0</v>
      </c>
      <c r="AT6" s="72">
        <f ca="1">IFERROR(_xll.SNL.Clients.Office.Excel.Functions.SPG($L6, $AS$3, AT$2,$AS$4)/1000,0)</f>
        <v>0</v>
      </c>
      <c r="AU6" s="72">
        <f ca="1">IFERROR(_xll.SNL.Clients.Office.Excel.Functions.SPG($L6, $AV$3, AU$2,$AS$4)/1000,0)</f>
        <v>0</v>
      </c>
      <c r="AV6" s="72">
        <f ca="1">IFERROR(_xll.SNL.Clients.Office.Excel.Functions.SPG($L6, $AV$3, AV$2,$AS$4)/1000,0)</f>
        <v>0</v>
      </c>
      <c r="AW6" s="72">
        <f ca="1">IFERROR(_xll.SNL.Clients.Office.Excel.Functions.SPG($L6, $AV$3, AW$2,$AS$4)/1000,0)</f>
        <v>0</v>
      </c>
      <c r="AX6" s="72">
        <f ca="1">IFERROR(_xll.SNL.Clients.Office.Excel.Functions.SPG($L6, $AX$3, AX$2,$AS$4)/1000,0)</f>
        <v>0</v>
      </c>
      <c r="AY6" s="72">
        <f ca="1">IFERROR(_xll.SNL.Clients.Office.Excel.Functions.SPG($L6, $AX$3, AY$2,$AS$4)/1000,0)</f>
        <v>0</v>
      </c>
      <c r="AZ6" s="72">
        <f ca="1">IFERROR(_xll.SNL.Clients.Office.Excel.Functions.SPG($L6, $BA$3, AZ$2,$AS$4)/1000,0)</f>
        <v>0</v>
      </c>
      <c r="BA6" s="72">
        <f ca="1">IFERROR(_xll.SNL.Clients.Office.Excel.Functions.SPG($L6, $BA$3, BA$2,$AS$4)/1000,0)</f>
        <v>0</v>
      </c>
      <c r="BB6" s="72">
        <f ca="1">IFERROR(_xll.SNL.Clients.Office.Excel.Functions.SPG($L6, $BA$3, BB$2,$AS$4)/1000,0)</f>
        <v>0</v>
      </c>
      <c r="BC6" s="72">
        <f ca="1">IFERROR(_xll.SNL.Clients.Office.Excel.Functions.SPG($L6, $BC$3, BC$2,$AS$4)/1000,0)</f>
        <v>0</v>
      </c>
      <c r="BD6" s="72">
        <f ca="1">IFERROR(_xll.SNL.Clients.Office.Excel.Functions.SPG($L6, $BC$3, BD$2,$AS$4)/1000,0)</f>
        <v>0</v>
      </c>
      <c r="BE6" s="72">
        <f ca="1">IFERROR(_xll.SNL.Clients.Office.Excel.Functions.SPG($L6, $BF$3, BE$2,$AS$4)/1000,0)</f>
        <v>0</v>
      </c>
      <c r="BF6" s="72">
        <f ca="1">IFERROR(_xll.SNL.Clients.Office.Excel.Functions.SPG($L6, $BF$3, BF$2,$AS$4)/1000,0)</f>
        <v>0</v>
      </c>
      <c r="BG6" s="72">
        <f ca="1">IFERROR(_xll.SNL.Clients.Office.Excel.Functions.SPG($L6, $BF$3, BG$2,$AS$4)/1000,0)</f>
        <v>0</v>
      </c>
      <c r="BH6" s="72">
        <f t="shared" ref="BH6:BH12" ca="1" si="1">AS6+AT6*agprice/auprice+AU6*cuprice/auprice+AV6*znprice/auprice+AW6*pbprice/auprice</f>
        <v>0</v>
      </c>
      <c r="BI6" s="72">
        <f t="shared" ref="BI6:BI12" ca="1" si="2">AX6+AY6*agprice/auprice+AZ6*cuprice/auprice+BA6*znprice/auprice+BB6*pbprice/auprice+BH6</f>
        <v>0</v>
      </c>
      <c r="BJ6" s="72">
        <f t="shared" ref="BJ6:BJ12" ca="1" si="3">BC6+BD6*agprice/auprice+BE6*cuprice/auprice+BF6*znprice/auprice+BG6*pbprice/auprice+BH6</f>
        <v>0</v>
      </c>
      <c r="BK6" s="77" t="str">
        <f t="shared" ref="BK6:BM12" ca="1" si="4">IFERROR($H6*1000/BH6,"NA")</f>
        <v>NA</v>
      </c>
      <c r="BL6" s="72" t="str">
        <f t="shared" ca="1" si="4"/>
        <v>NA</v>
      </c>
      <c r="BM6" s="78" t="str">
        <f t="shared" ca="1" si="4"/>
        <v>NA</v>
      </c>
      <c r="BN6" s="72" t="e">
        <f ca="1">_xll.SNL.Clients.Office.Excel.Functions.SPG($L6, $BN$3, BN$2, "Au", "Options:Curr=USD")</f>
        <v>#NAME?</v>
      </c>
      <c r="BO6" s="72" t="e">
        <f ca="1">_xll.SNL.Clients.Office.Excel.Functions.SPG($L6, $BN$3, BO$2, "Au", "Options:Curr=USD")</f>
        <v>#NAME?</v>
      </c>
      <c r="BP6" s="79" t="e">
        <f ca="1">_xll.SNL.Clients.Office.Excel.Functions.SPG($L6, $BN$3, BP$2, "Au", "Options:Curr=USD")</f>
        <v>#NAME?</v>
      </c>
      <c r="BQ6" s="73" t="e">
        <f ca="1">_xll.SNL.Clients.Office.Excel.Functions.SPG($L6, $BN$3, BQ$2, "Au", "Options:Curr=USD")</f>
        <v>#NAME?</v>
      </c>
      <c r="BR6" s="72" t="str">
        <f ca="1">IFERROR(AVERAGE(_xll.SNL.Clients.Office.Excel.Functions.SPG($L6,$BR$4,"Au",BR$2, "Options:Curr=USD"),_xll.SNL.Clients.Office.Excel.Functions.SPG($L6,$BR$3,"Au",BR$2, "Options:Curr=USD")),"NA")</f>
        <v>NA</v>
      </c>
      <c r="BS6" s="72" t="str">
        <f ca="1">IFERROR(AVERAGE(_xll.SNL.Clients.Office.Excel.Functions.SPG($L6,$BR$4,"Au",BS$2, "Options:Curr=USD"),_xll.SNL.Clients.Office.Excel.Functions.SPG($L6,$BR$3,"Au",BS$2, "Options:Curr=USD")),"NA")</f>
        <v>NA</v>
      </c>
      <c r="BT6" s="78" t="str">
        <f ca="1">IFERROR(AVERAGE(_xll.SNL.Clients.Office.Excel.Functions.SPG($L6,$BR$4,"Au",BT$2, "Options:Curr=USD"),_xll.SNL.Clients.Office.Excel.Functions.SPG($L6,$BR$3,"Au",BT$2, "Options:Curr=USD")),"NA")</f>
        <v>NA</v>
      </c>
      <c r="BV6" s="36" t="s">
        <v>88</v>
      </c>
      <c r="BW6" s="36"/>
      <c r="BX6" s="36" t="s">
        <v>89</v>
      </c>
      <c r="BY6" s="36"/>
    </row>
    <row r="7" spans="1:77" ht="13.8" x14ac:dyDescent="0.25">
      <c r="A7" s="56" t="e">
        <f ca="1">_xll.SNL.Clients.Office.Excel.Functions.SPG($L7, A$3)</f>
        <v>#NAME?</v>
      </c>
      <c r="B7" s="56" t="e">
        <f ca="1">_xll.BDP($K7,B$3)</f>
        <v>#NAME?</v>
      </c>
      <c r="C7" s="56" t="e">
        <f ca="1">_xll.BDP($K7,C$3)</f>
        <v>#NAME?</v>
      </c>
      <c r="D7" s="56" t="e">
        <f ca="1">_xll.BDP($K7,D$3)</f>
        <v>#NAME?</v>
      </c>
      <c r="E7" s="57" t="s">
        <v>90</v>
      </c>
      <c r="F7" s="57" t="s">
        <v>83</v>
      </c>
      <c r="G7" s="57" t="s">
        <v>84</v>
      </c>
      <c r="H7" s="58" t="e">
        <f ca="1">_xll.SNL.Clients.Office.Excel.Functions.SPG($L7, "IQ_TEV", "Options: Curr=USD")</f>
        <v>#NAME?</v>
      </c>
      <c r="I7" s="58" t="e">
        <f ca="1">_xll.SNL.Clients.Office.Excel.Functions.SPG($L7, "SP_MARKETCAP", "Options: Curr=USD")</f>
        <v>#NAME?</v>
      </c>
      <c r="J7" s="59" t="s">
        <v>91</v>
      </c>
      <c r="K7" s="18" t="s">
        <v>92</v>
      </c>
      <c r="L7" s="18" t="s">
        <v>93</v>
      </c>
      <c r="M7" s="60" t="e" cm="1">
        <f t="array" aca="1" ref="M7" ca="1">_xll.SNL.Clients.Office.Excel.Functions.SPG($L7, $M$3)/100</f>
        <v>#NAME?</v>
      </c>
      <c r="N7" s="61" t="e" cm="1">
        <f t="array" aca="1" ref="N7" ca="1">_xll.SNL.Clients.Office.Excel.Functions.SPG($L7, "SP_PCFPS_FWD",N$2)</f>
        <v>#NAME?</v>
      </c>
      <c r="O7" s="62" t="e" cm="1">
        <f t="array" aca="1" ref="O7" ca="1">_xll.SNL.Clients.Office.Excel.Functions.SPG($L7, "SP_PCFPS_FWD",O$2)</f>
        <v>#NAME?</v>
      </c>
      <c r="P7" s="63" t="e" cm="1">
        <f t="array" aca="1" ref="P7" ca="1">_xll.SNL.Clients.Office.Excel.Functions.SPG($L7, "SP_PCFPS_FWD",P$2)</f>
        <v>#NAME?</v>
      </c>
      <c r="Q7" s="64" t="e">
        <f ca="1">_xll.SNL.Clients.Office.Excel.Functions.SPG($L7, "SP_FCF_EST",Q$2, "Options: Curr=USD")/1000/$I7</f>
        <v>#NAME?</v>
      </c>
      <c r="R7" s="64" t="e">
        <f ca="1">_xll.SNL.Clients.Office.Excel.Functions.SPG($L7, "SP_FCF_EST",R$2, "Options: Curr=USD")/1000/$I7</f>
        <v>#NAME?</v>
      </c>
      <c r="S7" s="64" t="e">
        <f ca="1">_xll.SNL.Clients.Office.Excel.Functions.SPG($L7, "SP_FCF_EST",S$2, "Options: Curr=USD")/1000/$I7</f>
        <v>#NAME?</v>
      </c>
      <c r="T7" s="61" t="e" cm="1">
        <f t="array" aca="1" ref="T7" ca="1">_xll.SNL.Clients.Office.Excel.Functions.SPG($L7, "SP_PE_FWD",T$2)</f>
        <v>#NAME?</v>
      </c>
      <c r="U7" s="63" t="e" cm="1">
        <f t="array" aca="1" ref="U7" ca="1">_xll.SNL.Clients.Office.Excel.Functions.SPG($L7, "SP_PE_FWD",U$2)</f>
        <v>#NAME?</v>
      </c>
      <c r="V7" s="80" t="e" cm="1">
        <f t="array" aca="1" ref="V7" ca="1">_xll.SNL.Clients.Office.Excel.Functions.SPG($L7, $V$3,V$2)</f>
        <v>#NAME?</v>
      </c>
      <c r="W7" s="81" t="e" cm="1">
        <f t="array" aca="1" ref="W7" ca="1">_xll.SNL.Clients.Office.Excel.Functions.SPG($L7, $V$3,W$2)</f>
        <v>#NAME?</v>
      </c>
      <c r="X7" s="82" t="e" cm="1">
        <f t="array" aca="1" ref="X7" ca="1">_xll.SNL.Clients.Office.Excel.Functions.SPG($L7, $V$3,X$2)</f>
        <v>#NAME?</v>
      </c>
      <c r="Y7" s="69" t="e" cm="1">
        <f t="array" aca="1" ref="Y7" ca="1">IF((_xll.SNL.Clients.Office.Excel.Functions.SPG($L7,Y$3,Y$4,"Options: Curr=USD") / _xll.SNL.Clients.Office.Excel.Functions.SPG($L7,"SP_EBITDA_EST",Y$2,"Options: Curr=USD")) &lt; 0, "NM", (_xll.SNL.Clients.Office.Excel.Functions.SPG($L7,Y$3,Y$4,"Options: Curr=USD") / _xll.SNL.Clients.Office.Excel.Functions.SPG($L7,"SP_EBITDA_EST",Y$2,"Options: Curr=USD")))</f>
        <v>#NAME?</v>
      </c>
      <c r="Z7" s="70" t="e" cm="1">
        <f t="array" aca="1" ref="Z7" ca="1">_xll.SNL.Clients.Office.Excel.Functions.SPG($L7, Z$3,Z$4)</f>
        <v>#NAME?</v>
      </c>
      <c r="AA7" s="77" t="str">
        <f ca="1">IFERROR(0.001*AVERAGE(_xll.SNL.Clients.Office.Excel.Functions.SPG($L7,$AA$4,"Au",AA$2),_xll.SNL.Clients.Office.Excel.Functions.SPG($L7,$AA$3,"Au",AA$2)),"NA")</f>
        <v>NA</v>
      </c>
      <c r="AB7" s="72" t="str">
        <f ca="1">IFERROR(0.001*AVERAGE(_xll.SNL.Clients.Office.Excel.Functions.SPG($L7,$AA$4,"Au",AB$2),_xll.SNL.Clients.Office.Excel.Functions.SPG($L7,$AA$3,"Au",AB$2)),"NA")</f>
        <v>NA</v>
      </c>
      <c r="AC7" s="78" t="str">
        <f ca="1">IFERROR(0.001*AVERAGE(_xll.SNL.Clients.Office.Excel.Functions.SPG($L7,$AA$4,"Au",AC$2),_xll.SNL.Clients.Office.Excel.Functions.SPG($L7,$AA$3,"Au",AC$2)),"NA")</f>
        <v>NA</v>
      </c>
      <c r="AD7" s="72" t="e">
        <f ca="1" xml:space="preserve"> IF(ISNUMBER(SEARCH("na",_xll.SNL.Clients.Office.Excel.Functions.SPG($L7, $AD$4, AD$2))), 0,_xll.SNL.Clients.Office.Excel.Functions.SPG($L7, $AD$4, AD$2))</f>
        <v>#NAME?</v>
      </c>
      <c r="AE7" s="72" t="e">
        <f ca="1" xml:space="preserve"> IF(ISNUMBER(SEARCH("na",_xll.SNL.Clients.Office.Excel.Functions.SPG($L7, $AD$4, AE$2))), 0,_xll.SNL.Clients.Office.Excel.Functions.SPG($L7, $AD$4, AE$2))</f>
        <v>#NAME?</v>
      </c>
      <c r="AF7" s="72" t="e">
        <f ca="1" xml:space="preserve"> IF(ISNUMBER(SEARCH("na",_xll.SNL.Clients.Office.Excel.Functions.SPG($L7, $AD$4, AF$2))), 0,_xll.SNL.Clients.Office.Excel.Functions.SPG($L7, $AD$4, AF$2))</f>
        <v>#NAME?</v>
      </c>
      <c r="AG7" s="72" t="e">
        <f ca="1" xml:space="preserve"> IF(ISNUMBER(SEARCH("na",_xll.SNL.Clients.Office.Excel.Functions.SPG($L7, $AG$4, AG$2))), 0,_xll.SNL.Clients.Office.Excel.Functions.SPG($L7, $AG$4, AG$2))</f>
        <v>#NAME?</v>
      </c>
      <c r="AH7" s="72" t="e">
        <f ca="1" xml:space="preserve"> IF(ISNUMBER(SEARCH("na",_xll.SNL.Clients.Office.Excel.Functions.SPG($L7, $AG$4, AH$2))), 0,_xll.SNL.Clients.Office.Excel.Functions.SPG($L7, $AG$4, AH$2))</f>
        <v>#NAME?</v>
      </c>
      <c r="AI7" s="72" t="e">
        <f ca="1" xml:space="preserve"> IF(ISNUMBER(SEARCH("na",_xll.SNL.Clients.Office.Excel.Functions.SPG($L7, $AG$4, AI$2))), 0,_xll.SNL.Clients.Office.Excel.Functions.SPG($L7, $AG$4, AI$2))</f>
        <v>#NAME?</v>
      </c>
      <c r="AJ7" s="72" t="e">
        <f ca="1" xml:space="preserve"> IF(ISNUMBER(SEARCH("na",_xll.SNL.Clients.Office.Excel.Functions.SPG($L7, $AJ$4, AJ$2))), 0,_xll.SNL.Clients.Office.Excel.Functions.SPG($L7, $AJ$4, AJ$2))</f>
        <v>#NAME?</v>
      </c>
      <c r="AK7" s="72" t="e">
        <f ca="1" xml:space="preserve"> IF(ISNUMBER(SEARCH("na",_xll.SNL.Clients.Office.Excel.Functions.SPG($L7, $AJ$4, AK$2))), 0,_xll.SNL.Clients.Office.Excel.Functions.SPG($L7, $AJ$4, AK$2))</f>
        <v>#NAME?</v>
      </c>
      <c r="AL7" s="72" t="e">
        <f ca="1" xml:space="preserve"> IF(ISNUMBER(SEARCH("na",_xll.SNL.Clients.Office.Excel.Functions.SPG($L7, $AJ$4, AL$2))), 0,_xll.SNL.Clients.Office.Excel.Functions.SPG($L7, $AJ$4, AL$2))</f>
        <v>#NAME?</v>
      </c>
      <c r="AM7" s="72" t="e">
        <f t="shared" ref="AM7:AO13" ca="1" si="5">AD7+AG7*agprice/auprice+AJ7*cuprice/auprice</f>
        <v>#NAME?</v>
      </c>
      <c r="AN7" s="72" t="e">
        <f t="shared" ca="1" si="5"/>
        <v>#NAME?</v>
      </c>
      <c r="AO7" s="72" t="e">
        <f t="shared" ca="1" si="5"/>
        <v>#NAME?</v>
      </c>
      <c r="AP7" s="83" t="str">
        <f t="shared" ref="AP7:AR12" ca="1" si="6">IFERROR($H7/AM7*1000,"NA")</f>
        <v>NA</v>
      </c>
      <c r="AQ7" s="84" t="str">
        <f t="shared" ca="1" si="6"/>
        <v>NA</v>
      </c>
      <c r="AR7" s="85" t="str">
        <f t="shared" ca="1" si="6"/>
        <v>NA</v>
      </c>
      <c r="AS7" s="72">
        <f ca="1">IFERROR(_xll.SNL.Clients.Office.Excel.Functions.SPG($L7, $AS$3, AS$2,$AS$4)/1000,0)</f>
        <v>0</v>
      </c>
      <c r="AT7" s="72">
        <f ca="1">IFERROR(_xll.SNL.Clients.Office.Excel.Functions.SPG($L7, $AS$3, AT$2,$AS$4)/1000,0)</f>
        <v>0</v>
      </c>
      <c r="AU7" s="72">
        <f ca="1">IFERROR(_xll.SNL.Clients.Office.Excel.Functions.SPG($L7, $AV$3, AU$2,$AS$4)/1000,0)</f>
        <v>0</v>
      </c>
      <c r="AV7" s="72">
        <f ca="1">IFERROR(_xll.SNL.Clients.Office.Excel.Functions.SPG($L7, $AV$3, AV$2,$AS$4)/1000,0)</f>
        <v>0</v>
      </c>
      <c r="AW7" s="72">
        <f ca="1">IFERROR(_xll.SNL.Clients.Office.Excel.Functions.SPG($L7, $AV$3, AW$2,$AS$4)/1000,0)</f>
        <v>0</v>
      </c>
      <c r="AX7" s="72">
        <f ca="1">IFERROR(_xll.SNL.Clients.Office.Excel.Functions.SPG($L7, $AX$3, AX$2,$AS$4)/1000,0)</f>
        <v>0</v>
      </c>
      <c r="AY7" s="72">
        <f ca="1">IFERROR(_xll.SNL.Clients.Office.Excel.Functions.SPG($L7, $AX$3, AY$2,$AS$4)/1000,0)</f>
        <v>0</v>
      </c>
      <c r="AZ7" s="72">
        <f ca="1">IFERROR(_xll.SNL.Clients.Office.Excel.Functions.SPG($L7, $BA$3, AZ$2,$AS$4)/1000,0)</f>
        <v>0</v>
      </c>
      <c r="BA7" s="72">
        <f ca="1">IFERROR(_xll.SNL.Clients.Office.Excel.Functions.SPG($L7, $BA$3, BA$2,$AS$4)/1000,0)</f>
        <v>0</v>
      </c>
      <c r="BB7" s="72">
        <f ca="1">IFERROR(_xll.SNL.Clients.Office.Excel.Functions.SPG($L7, $BA$3, BB$2,$AS$4)/1000,0)</f>
        <v>0</v>
      </c>
      <c r="BC7" s="72">
        <f ca="1">IFERROR(_xll.SNL.Clients.Office.Excel.Functions.SPG($L7, $BC$3, BC$2,$AS$4)/1000,0)</f>
        <v>0</v>
      </c>
      <c r="BD7" s="72">
        <f ca="1">IFERROR(_xll.SNL.Clients.Office.Excel.Functions.SPG($L7, $BC$3, BD$2,$AS$4)/1000,0)</f>
        <v>0</v>
      </c>
      <c r="BE7" s="72">
        <f ca="1">IFERROR(_xll.SNL.Clients.Office.Excel.Functions.SPG($L7, $BF$3, BE$2,$AS$4)/1000,0)</f>
        <v>0</v>
      </c>
      <c r="BF7" s="72">
        <f ca="1">IFERROR(_xll.SNL.Clients.Office.Excel.Functions.SPG($L7, $BF$3, BF$2,$AS$4)/1000,0)</f>
        <v>0</v>
      </c>
      <c r="BG7" s="72">
        <f ca="1">IFERROR(_xll.SNL.Clients.Office.Excel.Functions.SPG($L7, $BF$3, BG$2,$AS$4)/1000,0)</f>
        <v>0</v>
      </c>
      <c r="BH7" s="72">
        <f t="shared" ref="BH7:BH13" ca="1" si="7">AS7+AT7*agprice/auprice+AU7*cuprice/auprice+AV7*znprice/auprice+AW7*pbprice/auprice</f>
        <v>0</v>
      </c>
      <c r="BI7" s="72">
        <f t="shared" ref="BI7:BI13" ca="1" si="8">AX7+AY7*agprice/auprice+AZ7*cuprice/auprice+BA7*znprice/auprice+BB7*pbprice/auprice+BH7</f>
        <v>0</v>
      </c>
      <c r="BJ7" s="72">
        <f t="shared" ref="BJ7:BJ13" ca="1" si="9">BC7+BD7*agprice/auprice+BE7*cuprice/auprice+BF7*znprice/auprice+BG7*pbprice/auprice+BH7</f>
        <v>0</v>
      </c>
      <c r="BK7" s="77" t="str">
        <f t="shared" ca="1" si="4"/>
        <v>NA</v>
      </c>
      <c r="BL7" s="72" t="str">
        <f t="shared" ca="1" si="4"/>
        <v>NA</v>
      </c>
      <c r="BM7" s="78" t="str">
        <f t="shared" ca="1" si="4"/>
        <v>NA</v>
      </c>
      <c r="BN7" s="72" t="e">
        <f ca="1">_xll.SNL.Clients.Office.Excel.Functions.SPG($L7, $BN$3, BN$2, "Au", "Options:Curr=USD")</f>
        <v>#NAME?</v>
      </c>
      <c r="BO7" s="72" t="e">
        <f ca="1">_xll.SNL.Clients.Office.Excel.Functions.SPG($L7, $BN$3, BO$2, "Au", "Options:Curr=USD")</f>
        <v>#NAME?</v>
      </c>
      <c r="BP7" s="72" t="e">
        <f ca="1">_xll.SNL.Clients.Office.Excel.Functions.SPG($L7, $BN$3, BP$2, "Au", "Options:Curr=USD")</f>
        <v>#NAME?</v>
      </c>
      <c r="BQ7" s="78" t="e">
        <f ca="1">_xll.SNL.Clients.Office.Excel.Functions.SPG($L7, $BN$3, BQ$2, "Au", "Options:Curr=USD")</f>
        <v>#NAME?</v>
      </c>
      <c r="BR7" s="72" t="str">
        <f ca="1">IFERROR(AVERAGE(_xll.SNL.Clients.Office.Excel.Functions.SPG($L7,$BR$4,"Au",BR$2, "Options:Curr=USD"),_xll.SNL.Clients.Office.Excel.Functions.SPG($L7,$BR$3,"Au",BR$2, "Options:Curr=USD")),"NA")</f>
        <v>NA</v>
      </c>
      <c r="BS7" s="72" t="str">
        <f ca="1">IFERROR(AVERAGE(_xll.SNL.Clients.Office.Excel.Functions.SPG($L7,$BR$4,"Au",BS$2, "Options:Curr=USD"),_xll.SNL.Clients.Office.Excel.Functions.SPG($L7,$BR$3,"Au",BS$2, "Options:Curr=USD")),"NA")</f>
        <v>NA</v>
      </c>
      <c r="BT7" s="78" t="str">
        <f ca="1">IFERROR(AVERAGE(_xll.SNL.Clients.Office.Excel.Functions.SPG($L7,$BR$4,"Au",BT$2, "Options:Curr=USD"),_xll.SNL.Clients.Office.Excel.Functions.SPG($L7,$BR$3,"Au",BT$2, "Options:Curr=USD")),"NA")</f>
        <v>NA</v>
      </c>
      <c r="BV7" s="36" t="s">
        <v>88</v>
      </c>
      <c r="BW7" s="36"/>
      <c r="BX7" s="36" t="s">
        <v>89</v>
      </c>
      <c r="BY7" s="36"/>
    </row>
    <row r="8" spans="1:77" ht="13.8" x14ac:dyDescent="0.25">
      <c r="A8" s="56" t="e">
        <f ca="1">_xll.SNL.Clients.Office.Excel.Functions.SPG($L8, A$3)</f>
        <v>#NAME?</v>
      </c>
      <c r="B8" s="56" t="e">
        <f ca="1">_xll.BDP($K8,B$3)</f>
        <v>#NAME?</v>
      </c>
      <c r="C8" s="56" t="e">
        <f ca="1">_xll.BDP($K8,C$3)</f>
        <v>#NAME?</v>
      </c>
      <c r="D8" s="56" t="e">
        <f ca="1">_xll.BDP($K8,D$3)</f>
        <v>#NAME?</v>
      </c>
      <c r="E8" s="57" t="s">
        <v>94</v>
      </c>
      <c r="F8" s="57" t="s">
        <v>83</v>
      </c>
      <c r="G8" s="57" t="s">
        <v>84</v>
      </c>
      <c r="H8" s="58" t="e">
        <f ca="1">_xll.SNL.Clients.Office.Excel.Functions.SPG($L8, "IQ_TEV", "Options: Curr=USD")</f>
        <v>#NAME?</v>
      </c>
      <c r="I8" s="58" t="e">
        <f ca="1">_xll.SNL.Clients.Office.Excel.Functions.SPG($L8, "SP_MARKETCAP", "Options: Curr=USD")</f>
        <v>#NAME?</v>
      </c>
      <c r="J8" s="59" t="s">
        <v>95</v>
      </c>
      <c r="K8" s="3" t="s">
        <v>96</v>
      </c>
      <c r="L8" s="3" t="s">
        <v>97</v>
      </c>
      <c r="M8" s="60" t="e" cm="1">
        <f t="array" aca="1" ref="M8" ca="1">_xll.SNL.Clients.Office.Excel.Functions.SPG($L8, $M$3)/100</f>
        <v>#NAME?</v>
      </c>
      <c r="N8" s="61" t="e" cm="1">
        <f t="array" aca="1" ref="N8" ca="1">_xll.SNL.Clients.Office.Excel.Functions.SPG($L8, "SP_PCFPS_FWD",N$2)</f>
        <v>#NAME?</v>
      </c>
      <c r="O8" s="62" t="e" cm="1">
        <f t="array" aca="1" ref="O8" ca="1">_xll.SNL.Clients.Office.Excel.Functions.SPG($L8, "SP_PCFPS_FWD",O$2)</f>
        <v>#NAME?</v>
      </c>
      <c r="P8" s="63" t="e" cm="1">
        <f t="array" aca="1" ref="P8" ca="1">_xll.SNL.Clients.Office.Excel.Functions.SPG($L8, "SP_PCFPS_FWD",P$2)</f>
        <v>#NAME?</v>
      </c>
      <c r="Q8" s="64" t="e">
        <f ca="1">_xll.SNL.Clients.Office.Excel.Functions.SPG($L8, "SP_FCF_EST",Q$2, "Options: Curr=USD")/1000/$I8</f>
        <v>#NAME?</v>
      </c>
      <c r="R8" s="64" t="e">
        <f ca="1">_xll.SNL.Clients.Office.Excel.Functions.SPG($L8, "SP_FCF_EST",R$2, "Options: Curr=USD")/1000/$I8</f>
        <v>#NAME?</v>
      </c>
      <c r="S8" s="64" t="e">
        <f ca="1">_xll.SNL.Clients.Office.Excel.Functions.SPG($L8, "SP_FCF_EST",S$2, "Options: Curr=USD")/1000/$I8</f>
        <v>#NAME?</v>
      </c>
      <c r="T8" s="61" t="e" cm="1">
        <f t="array" aca="1" ref="T8" ca="1">_xll.SNL.Clients.Office.Excel.Functions.SPG($L8, "SP_PE_FWD",T$2)</f>
        <v>#NAME?</v>
      </c>
      <c r="U8" s="63" t="e" cm="1">
        <f t="array" aca="1" ref="U8" ca="1">_xll.SNL.Clients.Office.Excel.Functions.SPG($L8, "SP_PE_FWD",U$2)</f>
        <v>#NAME?</v>
      </c>
      <c r="V8" s="80" t="e" cm="1">
        <f t="array" aca="1" ref="V8" ca="1">_xll.SNL.Clients.Office.Excel.Functions.SPG($L8, $V$3,V$2)</f>
        <v>#NAME?</v>
      </c>
      <c r="W8" s="81" t="e" cm="1">
        <f t="array" aca="1" ref="W8" ca="1">_xll.SNL.Clients.Office.Excel.Functions.SPG($L8, $V$3,W$2)</f>
        <v>#NAME?</v>
      </c>
      <c r="X8" s="82" t="e" cm="1">
        <f t="array" aca="1" ref="X8" ca="1">_xll.SNL.Clients.Office.Excel.Functions.SPG($L8, $V$3,X$2)</f>
        <v>#NAME?</v>
      </c>
      <c r="Y8" s="69" t="e" cm="1">
        <f t="array" aca="1" ref="Y8" ca="1">IF((_xll.SNL.Clients.Office.Excel.Functions.SPG($L8,Y$3,Y$4,"Options: Curr=USD") / _xll.SNL.Clients.Office.Excel.Functions.SPG($L8,"SP_EBITDA_EST",Y$2,"Options: Curr=USD")) &lt; 0, "NM", (_xll.SNL.Clients.Office.Excel.Functions.SPG($L8,Y$3,Y$4,"Options: Curr=USD") / _xll.SNL.Clients.Office.Excel.Functions.SPG($L8,"SP_EBITDA_EST",Y$2,"Options: Curr=USD")))</f>
        <v>#NAME?</v>
      </c>
      <c r="Z8" s="70" t="e" cm="1">
        <f t="array" aca="1" ref="Z8" ca="1">_xll.SNL.Clients.Office.Excel.Functions.SPG($L8, Z$3,Z$4)</f>
        <v>#NAME?</v>
      </c>
      <c r="AA8" s="77" t="str">
        <f ca="1">IFERROR(0.001*AVERAGE(_xll.SNL.Clients.Office.Excel.Functions.SPG($L8,$AA$4,"Au",AA$2),_xll.SNL.Clients.Office.Excel.Functions.SPG($L8,$AA$3,"Au",AA$2)),"NA")</f>
        <v>NA</v>
      </c>
      <c r="AB8" s="72" t="str">
        <f ca="1">IFERROR(0.001*AVERAGE(_xll.SNL.Clients.Office.Excel.Functions.SPG($L8,$AA$4,"Au",AB$2),_xll.SNL.Clients.Office.Excel.Functions.SPG($L8,$AA$3,"Au",AB$2)),"NA")</f>
        <v>NA</v>
      </c>
      <c r="AC8" s="78" t="str">
        <f ca="1">IFERROR(0.001*AVERAGE(_xll.SNL.Clients.Office.Excel.Functions.SPG($L8,$AA$4,"Au",AC$2),_xll.SNL.Clients.Office.Excel.Functions.SPG($L8,$AA$3,"Au",AC$2)),"NA")</f>
        <v>NA</v>
      </c>
      <c r="AD8" s="72" t="e">
        <f ca="1" xml:space="preserve"> IF(ISNUMBER(SEARCH("na",_xll.SNL.Clients.Office.Excel.Functions.SPG($L8, $AD$4, AD$2))), 0,_xll.SNL.Clients.Office.Excel.Functions.SPG($L8, $AD$4, AD$2))</f>
        <v>#NAME?</v>
      </c>
      <c r="AE8" s="72" t="e">
        <f ca="1" xml:space="preserve"> IF(ISNUMBER(SEARCH("na",_xll.SNL.Clients.Office.Excel.Functions.SPG($L8, $AD$4, AE$2))), 0,_xll.SNL.Clients.Office.Excel.Functions.SPG($L8, $AD$4, AE$2))</f>
        <v>#NAME?</v>
      </c>
      <c r="AF8" s="72" t="e">
        <f ca="1" xml:space="preserve"> IF(ISNUMBER(SEARCH("na",_xll.SNL.Clients.Office.Excel.Functions.SPG($L8, $AD$4, AF$2))), 0,_xll.SNL.Clients.Office.Excel.Functions.SPG($L8, $AD$4, AF$2))</f>
        <v>#NAME?</v>
      </c>
      <c r="AG8" s="72" t="e">
        <f ca="1" xml:space="preserve"> IF(ISNUMBER(SEARCH("na",_xll.SNL.Clients.Office.Excel.Functions.SPG($L8, $AG$4, AG$2))), 0,_xll.SNL.Clients.Office.Excel.Functions.SPG($L8, $AG$4, AG$2))</f>
        <v>#NAME?</v>
      </c>
      <c r="AH8" s="72" t="e">
        <f ca="1" xml:space="preserve"> IF(ISNUMBER(SEARCH("na",_xll.SNL.Clients.Office.Excel.Functions.SPG($L8, $AG$4, AH$2))), 0,_xll.SNL.Clients.Office.Excel.Functions.SPG($L8, $AG$4, AH$2))</f>
        <v>#NAME?</v>
      </c>
      <c r="AI8" s="72" t="e">
        <f ca="1" xml:space="preserve"> IF(ISNUMBER(SEARCH("na",_xll.SNL.Clients.Office.Excel.Functions.SPG($L8, $AG$4, AI$2))), 0,_xll.SNL.Clients.Office.Excel.Functions.SPG($L8, $AG$4, AI$2))</f>
        <v>#NAME?</v>
      </c>
      <c r="AJ8" s="72" t="e">
        <f ca="1" xml:space="preserve"> IF(ISNUMBER(SEARCH("na",_xll.SNL.Clients.Office.Excel.Functions.SPG($L8, $AJ$4, AJ$2))), 0,_xll.SNL.Clients.Office.Excel.Functions.SPG($L8, $AJ$4, AJ$2))</f>
        <v>#NAME?</v>
      </c>
      <c r="AK8" s="72" t="e">
        <f ca="1" xml:space="preserve"> IF(ISNUMBER(SEARCH("na",_xll.SNL.Clients.Office.Excel.Functions.SPG($L8, $AJ$4, AK$2))), 0,_xll.SNL.Clients.Office.Excel.Functions.SPG($L8, $AJ$4, AK$2))</f>
        <v>#NAME?</v>
      </c>
      <c r="AL8" s="72" t="e">
        <f ca="1" xml:space="preserve"> IF(ISNUMBER(SEARCH("na",_xll.SNL.Clients.Office.Excel.Functions.SPG($L8, $AJ$4, AL$2))), 0,_xll.SNL.Clients.Office.Excel.Functions.SPG($L8, $AJ$4, AL$2))</f>
        <v>#NAME?</v>
      </c>
      <c r="AM8" s="72" t="e">
        <f t="shared" ref="AM8:AO14" ca="1" si="10">AD8+AG8*agprice/auprice+AJ8*cuprice/auprice</f>
        <v>#NAME?</v>
      </c>
      <c r="AN8" s="72" t="e">
        <f t="shared" ca="1" si="10"/>
        <v>#NAME?</v>
      </c>
      <c r="AO8" s="72" t="e">
        <f t="shared" ca="1" si="10"/>
        <v>#NAME?</v>
      </c>
      <c r="AP8" s="83" t="str">
        <f t="shared" ca="1" si="6"/>
        <v>NA</v>
      </c>
      <c r="AQ8" s="84" t="str">
        <f t="shared" ca="1" si="6"/>
        <v>NA</v>
      </c>
      <c r="AR8" s="85" t="str">
        <f t="shared" ca="1" si="6"/>
        <v>NA</v>
      </c>
      <c r="AS8" s="72">
        <f ca="1">IFERROR(_xll.SNL.Clients.Office.Excel.Functions.SPG($L8, $AS$3, AS$2,$AS$4)/1000,0)</f>
        <v>0</v>
      </c>
      <c r="AT8" s="72">
        <f ca="1">IFERROR(_xll.SNL.Clients.Office.Excel.Functions.SPG($L8, $AS$3, AT$2,$AS$4)/1000,0)</f>
        <v>0</v>
      </c>
      <c r="AU8" s="72">
        <f ca="1">IFERROR(_xll.SNL.Clients.Office.Excel.Functions.SPG($L8, $AV$3, AU$2,$AS$4)/1000,0)</f>
        <v>0</v>
      </c>
      <c r="AV8" s="72">
        <f ca="1">IFERROR(_xll.SNL.Clients.Office.Excel.Functions.SPG($L8, $AV$3, AV$2,$AS$4)/1000,0)</f>
        <v>0</v>
      </c>
      <c r="AW8" s="72">
        <f ca="1">IFERROR(_xll.SNL.Clients.Office.Excel.Functions.SPG($L8, $AV$3, AW$2,$AS$4)/1000,0)</f>
        <v>0</v>
      </c>
      <c r="AX8" s="72">
        <f ca="1">IFERROR(_xll.SNL.Clients.Office.Excel.Functions.SPG($L8, $AX$3, AX$2,$AS$4)/1000,0)</f>
        <v>0</v>
      </c>
      <c r="AY8" s="72">
        <f ca="1">IFERROR(_xll.SNL.Clients.Office.Excel.Functions.SPG($L8, $AX$3, AY$2,$AS$4)/1000,0)</f>
        <v>0</v>
      </c>
      <c r="AZ8" s="72">
        <f ca="1">IFERROR(_xll.SNL.Clients.Office.Excel.Functions.SPG($L8, $BA$3, AZ$2,$AS$4)/1000,0)</f>
        <v>0</v>
      </c>
      <c r="BA8" s="72">
        <f ca="1">IFERROR(_xll.SNL.Clients.Office.Excel.Functions.SPG($L8, $BA$3, BA$2,$AS$4)/1000,0)</f>
        <v>0</v>
      </c>
      <c r="BB8" s="72">
        <f ca="1">IFERROR(_xll.SNL.Clients.Office.Excel.Functions.SPG($L8, $BA$3, BB$2,$AS$4)/1000,0)</f>
        <v>0</v>
      </c>
      <c r="BC8" s="72">
        <f ca="1">IFERROR(_xll.SNL.Clients.Office.Excel.Functions.SPG($L8, $BC$3, BC$2,$AS$4)/1000,0)</f>
        <v>0</v>
      </c>
      <c r="BD8" s="72">
        <f ca="1">IFERROR(_xll.SNL.Clients.Office.Excel.Functions.SPG($L8, $BC$3, BD$2,$AS$4)/1000,0)</f>
        <v>0</v>
      </c>
      <c r="BE8" s="72">
        <f ca="1">IFERROR(_xll.SNL.Clients.Office.Excel.Functions.SPG($L8, $BF$3, BE$2,$AS$4)/1000,0)</f>
        <v>0</v>
      </c>
      <c r="BF8" s="72">
        <f ca="1">IFERROR(_xll.SNL.Clients.Office.Excel.Functions.SPG($L8, $BF$3, BF$2,$AS$4)/1000,0)</f>
        <v>0</v>
      </c>
      <c r="BG8" s="72">
        <f ca="1">IFERROR(_xll.SNL.Clients.Office.Excel.Functions.SPG($L8, $BF$3, BG$2,$AS$4)/1000,0)</f>
        <v>0</v>
      </c>
      <c r="BH8" s="72">
        <f t="shared" ref="BH8:BH14" ca="1" si="11">AS8+AT8*agprice/auprice+AU8*cuprice/auprice+AV8*znprice/auprice+AW8*pbprice/auprice</f>
        <v>0</v>
      </c>
      <c r="BI8" s="72">
        <f t="shared" ref="BI8:BI14" ca="1" si="12">AX8+AY8*agprice/auprice+AZ8*cuprice/auprice+BA8*znprice/auprice+BB8*pbprice/auprice+BH8</f>
        <v>0</v>
      </c>
      <c r="BJ8" s="72">
        <f t="shared" ref="BJ8:BJ14" ca="1" si="13">BC8+BD8*agprice/auprice+BE8*cuprice/auprice+BF8*znprice/auprice+BG8*pbprice/auprice+BH8</f>
        <v>0</v>
      </c>
      <c r="BK8" s="77" t="str">
        <f t="shared" ca="1" si="4"/>
        <v>NA</v>
      </c>
      <c r="BL8" s="72" t="str">
        <f t="shared" ca="1" si="4"/>
        <v>NA</v>
      </c>
      <c r="BM8" s="78" t="str">
        <f t="shared" ca="1" si="4"/>
        <v>NA</v>
      </c>
      <c r="BN8" s="72" t="e">
        <f ca="1">_xll.SNL.Clients.Office.Excel.Functions.SPG($L8, $BN$3, BN$2, "Au", "Options:Curr=USD")</f>
        <v>#NAME?</v>
      </c>
      <c r="BO8" s="72" t="e">
        <f ca="1">_xll.SNL.Clients.Office.Excel.Functions.SPG($L8, $BN$3, BO$2, "Au", "Options:Curr=USD")</f>
        <v>#NAME?</v>
      </c>
      <c r="BP8" s="72" t="e">
        <f ca="1">_xll.SNL.Clients.Office.Excel.Functions.SPG($L8, $BN$3, BP$2, "Au", "Options:Curr=USD")</f>
        <v>#NAME?</v>
      </c>
      <c r="BQ8" s="78" t="e">
        <f ca="1">_xll.SNL.Clients.Office.Excel.Functions.SPG($L8, $BN$3, BQ$2, "Au", "Options:Curr=USD")</f>
        <v>#NAME?</v>
      </c>
      <c r="BR8" s="72" t="str">
        <f ca="1">IFERROR(AVERAGE(_xll.SNL.Clients.Office.Excel.Functions.SPG($L8,$BR$4,"Au",BR$2, "Options:Curr=USD"),_xll.SNL.Clients.Office.Excel.Functions.SPG($L8,$BR$3,"Au",BR$2, "Options:Curr=USD")),"NA")</f>
        <v>NA</v>
      </c>
      <c r="BS8" s="72" t="str">
        <f ca="1">IFERROR(AVERAGE(_xll.SNL.Clients.Office.Excel.Functions.SPG($L8,$BR$4,"Au",BS$2, "Options:Curr=USD"),_xll.SNL.Clients.Office.Excel.Functions.SPG($L8,$BR$3,"Au",BS$2, "Options:Curr=USD")),"NA")</f>
        <v>NA</v>
      </c>
      <c r="BT8" s="78" t="str">
        <f ca="1">IFERROR(AVERAGE(_xll.SNL.Clients.Office.Excel.Functions.SPG($L8,$BR$4,"Au",BT$2, "Options:Curr=USD"),_xll.SNL.Clients.Office.Excel.Functions.SPG($L8,$BR$3,"Au",BT$2, "Options:Curr=USD")),"NA")</f>
        <v>NA</v>
      </c>
      <c r="BV8" s="36" t="s">
        <v>88</v>
      </c>
      <c r="BW8" s="36"/>
      <c r="BX8" s="36" t="s">
        <v>89</v>
      </c>
      <c r="BY8" s="36"/>
    </row>
    <row r="9" spans="1:77" ht="13.8" x14ac:dyDescent="0.25">
      <c r="A9" s="56" t="e">
        <f ca="1">_xll.SNL.Clients.Office.Excel.Functions.SPG($L9, A$3)</f>
        <v>#NAME?</v>
      </c>
      <c r="B9" s="56" t="e">
        <f ca="1">_xll.BDP($K9,B$3)</f>
        <v>#NAME?</v>
      </c>
      <c r="C9" s="56" t="e">
        <f ca="1">_xll.BDP($K9,C$3)</f>
        <v>#NAME?</v>
      </c>
      <c r="D9" s="56" t="e">
        <f ca="1">_xll.BDP($K9,D$3)</f>
        <v>#NAME?</v>
      </c>
      <c r="E9" s="57" t="s">
        <v>98</v>
      </c>
      <c r="F9" s="57" t="s">
        <v>83</v>
      </c>
      <c r="G9" s="57" t="s">
        <v>99</v>
      </c>
      <c r="H9" s="58" t="e">
        <f ca="1">_xll.SNL.Clients.Office.Excel.Functions.SPG($L9, "IQ_TEV", "Options: Curr=USD")</f>
        <v>#NAME?</v>
      </c>
      <c r="I9" s="58" t="e">
        <f ca="1">_xll.SNL.Clients.Office.Excel.Functions.SPG($L9, "SP_MARKETCAP", "Options: Curr=USD")</f>
        <v>#NAME?</v>
      </c>
      <c r="J9" s="59" t="s">
        <v>100</v>
      </c>
      <c r="K9" s="3" t="s">
        <v>101</v>
      </c>
      <c r="L9" s="18" t="s">
        <v>102</v>
      </c>
      <c r="M9" s="60" t="e" cm="1">
        <f t="array" aca="1" ref="M9" ca="1">_xll.SNL.Clients.Office.Excel.Functions.SPG($L9, $M$3)/100</f>
        <v>#NAME?</v>
      </c>
      <c r="N9" s="61" t="e" cm="1">
        <f t="array" aca="1" ref="N9" ca="1">_xll.SNL.Clients.Office.Excel.Functions.SPG($L9, "SP_PCFPS_FWD",N$2)</f>
        <v>#NAME?</v>
      </c>
      <c r="O9" s="62" t="e" cm="1">
        <f t="array" aca="1" ref="O9" ca="1">_xll.SNL.Clients.Office.Excel.Functions.SPG($L9, "SP_PCFPS_FWD",O$2)</f>
        <v>#NAME?</v>
      </c>
      <c r="P9" s="63" t="e" cm="1">
        <f t="array" aca="1" ref="P9" ca="1">_xll.SNL.Clients.Office.Excel.Functions.SPG($L9, "SP_PCFPS_FWD",P$2)</f>
        <v>#NAME?</v>
      </c>
      <c r="Q9" s="64" t="e">
        <f ca="1">_xll.SNL.Clients.Office.Excel.Functions.SPG($L9, "SP_FCF_EST",Q$2, "Options: Curr=USD")/1000/$I9</f>
        <v>#NAME?</v>
      </c>
      <c r="R9" s="64" t="e">
        <f ca="1">_xll.SNL.Clients.Office.Excel.Functions.SPG($L9, "SP_FCF_EST",R$2, "Options: Curr=USD")/1000/$I9</f>
        <v>#NAME?</v>
      </c>
      <c r="S9" s="64" t="e">
        <f ca="1">_xll.SNL.Clients.Office.Excel.Functions.SPG($L9, "SP_FCF_EST",S$2, "Options: Curr=USD")/1000/$I9</f>
        <v>#NAME?</v>
      </c>
      <c r="T9" s="61" t="e" cm="1">
        <f t="array" aca="1" ref="T9" ca="1">_xll.SNL.Clients.Office.Excel.Functions.SPG($L9, "SP_PE_FWD",T$2)</f>
        <v>#NAME?</v>
      </c>
      <c r="U9" s="63" t="e" cm="1">
        <f t="array" aca="1" ref="U9" ca="1">_xll.SNL.Clients.Office.Excel.Functions.SPG($L9, "SP_PE_FWD",U$2)</f>
        <v>#NAME?</v>
      </c>
      <c r="V9" s="80" t="e" cm="1">
        <f t="array" aca="1" ref="V9" ca="1">_xll.SNL.Clients.Office.Excel.Functions.SPG($L9, $V$3,V$2)</f>
        <v>#NAME?</v>
      </c>
      <c r="W9" s="81" t="e" cm="1">
        <f t="array" aca="1" ref="W9" ca="1">_xll.SNL.Clients.Office.Excel.Functions.SPG($L9, $V$3,W$2)</f>
        <v>#NAME?</v>
      </c>
      <c r="X9" s="82" t="e" cm="1">
        <f t="array" aca="1" ref="X9" ca="1">_xll.SNL.Clients.Office.Excel.Functions.SPG($L9, $V$3,X$2)</f>
        <v>#NAME?</v>
      </c>
      <c r="Y9" s="69" t="e" cm="1">
        <f t="array" aca="1" ref="Y9" ca="1">IF((_xll.SNL.Clients.Office.Excel.Functions.SPG($L9,Y$3,Y$4,"Options: Curr=USD") / _xll.SNL.Clients.Office.Excel.Functions.SPG($L9,"SP_EBITDA_EST",Y$2,"Options: Curr=USD")) &lt; 0, "NM", (_xll.SNL.Clients.Office.Excel.Functions.SPG($L9,Y$3,Y$4,"Options: Curr=USD") / _xll.SNL.Clients.Office.Excel.Functions.SPG($L9,"SP_EBITDA_EST",Y$2,"Options: Curr=USD")))</f>
        <v>#NAME?</v>
      </c>
      <c r="Z9" s="70" t="e" cm="1">
        <f t="array" aca="1" ref="Z9" ca="1">_xll.SNL.Clients.Office.Excel.Functions.SPG($L9, Z$3,Z$4)</f>
        <v>#NAME?</v>
      </c>
      <c r="AA9" s="77" t="str">
        <f ca="1">IFERROR(0.001*AVERAGE(_xll.SNL.Clients.Office.Excel.Functions.SPG($L9,$AA$4,"Au",AA$2),_xll.SNL.Clients.Office.Excel.Functions.SPG($L9,$AA$3,"Au",AA$2)),"NA")</f>
        <v>NA</v>
      </c>
      <c r="AB9" s="72" t="str">
        <f ca="1">IFERROR(0.001*AVERAGE(_xll.SNL.Clients.Office.Excel.Functions.SPG($L9,$AA$4,"Au",AB$2),_xll.SNL.Clients.Office.Excel.Functions.SPG($L9,$AA$3,"Au",AB$2)),"NA")</f>
        <v>NA</v>
      </c>
      <c r="AC9" s="78" t="str">
        <f ca="1">IFERROR(0.001*AVERAGE(_xll.SNL.Clients.Office.Excel.Functions.SPG($L9,$AA$4,"Au",AC$2),_xll.SNL.Clients.Office.Excel.Functions.SPG($L9,$AA$3,"Au",AC$2)),"NA")</f>
        <v>NA</v>
      </c>
      <c r="AD9" s="72" t="e">
        <f ca="1" xml:space="preserve"> IF(ISNUMBER(SEARCH("na",_xll.SNL.Clients.Office.Excel.Functions.SPG($L9, $AD$4, AD$2))), 0,_xll.SNL.Clients.Office.Excel.Functions.SPG($L9, $AD$4, AD$2))</f>
        <v>#NAME?</v>
      </c>
      <c r="AE9" s="72" t="e">
        <f ca="1" xml:space="preserve"> IF(ISNUMBER(SEARCH("na",_xll.SNL.Clients.Office.Excel.Functions.SPG($L9, $AD$4, AE$2))), 0,_xll.SNL.Clients.Office.Excel.Functions.SPG($L9, $AD$4, AE$2))</f>
        <v>#NAME?</v>
      </c>
      <c r="AF9" s="72" t="e">
        <f ca="1" xml:space="preserve"> IF(ISNUMBER(SEARCH("na",_xll.SNL.Clients.Office.Excel.Functions.SPG($L9, $AD$4, AF$2))), 0,_xll.SNL.Clients.Office.Excel.Functions.SPG($L9, $AD$4, AF$2))</f>
        <v>#NAME?</v>
      </c>
      <c r="AG9" s="72" t="e">
        <f ca="1" xml:space="preserve"> IF(ISNUMBER(SEARCH("na",_xll.SNL.Clients.Office.Excel.Functions.SPG($L9, $AG$4, AG$2))), 0,_xll.SNL.Clients.Office.Excel.Functions.SPG($L9, $AG$4, AG$2))</f>
        <v>#NAME?</v>
      </c>
      <c r="AH9" s="72" t="e">
        <f ca="1" xml:space="preserve"> IF(ISNUMBER(SEARCH("na",_xll.SNL.Clients.Office.Excel.Functions.SPG($L9, $AG$4, AH$2))), 0,_xll.SNL.Clients.Office.Excel.Functions.SPG($L9, $AG$4, AH$2))</f>
        <v>#NAME?</v>
      </c>
      <c r="AI9" s="72" t="e">
        <f ca="1" xml:space="preserve"> IF(ISNUMBER(SEARCH("na",_xll.SNL.Clients.Office.Excel.Functions.SPG($L9, $AG$4, AI$2))), 0,_xll.SNL.Clients.Office.Excel.Functions.SPG($L9, $AG$4, AI$2))</f>
        <v>#NAME?</v>
      </c>
      <c r="AJ9" s="72" t="e">
        <f ca="1" xml:space="preserve"> IF(ISNUMBER(SEARCH("na",_xll.SNL.Clients.Office.Excel.Functions.SPG($L9, $AJ$4, AJ$2))), 0,_xll.SNL.Clients.Office.Excel.Functions.SPG($L9, $AJ$4, AJ$2))</f>
        <v>#NAME?</v>
      </c>
      <c r="AK9" s="72" t="e">
        <f ca="1" xml:space="preserve"> IF(ISNUMBER(SEARCH("na",_xll.SNL.Clients.Office.Excel.Functions.SPG($L9, $AJ$4, AK$2))), 0,_xll.SNL.Clients.Office.Excel.Functions.SPG($L9, $AJ$4, AK$2))</f>
        <v>#NAME?</v>
      </c>
      <c r="AL9" s="72" t="e">
        <f ca="1" xml:space="preserve"> IF(ISNUMBER(SEARCH("na",_xll.SNL.Clients.Office.Excel.Functions.SPG($L9, $AJ$4, AL$2))), 0,_xll.SNL.Clients.Office.Excel.Functions.SPG($L9, $AJ$4, AL$2))</f>
        <v>#NAME?</v>
      </c>
      <c r="AM9" s="72" t="e">
        <f t="shared" ref="AM9:AO15" ca="1" si="14">AD9+AG9*agprice/auprice+AJ9*cuprice/auprice</f>
        <v>#NAME?</v>
      </c>
      <c r="AN9" s="72" t="e">
        <f t="shared" ca="1" si="14"/>
        <v>#NAME?</v>
      </c>
      <c r="AO9" s="72" t="e">
        <f t="shared" ca="1" si="14"/>
        <v>#NAME?</v>
      </c>
      <c r="AP9" s="83" t="str">
        <f t="shared" ca="1" si="6"/>
        <v>NA</v>
      </c>
      <c r="AQ9" s="84" t="str">
        <f t="shared" ca="1" si="6"/>
        <v>NA</v>
      </c>
      <c r="AR9" s="85" t="str">
        <f t="shared" ca="1" si="6"/>
        <v>NA</v>
      </c>
      <c r="AS9" s="72">
        <f ca="1">IFERROR(_xll.SNL.Clients.Office.Excel.Functions.SPG($L9, $AS$3, AS$2,$AS$4)/1000,0)</f>
        <v>0</v>
      </c>
      <c r="AT9" s="72">
        <f ca="1">IFERROR(_xll.SNL.Clients.Office.Excel.Functions.SPG($L9, $AS$3, AT$2,$AS$4)/1000,0)</f>
        <v>0</v>
      </c>
      <c r="AU9" s="72">
        <f ca="1">IFERROR(_xll.SNL.Clients.Office.Excel.Functions.SPG($L9, $AV$3, AU$2,$AS$4)/1000,0)</f>
        <v>0</v>
      </c>
      <c r="AV9" s="72">
        <f ca="1">IFERROR(_xll.SNL.Clients.Office.Excel.Functions.SPG($L9, $AV$3, AV$2,$AS$4)/1000,0)</f>
        <v>0</v>
      </c>
      <c r="AW9" s="72">
        <f ca="1">IFERROR(_xll.SNL.Clients.Office.Excel.Functions.SPG($L9, $AV$3, AW$2,$AS$4)/1000,0)</f>
        <v>0</v>
      </c>
      <c r="AX9" s="72">
        <f ca="1">IFERROR(_xll.SNL.Clients.Office.Excel.Functions.SPG($L9, $AX$3, AX$2,$AS$4)/1000,0)</f>
        <v>0</v>
      </c>
      <c r="AY9" s="72">
        <f ca="1">IFERROR(_xll.SNL.Clients.Office.Excel.Functions.SPG($L9, $AX$3, AY$2,$AS$4)/1000,0)</f>
        <v>0</v>
      </c>
      <c r="AZ9" s="72">
        <f ca="1">IFERROR(_xll.SNL.Clients.Office.Excel.Functions.SPG($L9, $BA$3, AZ$2,$AS$4)/1000,0)</f>
        <v>0</v>
      </c>
      <c r="BA9" s="72">
        <f ca="1">IFERROR(_xll.SNL.Clients.Office.Excel.Functions.SPG($L9, $BA$3, BA$2,$AS$4)/1000,0)</f>
        <v>0</v>
      </c>
      <c r="BB9" s="72">
        <f ca="1">IFERROR(_xll.SNL.Clients.Office.Excel.Functions.SPG($L9, $BA$3, BB$2,$AS$4)/1000,0)</f>
        <v>0</v>
      </c>
      <c r="BC9" s="72">
        <f ca="1">IFERROR(_xll.SNL.Clients.Office.Excel.Functions.SPG($L9, $BC$3, BC$2,$AS$4)/1000,0)</f>
        <v>0</v>
      </c>
      <c r="BD9" s="72">
        <f ca="1">IFERROR(_xll.SNL.Clients.Office.Excel.Functions.SPG($L9, $BC$3, BD$2,$AS$4)/1000,0)</f>
        <v>0</v>
      </c>
      <c r="BE9" s="72">
        <f ca="1">IFERROR(_xll.SNL.Clients.Office.Excel.Functions.SPG($L9, $BF$3, BE$2,$AS$4)/1000,0)</f>
        <v>0</v>
      </c>
      <c r="BF9" s="72">
        <f ca="1">IFERROR(_xll.SNL.Clients.Office.Excel.Functions.SPG($L9, $BF$3, BF$2,$AS$4)/1000,0)</f>
        <v>0</v>
      </c>
      <c r="BG9" s="72">
        <f ca="1">IFERROR(_xll.SNL.Clients.Office.Excel.Functions.SPG($L9, $BF$3, BG$2,$AS$4)/1000,0)</f>
        <v>0</v>
      </c>
      <c r="BH9" s="72">
        <f t="shared" ref="BH9:BH15" ca="1" si="15">AS9+AT9*agprice/auprice+AU9*cuprice/auprice+AV9*znprice/auprice+AW9*pbprice/auprice</f>
        <v>0</v>
      </c>
      <c r="BI9" s="72">
        <f t="shared" ref="BI9:BI15" ca="1" si="16">AX9+AY9*agprice/auprice+AZ9*cuprice/auprice+BA9*znprice/auprice+BB9*pbprice/auprice+BH9</f>
        <v>0</v>
      </c>
      <c r="BJ9" s="72">
        <f t="shared" ref="BJ9:BJ15" ca="1" si="17">BC9+BD9*agprice/auprice+BE9*cuprice/auprice+BF9*znprice/auprice+BG9*pbprice/auprice+BH9</f>
        <v>0</v>
      </c>
      <c r="BK9" s="77" t="str">
        <f t="shared" ca="1" si="4"/>
        <v>NA</v>
      </c>
      <c r="BL9" s="72" t="str">
        <f t="shared" ca="1" si="4"/>
        <v>NA</v>
      </c>
      <c r="BM9" s="78" t="str">
        <f t="shared" ca="1" si="4"/>
        <v>NA</v>
      </c>
      <c r="BN9" s="72" t="e">
        <f ca="1">_xll.SNL.Clients.Office.Excel.Functions.SPG($L9, $BN$3, BN$2, "Au", "Options:Curr=USD")</f>
        <v>#NAME?</v>
      </c>
      <c r="BO9" s="72" t="e">
        <f ca="1">_xll.SNL.Clients.Office.Excel.Functions.SPG($L9, $BN$3, BO$2, "Au", "Options:Curr=USD")</f>
        <v>#NAME?</v>
      </c>
      <c r="BP9" s="72" t="e">
        <f ca="1">_xll.SNL.Clients.Office.Excel.Functions.SPG($L9, $BN$3, BP$2, "Au", "Options:Curr=USD")</f>
        <v>#NAME?</v>
      </c>
      <c r="BQ9" s="78" t="e">
        <f ca="1">_xll.SNL.Clients.Office.Excel.Functions.SPG($L9, $BN$3, BQ$2, "Au", "Options:Curr=USD")</f>
        <v>#NAME?</v>
      </c>
      <c r="BR9" s="72" t="str">
        <f ca="1">IFERROR(AVERAGE(_xll.SNL.Clients.Office.Excel.Functions.SPG($L9,$BR$4,"Au",BR$2, "Options:Curr=USD"),_xll.SNL.Clients.Office.Excel.Functions.SPG($L9,$BR$3,"Au",BR$2, "Options:Curr=USD")),"NA")</f>
        <v>NA</v>
      </c>
      <c r="BS9" s="72" t="str">
        <f ca="1">IFERROR(AVERAGE(_xll.SNL.Clients.Office.Excel.Functions.SPG($L9,$BR$4,"Au",BS$2, "Options:Curr=USD"),_xll.SNL.Clients.Office.Excel.Functions.SPG($L9,$BR$3,"Au",BS$2, "Options:Curr=USD")),"NA")</f>
        <v>NA</v>
      </c>
      <c r="BT9" s="78" t="str">
        <f ca="1">IFERROR(AVERAGE(_xll.SNL.Clients.Office.Excel.Functions.SPG($L9,$BR$4,"Au",BT$2, "Options:Curr=USD"),_xll.SNL.Clients.Office.Excel.Functions.SPG($L9,$BR$3,"Au",BT$2, "Options:Curr=USD")),"NA")</f>
        <v>NA</v>
      </c>
      <c r="BV9" s="36" t="s">
        <v>88</v>
      </c>
      <c r="BW9" s="36"/>
      <c r="BX9" s="36" t="s">
        <v>89</v>
      </c>
      <c r="BY9" s="36"/>
    </row>
    <row r="10" spans="1:77" ht="13.8" x14ac:dyDescent="0.25">
      <c r="A10" s="56" t="e">
        <f ca="1">_xll.SNL.Clients.Office.Excel.Functions.SPG($L10, A$3)</f>
        <v>#NAME?</v>
      </c>
      <c r="B10" s="56" t="e">
        <f ca="1">_xll.BDP($K10,B$3)</f>
        <v>#NAME?</v>
      </c>
      <c r="C10" s="56" t="e">
        <f ca="1">_xll.BDP($K10,C$3)</f>
        <v>#NAME?</v>
      </c>
      <c r="D10" s="56" t="e">
        <f ca="1">_xll.BDP($K10,D$3)</f>
        <v>#NAME?</v>
      </c>
      <c r="E10" s="57" t="s">
        <v>99</v>
      </c>
      <c r="F10" s="57" t="s">
        <v>83</v>
      </c>
      <c r="G10" s="57" t="s">
        <v>84</v>
      </c>
      <c r="H10" s="58" t="e">
        <f ca="1">_xll.SNL.Clients.Office.Excel.Functions.SPG($L10, "IQ_TEV", "Options: Curr=USD")</f>
        <v>#NAME?</v>
      </c>
      <c r="I10" s="58" t="e">
        <f ca="1">_xll.SNL.Clients.Office.Excel.Functions.SPG($L10, "SP_MARKETCAP", "Options: Curr=USD")</f>
        <v>#NAME?</v>
      </c>
      <c r="J10" s="59" t="s">
        <v>103</v>
      </c>
      <c r="K10" s="3" t="s">
        <v>104</v>
      </c>
      <c r="L10" s="3" t="s">
        <v>105</v>
      </c>
      <c r="M10" s="60" t="e" cm="1">
        <f t="array" aca="1" ref="M10" ca="1">_xll.SNL.Clients.Office.Excel.Functions.SPG($L10, $M$3)/100</f>
        <v>#NAME?</v>
      </c>
      <c r="N10" s="61" t="e" cm="1">
        <f t="array" aca="1" ref="N10" ca="1">_xll.SNL.Clients.Office.Excel.Functions.SPG($L10, "SP_PCFPS_FWD",N$2)</f>
        <v>#NAME?</v>
      </c>
      <c r="O10" s="62" t="e" cm="1">
        <f t="array" aca="1" ref="O10" ca="1">_xll.SNL.Clients.Office.Excel.Functions.SPG($L10, "SP_PCFPS_FWD",O$2)</f>
        <v>#NAME?</v>
      </c>
      <c r="P10" s="63" t="e" cm="1">
        <f t="array" aca="1" ref="P10" ca="1">_xll.SNL.Clients.Office.Excel.Functions.SPG($L10, "SP_PCFPS_FWD",P$2)</f>
        <v>#NAME?</v>
      </c>
      <c r="Q10" s="64" t="e">
        <f ca="1">_xll.SNL.Clients.Office.Excel.Functions.SPG($L10, "SP_FCF_EST",Q$2, "Options: Curr=USD")/1000/$I10</f>
        <v>#NAME?</v>
      </c>
      <c r="R10" s="64" t="e">
        <f ca="1">_xll.SNL.Clients.Office.Excel.Functions.SPG($L10, "SP_FCF_EST",R$2, "Options: Curr=USD")/1000/$I10</f>
        <v>#NAME?</v>
      </c>
      <c r="S10" s="64" t="e">
        <f ca="1">_xll.SNL.Clients.Office.Excel.Functions.SPG($L10, "SP_FCF_EST",S$2, "Options: Curr=USD")/1000/$I10</f>
        <v>#NAME?</v>
      </c>
      <c r="T10" s="61" t="e" cm="1">
        <f t="array" aca="1" ref="T10" ca="1">_xll.SNL.Clients.Office.Excel.Functions.SPG($L10, "SP_PE_FWD",T$2)</f>
        <v>#NAME?</v>
      </c>
      <c r="U10" s="63" t="e" cm="1">
        <f t="array" aca="1" ref="U10" ca="1">_xll.SNL.Clients.Office.Excel.Functions.SPG($L10, "SP_PE_FWD",U$2)</f>
        <v>#NAME?</v>
      </c>
      <c r="V10" s="80" t="e" cm="1">
        <f t="array" aca="1" ref="V10" ca="1">_xll.SNL.Clients.Office.Excel.Functions.SPG($L10, $V$3,V$2)</f>
        <v>#NAME?</v>
      </c>
      <c r="W10" s="81" t="e" cm="1">
        <f t="array" aca="1" ref="W10" ca="1">_xll.SNL.Clients.Office.Excel.Functions.SPG($L10, $V$3,W$2)</f>
        <v>#NAME?</v>
      </c>
      <c r="X10" s="82" t="e" cm="1">
        <f t="array" aca="1" ref="X10" ca="1">_xll.SNL.Clients.Office.Excel.Functions.SPG($L10, $V$3,X$2)</f>
        <v>#NAME?</v>
      </c>
      <c r="Y10" s="69" t="e" cm="1">
        <f t="array" aca="1" ref="Y10" ca="1">IF((_xll.SNL.Clients.Office.Excel.Functions.SPG($L10,Y$3,Y$4,"Options: Curr=USD") / _xll.SNL.Clients.Office.Excel.Functions.SPG($L10,"SP_EBITDA_EST",Y$2,"Options: Curr=USD")) &lt; 0, "NM", (_xll.SNL.Clients.Office.Excel.Functions.SPG($L10,Y$3,Y$4,"Options: Curr=USD") / _xll.SNL.Clients.Office.Excel.Functions.SPG($L10,"SP_EBITDA_EST",Y$2,"Options: Curr=USD")))</f>
        <v>#NAME?</v>
      </c>
      <c r="Z10" s="70" t="e" cm="1">
        <f t="array" aca="1" ref="Z10" ca="1">_xll.SNL.Clients.Office.Excel.Functions.SPG($L10, Z$3,Z$4)</f>
        <v>#NAME?</v>
      </c>
      <c r="AA10" s="77" t="str">
        <f ca="1">IFERROR(0.001*AVERAGE(_xll.SNL.Clients.Office.Excel.Functions.SPG($L10,$AA$4,"Au",AA$2),_xll.SNL.Clients.Office.Excel.Functions.SPG($L10,$AA$3,"Au",AA$2)),"NA")</f>
        <v>NA</v>
      </c>
      <c r="AB10" s="72" t="str">
        <f ca="1">IFERROR(0.001*AVERAGE(_xll.SNL.Clients.Office.Excel.Functions.SPG($L10,$AA$4,"Au",AB$2),_xll.SNL.Clients.Office.Excel.Functions.SPG($L10,$AA$3,"Au",AB$2)),"NA")</f>
        <v>NA</v>
      </c>
      <c r="AC10" s="78" t="str">
        <f ca="1">IFERROR(0.001*AVERAGE(_xll.SNL.Clients.Office.Excel.Functions.SPG($L10,$AA$4,"Au",AC$2),_xll.SNL.Clients.Office.Excel.Functions.SPG($L10,$AA$3,"Au",AC$2)),"NA")</f>
        <v>NA</v>
      </c>
      <c r="AD10" s="72" t="e">
        <f ca="1" xml:space="preserve"> IF(ISNUMBER(SEARCH("na",_xll.SNL.Clients.Office.Excel.Functions.SPG($L10, $AD$4, AD$2))), 0,_xll.SNL.Clients.Office.Excel.Functions.SPG($L10, $AD$4, AD$2))</f>
        <v>#NAME?</v>
      </c>
      <c r="AE10" s="72" t="e">
        <f ca="1" xml:space="preserve"> IF(ISNUMBER(SEARCH("na",_xll.SNL.Clients.Office.Excel.Functions.SPG($L10, $AD$4, AE$2))), 0,_xll.SNL.Clients.Office.Excel.Functions.SPG($L10, $AD$4, AE$2))</f>
        <v>#NAME?</v>
      </c>
      <c r="AF10" s="72" t="e">
        <f ca="1" xml:space="preserve"> IF(ISNUMBER(SEARCH("na",_xll.SNL.Clients.Office.Excel.Functions.SPG($L10, $AD$4, AF$2))), 0,_xll.SNL.Clients.Office.Excel.Functions.SPG($L10, $AD$4, AF$2))</f>
        <v>#NAME?</v>
      </c>
      <c r="AG10" s="72" t="e">
        <f ca="1" xml:space="preserve"> IF(ISNUMBER(SEARCH("na",_xll.SNL.Clients.Office.Excel.Functions.SPG($L10, $AG$4, AG$2))), 0,_xll.SNL.Clients.Office.Excel.Functions.SPG($L10, $AG$4, AG$2))</f>
        <v>#NAME?</v>
      </c>
      <c r="AH10" s="72" t="e">
        <f ca="1" xml:space="preserve"> IF(ISNUMBER(SEARCH("na",_xll.SNL.Clients.Office.Excel.Functions.SPG($L10, $AG$4, AH$2))), 0,_xll.SNL.Clients.Office.Excel.Functions.SPG($L10, $AG$4, AH$2))</f>
        <v>#NAME?</v>
      </c>
      <c r="AI10" s="72" t="e">
        <f ca="1" xml:space="preserve"> IF(ISNUMBER(SEARCH("na",_xll.SNL.Clients.Office.Excel.Functions.SPG($L10, $AG$4, AI$2))), 0,_xll.SNL.Clients.Office.Excel.Functions.SPG($L10, $AG$4, AI$2))</f>
        <v>#NAME?</v>
      </c>
      <c r="AJ10" s="72" t="e">
        <f ca="1" xml:space="preserve"> IF(ISNUMBER(SEARCH("na",_xll.SNL.Clients.Office.Excel.Functions.SPG($L10, $AJ$4, AJ$2))), 0,_xll.SNL.Clients.Office.Excel.Functions.SPG($L10, $AJ$4, AJ$2))</f>
        <v>#NAME?</v>
      </c>
      <c r="AK10" s="72" t="e">
        <f ca="1" xml:space="preserve"> IF(ISNUMBER(SEARCH("na",_xll.SNL.Clients.Office.Excel.Functions.SPG($L10, $AJ$4, AK$2))), 0,_xll.SNL.Clients.Office.Excel.Functions.SPG($L10, $AJ$4, AK$2))</f>
        <v>#NAME?</v>
      </c>
      <c r="AL10" s="72" t="e">
        <f ca="1" xml:space="preserve"> IF(ISNUMBER(SEARCH("na",_xll.SNL.Clients.Office.Excel.Functions.SPG($L10, $AJ$4, AL$2))), 0,_xll.SNL.Clients.Office.Excel.Functions.SPG($L10, $AJ$4, AL$2))</f>
        <v>#NAME?</v>
      </c>
      <c r="AM10" s="72" t="e">
        <f t="shared" ref="AM10:AO16" ca="1" si="18">AD10+AG10*agprice/auprice+AJ10*cuprice/auprice</f>
        <v>#NAME?</v>
      </c>
      <c r="AN10" s="72" t="e">
        <f t="shared" ca="1" si="18"/>
        <v>#NAME?</v>
      </c>
      <c r="AO10" s="72" t="e">
        <f t="shared" ca="1" si="18"/>
        <v>#NAME?</v>
      </c>
      <c r="AP10" s="83" t="str">
        <f t="shared" ca="1" si="6"/>
        <v>NA</v>
      </c>
      <c r="AQ10" s="84" t="str">
        <f t="shared" ca="1" si="6"/>
        <v>NA</v>
      </c>
      <c r="AR10" s="85" t="str">
        <f t="shared" ca="1" si="6"/>
        <v>NA</v>
      </c>
      <c r="AS10" s="72">
        <f ca="1">IFERROR(_xll.SNL.Clients.Office.Excel.Functions.SPG($L10, $AS$3, AS$2,$AS$4)/1000,0)</f>
        <v>0</v>
      </c>
      <c r="AT10" s="72">
        <f ca="1">IFERROR(_xll.SNL.Clients.Office.Excel.Functions.SPG($L10, $AS$3, AT$2,$AS$4)/1000,0)</f>
        <v>0</v>
      </c>
      <c r="AU10" s="72">
        <f ca="1">IFERROR(_xll.SNL.Clients.Office.Excel.Functions.SPG($L10, $AV$3, AU$2,$AS$4)/1000,0)</f>
        <v>0</v>
      </c>
      <c r="AV10" s="72">
        <f ca="1">IFERROR(_xll.SNL.Clients.Office.Excel.Functions.SPG($L10, $AV$3, AV$2,$AS$4)/1000,0)</f>
        <v>0</v>
      </c>
      <c r="AW10" s="72">
        <f ca="1">IFERROR(_xll.SNL.Clients.Office.Excel.Functions.SPG($L10, $AV$3, AW$2,$AS$4)/1000,0)</f>
        <v>0</v>
      </c>
      <c r="AX10" s="72">
        <f ca="1">IFERROR(_xll.SNL.Clients.Office.Excel.Functions.SPG($L10, $AX$3, AX$2,$AS$4)/1000,0)</f>
        <v>0</v>
      </c>
      <c r="AY10" s="72">
        <f ca="1">IFERROR(_xll.SNL.Clients.Office.Excel.Functions.SPG($L10, $AX$3, AY$2,$AS$4)/1000,0)</f>
        <v>0</v>
      </c>
      <c r="AZ10" s="72">
        <f ca="1">IFERROR(_xll.SNL.Clients.Office.Excel.Functions.SPG($L10, $BA$3, AZ$2,$AS$4)/1000,0)</f>
        <v>0</v>
      </c>
      <c r="BA10" s="72">
        <f ca="1">IFERROR(_xll.SNL.Clients.Office.Excel.Functions.SPG($L10, $BA$3, BA$2,$AS$4)/1000,0)</f>
        <v>0</v>
      </c>
      <c r="BB10" s="72">
        <f ca="1">IFERROR(_xll.SNL.Clients.Office.Excel.Functions.SPG($L10, $BA$3, BB$2,$AS$4)/1000,0)</f>
        <v>0</v>
      </c>
      <c r="BC10" s="72">
        <f ca="1">IFERROR(_xll.SNL.Clients.Office.Excel.Functions.SPG($L10, $BC$3, BC$2,$AS$4)/1000,0)</f>
        <v>0</v>
      </c>
      <c r="BD10" s="72">
        <f ca="1">IFERROR(_xll.SNL.Clients.Office.Excel.Functions.SPG($L10, $BC$3, BD$2,$AS$4)/1000,0)</f>
        <v>0</v>
      </c>
      <c r="BE10" s="72">
        <f ca="1">IFERROR(_xll.SNL.Clients.Office.Excel.Functions.SPG($L10, $BF$3, BE$2,$AS$4)/1000,0)</f>
        <v>0</v>
      </c>
      <c r="BF10" s="72">
        <f ca="1">IFERROR(_xll.SNL.Clients.Office.Excel.Functions.SPG($L10, $BF$3, BF$2,$AS$4)/1000,0)</f>
        <v>0</v>
      </c>
      <c r="BG10" s="72">
        <f ca="1">IFERROR(_xll.SNL.Clients.Office.Excel.Functions.SPG($L10, $BF$3, BG$2,$AS$4)/1000,0)</f>
        <v>0</v>
      </c>
      <c r="BH10" s="72">
        <f t="shared" ref="BH10:BH16" ca="1" si="19">AS10+AT10*agprice/auprice+AU10*cuprice/auprice+AV10*znprice/auprice+AW10*pbprice/auprice</f>
        <v>0</v>
      </c>
      <c r="BI10" s="72">
        <f t="shared" ref="BI10:BI16" ca="1" si="20">AX10+AY10*agprice/auprice+AZ10*cuprice/auprice+BA10*znprice/auprice+BB10*pbprice/auprice+BH10</f>
        <v>0</v>
      </c>
      <c r="BJ10" s="72">
        <f t="shared" ref="BJ10:BJ16" ca="1" si="21">BC10+BD10*agprice/auprice+BE10*cuprice/auprice+BF10*znprice/auprice+BG10*pbprice/auprice+BH10</f>
        <v>0</v>
      </c>
      <c r="BK10" s="77" t="str">
        <f t="shared" ca="1" si="4"/>
        <v>NA</v>
      </c>
      <c r="BL10" s="72" t="str">
        <f t="shared" ca="1" si="4"/>
        <v>NA</v>
      </c>
      <c r="BM10" s="78" t="str">
        <f t="shared" ca="1" si="4"/>
        <v>NA</v>
      </c>
      <c r="BN10" s="72" t="e">
        <f ca="1">_xll.SNL.Clients.Office.Excel.Functions.SPG($L10, $BN$3, BN$2, "Au", "Options:Curr=USD")</f>
        <v>#NAME?</v>
      </c>
      <c r="BO10" s="72" t="e">
        <f ca="1">_xll.SNL.Clients.Office.Excel.Functions.SPG($L10, $BN$3, BO$2, "Au", "Options:Curr=USD")</f>
        <v>#NAME?</v>
      </c>
      <c r="BP10" s="72" t="e">
        <f ca="1">_xll.SNL.Clients.Office.Excel.Functions.SPG($L10, $BN$3, BP$2, "Au", "Options:Curr=USD")</f>
        <v>#NAME?</v>
      </c>
      <c r="BQ10" s="78" t="e">
        <f ca="1">_xll.SNL.Clients.Office.Excel.Functions.SPG($L10, $BN$3, BQ$2, "Au", "Options:Curr=USD")</f>
        <v>#NAME?</v>
      </c>
      <c r="BR10" s="72" t="str">
        <f ca="1">IFERROR(AVERAGE(_xll.SNL.Clients.Office.Excel.Functions.SPG($L10,$BR$4,"Au",BR$2, "Options:Curr=USD"),_xll.SNL.Clients.Office.Excel.Functions.SPG($L10,$BR$3,"Au",BR$2, "Options:Curr=USD")),"NA")</f>
        <v>NA</v>
      </c>
      <c r="BS10" s="72" t="str">
        <f ca="1">IFERROR(AVERAGE(_xll.SNL.Clients.Office.Excel.Functions.SPG($L10,$BR$4,"Au",BS$2, "Options:Curr=USD"),_xll.SNL.Clients.Office.Excel.Functions.SPG($L10,$BR$3,"Au",BS$2, "Options:Curr=USD")),"NA")</f>
        <v>NA</v>
      </c>
      <c r="BT10" s="78" t="str">
        <f ca="1">IFERROR(AVERAGE(_xll.SNL.Clients.Office.Excel.Functions.SPG($L10,$BR$4,"Au",BT$2, "Options:Curr=USD"),_xll.SNL.Clients.Office.Excel.Functions.SPG($L10,$BR$3,"Au",BT$2, "Options:Curr=USD")),"NA")</f>
        <v>NA</v>
      </c>
      <c r="BV10" s="36" t="s">
        <v>88</v>
      </c>
      <c r="BW10" s="36"/>
      <c r="BX10" s="36" t="s">
        <v>89</v>
      </c>
      <c r="BY10" s="36"/>
    </row>
    <row r="11" spans="1:77" ht="13.8" x14ac:dyDescent="0.25">
      <c r="A11" s="56" t="e">
        <f ca="1">_xll.SNL.Clients.Office.Excel.Functions.SPG($L11, A$3)</f>
        <v>#NAME?</v>
      </c>
      <c r="B11" s="56" t="e">
        <f ca="1">_xll.BDP($K11,B$3)</f>
        <v>#NAME?</v>
      </c>
      <c r="C11" s="56" t="e">
        <f ca="1">_xll.BDP($K11,C$3)</f>
        <v>#NAME?</v>
      </c>
      <c r="D11" s="56" t="e">
        <f ca="1">_xll.BDP($K11,D$3)</f>
        <v>#NAME?</v>
      </c>
      <c r="E11" s="57" t="s">
        <v>106</v>
      </c>
      <c r="F11" s="57" t="s">
        <v>107</v>
      </c>
      <c r="G11" s="57" t="s">
        <v>84</v>
      </c>
      <c r="H11" s="58" t="e">
        <f ca="1">_xll.SNL.Clients.Office.Excel.Functions.SPG($L11, "IQ_TEV", "Options: Curr=USD")</f>
        <v>#NAME?</v>
      </c>
      <c r="I11" s="58" t="e">
        <f ca="1">_xll.SNL.Clients.Office.Excel.Functions.SPG($L11, "SP_MARKETCAP", "Options: Curr=USD")</f>
        <v>#NAME?</v>
      </c>
      <c r="J11" s="59" t="s">
        <v>108</v>
      </c>
      <c r="K11" s="3" t="s">
        <v>109</v>
      </c>
      <c r="L11" s="3" t="s">
        <v>110</v>
      </c>
      <c r="M11" s="60" t="e" cm="1">
        <f t="array" aca="1" ref="M11" ca="1">_xll.SNL.Clients.Office.Excel.Functions.SPG($L11, $M$3)/100</f>
        <v>#NAME?</v>
      </c>
      <c r="N11" s="61" t="e" cm="1">
        <f t="array" aca="1" ref="N11" ca="1">_xll.SNL.Clients.Office.Excel.Functions.SPG($L11, "SP_PCFPS_FWD",N$2)</f>
        <v>#NAME?</v>
      </c>
      <c r="O11" s="62" t="e" cm="1">
        <f t="array" aca="1" ref="O11" ca="1">_xll.SNL.Clients.Office.Excel.Functions.SPG($L11, "SP_PCFPS_FWD",O$2)</f>
        <v>#NAME?</v>
      </c>
      <c r="P11" s="63" t="e" cm="1">
        <f t="array" aca="1" ref="P11" ca="1">_xll.SNL.Clients.Office.Excel.Functions.SPG($L11, "SP_PCFPS_FWD",P$2)</f>
        <v>#NAME?</v>
      </c>
      <c r="Q11" s="64" t="e">
        <f ca="1">_xll.SNL.Clients.Office.Excel.Functions.SPG($L11, "SP_FCF_EST",Q$2, "Options: Curr=USD")/1000/$I11</f>
        <v>#NAME?</v>
      </c>
      <c r="R11" s="64" t="e">
        <f ca="1">_xll.SNL.Clients.Office.Excel.Functions.SPG($L11, "SP_FCF_EST",R$2, "Options: Curr=USD")/1000/$I11</f>
        <v>#NAME?</v>
      </c>
      <c r="S11" s="64" t="e">
        <f ca="1">_xll.SNL.Clients.Office.Excel.Functions.SPG($L11, "SP_FCF_EST",S$2, "Options: Curr=USD")/1000/$I11</f>
        <v>#NAME?</v>
      </c>
      <c r="T11" s="61" t="e" cm="1">
        <f t="array" aca="1" ref="T11" ca="1">_xll.SNL.Clients.Office.Excel.Functions.SPG($L11, "SP_PE_FWD",T$2)</f>
        <v>#NAME?</v>
      </c>
      <c r="U11" s="63" t="e" cm="1">
        <f t="array" aca="1" ref="U11" ca="1">_xll.SNL.Clients.Office.Excel.Functions.SPG($L11, "SP_PE_FWD",U$2)</f>
        <v>#NAME?</v>
      </c>
      <c r="V11" s="80" t="e" cm="1">
        <f t="array" aca="1" ref="V11" ca="1">_xll.SNL.Clients.Office.Excel.Functions.SPG($L11, $V$3,V$2)</f>
        <v>#NAME?</v>
      </c>
      <c r="W11" s="81" t="e" cm="1">
        <f t="array" aca="1" ref="W11" ca="1">_xll.SNL.Clients.Office.Excel.Functions.SPG($L11, $V$3,W$2)</f>
        <v>#NAME?</v>
      </c>
      <c r="X11" s="82" t="e" cm="1">
        <f t="array" aca="1" ref="X11" ca="1">_xll.SNL.Clients.Office.Excel.Functions.SPG($L11, $V$3,X$2)</f>
        <v>#NAME?</v>
      </c>
      <c r="Y11" s="69" t="e" cm="1">
        <f t="array" aca="1" ref="Y11" ca="1">IF((_xll.SNL.Clients.Office.Excel.Functions.SPG($L11,Y$3,Y$4,"Options: Curr=USD") / _xll.SNL.Clients.Office.Excel.Functions.SPG($L11,"SP_EBITDA_EST",Y$2,"Options: Curr=USD")) &lt; 0, "NM", (_xll.SNL.Clients.Office.Excel.Functions.SPG($L11,Y$3,Y$4,"Options: Curr=USD") / _xll.SNL.Clients.Office.Excel.Functions.SPG($L11,"SP_EBITDA_EST",Y$2,"Options: Curr=USD")))</f>
        <v>#NAME?</v>
      </c>
      <c r="Z11" s="70" t="e" cm="1">
        <f t="array" aca="1" ref="Z11" ca="1">_xll.SNL.Clients.Office.Excel.Functions.SPG($L11, Z$3,Z$4)</f>
        <v>#NAME?</v>
      </c>
      <c r="AA11" s="77" t="str">
        <f ca="1">IFERROR(0.001*AVERAGE(_xll.SNL.Clients.Office.Excel.Functions.SPG($L11,$AA$4,"Au",AA$2),_xll.SNL.Clients.Office.Excel.Functions.SPG($L11,$AA$3,"Au",AA$2)),"NA")</f>
        <v>NA</v>
      </c>
      <c r="AB11" s="72" t="str">
        <f ca="1">IFERROR(0.001*AVERAGE(_xll.SNL.Clients.Office.Excel.Functions.SPG($L11,$AA$4,"Au",AB$2),_xll.SNL.Clients.Office.Excel.Functions.SPG($L11,$AA$3,"Au",AB$2)),"NA")</f>
        <v>NA</v>
      </c>
      <c r="AC11" s="78" t="str">
        <f ca="1">IFERROR(0.001*AVERAGE(_xll.SNL.Clients.Office.Excel.Functions.SPG($L11,$AA$4,"Au",AC$2),_xll.SNL.Clients.Office.Excel.Functions.SPG($L11,$AA$3,"Au",AC$2)),"NA")</f>
        <v>NA</v>
      </c>
      <c r="AD11" s="72" t="e">
        <f ca="1" xml:space="preserve"> IF(ISNUMBER(SEARCH("na",_xll.SNL.Clients.Office.Excel.Functions.SPG($L11, $AD$4, AD$2))), 0,_xll.SNL.Clients.Office.Excel.Functions.SPG($L11, $AD$4, AD$2))</f>
        <v>#NAME?</v>
      </c>
      <c r="AE11" s="72" t="e">
        <f ca="1" xml:space="preserve"> IF(ISNUMBER(SEARCH("na",_xll.SNL.Clients.Office.Excel.Functions.SPG($L11, $AD$4, AE$2))), 0,_xll.SNL.Clients.Office.Excel.Functions.SPG($L11, $AD$4, AE$2))</f>
        <v>#NAME?</v>
      </c>
      <c r="AF11" s="72" t="e">
        <f ca="1" xml:space="preserve"> IF(ISNUMBER(SEARCH("na",_xll.SNL.Clients.Office.Excel.Functions.SPG($L11, $AD$4, AF$2))), 0,_xll.SNL.Clients.Office.Excel.Functions.SPG($L11, $AD$4, AF$2))</f>
        <v>#NAME?</v>
      </c>
      <c r="AG11" s="72" t="e">
        <f ca="1" xml:space="preserve"> IF(ISNUMBER(SEARCH("na",_xll.SNL.Clients.Office.Excel.Functions.SPG($L11, $AG$4, AG$2))), 0,_xll.SNL.Clients.Office.Excel.Functions.SPG($L11, $AG$4, AG$2))</f>
        <v>#NAME?</v>
      </c>
      <c r="AH11" s="72" t="e">
        <f ca="1" xml:space="preserve"> IF(ISNUMBER(SEARCH("na",_xll.SNL.Clients.Office.Excel.Functions.SPG($L11, $AG$4, AH$2))), 0,_xll.SNL.Clients.Office.Excel.Functions.SPG($L11, $AG$4, AH$2))</f>
        <v>#NAME?</v>
      </c>
      <c r="AI11" s="72" t="e">
        <f ca="1" xml:space="preserve"> IF(ISNUMBER(SEARCH("na",_xll.SNL.Clients.Office.Excel.Functions.SPG($L11, $AG$4, AI$2))), 0,_xll.SNL.Clients.Office.Excel.Functions.SPG($L11, $AG$4, AI$2))</f>
        <v>#NAME?</v>
      </c>
      <c r="AJ11" s="72" t="e">
        <f ca="1" xml:space="preserve"> IF(ISNUMBER(SEARCH("na",_xll.SNL.Clients.Office.Excel.Functions.SPG($L11, $AJ$4, AJ$2))), 0,_xll.SNL.Clients.Office.Excel.Functions.SPG($L11, $AJ$4, AJ$2))</f>
        <v>#NAME?</v>
      </c>
      <c r="AK11" s="72" t="e">
        <f ca="1" xml:space="preserve"> IF(ISNUMBER(SEARCH("na",_xll.SNL.Clients.Office.Excel.Functions.SPG($L11, $AJ$4, AK$2))), 0,_xll.SNL.Clients.Office.Excel.Functions.SPG($L11, $AJ$4, AK$2))</f>
        <v>#NAME?</v>
      </c>
      <c r="AL11" s="72" t="e">
        <f ca="1" xml:space="preserve"> IF(ISNUMBER(SEARCH("na",_xll.SNL.Clients.Office.Excel.Functions.SPG($L11, $AJ$4, AL$2))), 0,_xll.SNL.Clients.Office.Excel.Functions.SPG($L11, $AJ$4, AL$2))</f>
        <v>#NAME?</v>
      </c>
      <c r="AM11" s="72" t="e">
        <f t="shared" ref="AM11:AO17" ca="1" si="22">AD11+AG11*agprice/auprice+AJ11*cuprice/auprice</f>
        <v>#NAME?</v>
      </c>
      <c r="AN11" s="72" t="e">
        <f t="shared" ca="1" si="22"/>
        <v>#NAME?</v>
      </c>
      <c r="AO11" s="72" t="e">
        <f t="shared" ca="1" si="22"/>
        <v>#NAME?</v>
      </c>
      <c r="AP11" s="83" t="str">
        <f t="shared" ca="1" si="6"/>
        <v>NA</v>
      </c>
      <c r="AQ11" s="84" t="str">
        <f t="shared" ca="1" si="6"/>
        <v>NA</v>
      </c>
      <c r="AR11" s="85" t="str">
        <f t="shared" ca="1" si="6"/>
        <v>NA</v>
      </c>
      <c r="AS11" s="72">
        <f ca="1">IFERROR(_xll.SNL.Clients.Office.Excel.Functions.SPG($L11, $AS$3, AS$2,$AS$4)/1000,0)</f>
        <v>0</v>
      </c>
      <c r="AT11" s="72">
        <f ca="1">IFERROR(_xll.SNL.Clients.Office.Excel.Functions.SPG($L11, $AS$3, AT$2,$AS$4)/1000,0)</f>
        <v>0</v>
      </c>
      <c r="AU11" s="72">
        <f ca="1">IFERROR(_xll.SNL.Clients.Office.Excel.Functions.SPG($L11, $AV$3, AU$2,$AS$4)/1000,0)</f>
        <v>0</v>
      </c>
      <c r="AV11" s="72">
        <f ca="1">IFERROR(_xll.SNL.Clients.Office.Excel.Functions.SPG($L11, $AV$3, AV$2,$AS$4)/1000,0)</f>
        <v>0</v>
      </c>
      <c r="AW11" s="72">
        <f ca="1">IFERROR(_xll.SNL.Clients.Office.Excel.Functions.SPG($L11, $AV$3, AW$2,$AS$4)/1000,0)</f>
        <v>0</v>
      </c>
      <c r="AX11" s="72">
        <f ca="1">IFERROR(_xll.SNL.Clients.Office.Excel.Functions.SPG($L11, $AX$3, AX$2,$AS$4)/1000,0)</f>
        <v>0</v>
      </c>
      <c r="AY11" s="72">
        <f ca="1">IFERROR(_xll.SNL.Clients.Office.Excel.Functions.SPG($L11, $AX$3, AY$2,$AS$4)/1000,0)</f>
        <v>0</v>
      </c>
      <c r="AZ11" s="72">
        <f ca="1">IFERROR(_xll.SNL.Clients.Office.Excel.Functions.SPG($L11, $BA$3, AZ$2,$AS$4)/1000,0)</f>
        <v>0</v>
      </c>
      <c r="BA11" s="72">
        <f ca="1">IFERROR(_xll.SNL.Clients.Office.Excel.Functions.SPG($L11, $BA$3, BA$2,$AS$4)/1000,0)</f>
        <v>0</v>
      </c>
      <c r="BB11" s="72">
        <f ca="1">IFERROR(_xll.SNL.Clients.Office.Excel.Functions.SPG($L11, $BA$3, BB$2,$AS$4)/1000,0)</f>
        <v>0</v>
      </c>
      <c r="BC11" s="72">
        <f ca="1">IFERROR(_xll.SNL.Clients.Office.Excel.Functions.SPG($L11, $BC$3, BC$2,$AS$4)/1000,0)</f>
        <v>0</v>
      </c>
      <c r="BD11" s="72">
        <f ca="1">IFERROR(_xll.SNL.Clients.Office.Excel.Functions.SPG($L11, $BC$3, BD$2,$AS$4)/1000,0)</f>
        <v>0</v>
      </c>
      <c r="BE11" s="72">
        <f ca="1">IFERROR(_xll.SNL.Clients.Office.Excel.Functions.SPG($L11, $BF$3, BE$2,$AS$4)/1000,0)</f>
        <v>0</v>
      </c>
      <c r="BF11" s="72">
        <f ca="1">IFERROR(_xll.SNL.Clients.Office.Excel.Functions.SPG($L11, $BF$3, BF$2,$AS$4)/1000,0)</f>
        <v>0</v>
      </c>
      <c r="BG11" s="72">
        <f ca="1">IFERROR(_xll.SNL.Clients.Office.Excel.Functions.SPG($L11, $BF$3, BG$2,$AS$4)/1000,0)</f>
        <v>0</v>
      </c>
      <c r="BH11" s="72">
        <f t="shared" ref="BH11:BH17" ca="1" si="23">AS11+AT11*agprice/auprice+AU11*cuprice/auprice+AV11*znprice/auprice+AW11*pbprice/auprice</f>
        <v>0</v>
      </c>
      <c r="BI11" s="72">
        <f t="shared" ref="BI11:BI17" ca="1" si="24">AX11+AY11*agprice/auprice+AZ11*cuprice/auprice+BA11*znprice/auprice+BB11*pbprice/auprice+BH11</f>
        <v>0</v>
      </c>
      <c r="BJ11" s="72">
        <f t="shared" ref="BJ11:BJ17" ca="1" si="25">BC11+BD11*agprice/auprice+BE11*cuprice/auprice+BF11*znprice/auprice+BG11*pbprice/auprice+BH11</f>
        <v>0</v>
      </c>
      <c r="BK11" s="77" t="str">
        <f t="shared" ca="1" si="4"/>
        <v>NA</v>
      </c>
      <c r="BL11" s="72" t="str">
        <f t="shared" ca="1" si="4"/>
        <v>NA</v>
      </c>
      <c r="BM11" s="78" t="str">
        <f t="shared" ca="1" si="4"/>
        <v>NA</v>
      </c>
      <c r="BN11" s="72" t="e">
        <f ca="1">_xll.SNL.Clients.Office.Excel.Functions.SPG($L11, $BN$3, BN$2, "Au", "Options:Curr=USD")</f>
        <v>#NAME?</v>
      </c>
      <c r="BO11" s="72" t="e">
        <f ca="1">_xll.SNL.Clients.Office.Excel.Functions.SPG($L11, $BN$3, BO$2, "Au", "Options:Curr=USD")</f>
        <v>#NAME?</v>
      </c>
      <c r="BP11" s="72" t="e">
        <f ca="1">_xll.SNL.Clients.Office.Excel.Functions.SPG($L11, $BN$3, BP$2, "Au", "Options:Curr=USD")</f>
        <v>#NAME?</v>
      </c>
      <c r="BQ11" s="78" t="e">
        <f ca="1">_xll.SNL.Clients.Office.Excel.Functions.SPG($L11, $BN$3, BQ$2, "Au", "Options:Curr=USD")</f>
        <v>#NAME?</v>
      </c>
      <c r="BR11" s="72" t="str">
        <f ca="1">IFERROR(AVERAGE(_xll.SNL.Clients.Office.Excel.Functions.SPG($L11,$BR$4,"Au",BR$2, "Options:Curr=USD"),_xll.SNL.Clients.Office.Excel.Functions.SPG($L11,$BR$3,"Au",BR$2, "Options:Curr=USD")),"NA")</f>
        <v>NA</v>
      </c>
      <c r="BS11" s="72" t="str">
        <f ca="1">IFERROR(AVERAGE(_xll.SNL.Clients.Office.Excel.Functions.SPG($L11,$BR$4,"Au",BS$2, "Options:Curr=USD"),_xll.SNL.Clients.Office.Excel.Functions.SPG($L11,$BR$3,"Au",BS$2, "Options:Curr=USD")),"NA")</f>
        <v>NA</v>
      </c>
      <c r="BT11" s="78" t="str">
        <f ca="1">IFERROR(AVERAGE(_xll.SNL.Clients.Office.Excel.Functions.SPG($L11,$BR$4,"Au",BT$2, "Options:Curr=USD"),_xll.SNL.Clients.Office.Excel.Functions.SPG($L11,$BR$3,"Au",BT$2, "Options:Curr=USD")),"NA")</f>
        <v>NA</v>
      </c>
      <c r="BV11" s="36" t="s">
        <v>88</v>
      </c>
      <c r="BW11" s="36"/>
      <c r="BX11" s="36" t="s">
        <v>89</v>
      </c>
      <c r="BY11" s="36"/>
    </row>
    <row r="12" spans="1:77" ht="13.8" x14ac:dyDescent="0.25">
      <c r="A12" s="56" t="e">
        <f ca="1">_xll.SNL.Clients.Office.Excel.Functions.SPG($L12, A$3)</f>
        <v>#NAME?</v>
      </c>
      <c r="B12" s="56" t="e">
        <f ca="1">_xll.BDP($K12,B$3)</f>
        <v>#NAME?</v>
      </c>
      <c r="C12" s="56" t="e">
        <f ca="1">_xll.BDP($K12,C$3)</f>
        <v>#NAME?</v>
      </c>
      <c r="D12" s="56" t="e">
        <f ca="1">_xll.BDP($K12,D$3)</f>
        <v>#NAME?</v>
      </c>
      <c r="E12" s="57" t="s">
        <v>111</v>
      </c>
      <c r="F12" s="57" t="s">
        <v>83</v>
      </c>
      <c r="G12" s="57" t="s">
        <v>112</v>
      </c>
      <c r="H12" s="58" t="e">
        <f ca="1">_xll.SNL.Clients.Office.Excel.Functions.SPG($L12, "IQ_TEV", "Options: Curr=USD")</f>
        <v>#NAME?</v>
      </c>
      <c r="I12" s="58" t="e">
        <f ca="1">_xll.SNL.Clients.Office.Excel.Functions.SPG($L12, "SP_MARKETCAP", "Options: Curr=USD")</f>
        <v>#NAME?</v>
      </c>
      <c r="J12" s="59" t="s">
        <v>113</v>
      </c>
      <c r="K12" s="3" t="s">
        <v>114</v>
      </c>
      <c r="L12" s="3" t="s">
        <v>115</v>
      </c>
      <c r="M12" s="60" t="e" cm="1">
        <f t="array" aca="1" ref="M12" ca="1">_xll.SNL.Clients.Office.Excel.Functions.SPG($L12, $M$3)/100</f>
        <v>#NAME?</v>
      </c>
      <c r="N12" s="61" t="e" cm="1">
        <f t="array" aca="1" ref="N12" ca="1">_xll.SNL.Clients.Office.Excel.Functions.SPG($L12, "SP_PCFPS_FWD",N$2)</f>
        <v>#NAME?</v>
      </c>
      <c r="O12" s="62" t="e" cm="1">
        <f t="array" aca="1" ref="O12" ca="1">_xll.SNL.Clients.Office.Excel.Functions.SPG($L12, "SP_PCFPS_FWD",O$2)</f>
        <v>#NAME?</v>
      </c>
      <c r="P12" s="63" t="e" cm="1">
        <f t="array" aca="1" ref="P12" ca="1">_xll.SNL.Clients.Office.Excel.Functions.SPG($L12, "SP_PCFPS_FWD",P$2)</f>
        <v>#NAME?</v>
      </c>
      <c r="Q12" s="64" t="e">
        <f ca="1">_xll.SNL.Clients.Office.Excel.Functions.SPG($L12, "SP_FCF_EST",Q$2, "Options: Curr=USD")/1000/$I12</f>
        <v>#NAME?</v>
      </c>
      <c r="R12" s="64" t="e">
        <f ca="1">_xll.SNL.Clients.Office.Excel.Functions.SPG($L12, "SP_FCF_EST",R$2, "Options: Curr=USD")/1000/$I12</f>
        <v>#NAME?</v>
      </c>
      <c r="S12" s="64" t="e">
        <f ca="1">_xll.SNL.Clients.Office.Excel.Functions.SPG($L12, "SP_FCF_EST",S$2, "Options: Curr=USD")/1000/$I12</f>
        <v>#NAME?</v>
      </c>
      <c r="T12" s="61" t="e" cm="1">
        <f t="array" aca="1" ref="T12" ca="1">_xll.SNL.Clients.Office.Excel.Functions.SPG($L12, "SP_PE_FWD",T$2)</f>
        <v>#NAME?</v>
      </c>
      <c r="U12" s="63" t="e" cm="1">
        <f t="array" aca="1" ref="U12" ca="1">_xll.SNL.Clients.Office.Excel.Functions.SPG($L12, "SP_PE_FWD",U$2)</f>
        <v>#NAME?</v>
      </c>
      <c r="V12" s="86" t="e" cm="1">
        <f t="array" aca="1" ref="V12" ca="1">_xll.SNL.Clients.Office.Excel.Functions.SPG($L12, $V$3,V$2)</f>
        <v>#NAME?</v>
      </c>
      <c r="W12" s="87" t="e" cm="1">
        <f t="array" aca="1" ref="W12" ca="1">_xll.SNL.Clients.Office.Excel.Functions.SPG($L12, $V$3,W$2)</f>
        <v>#NAME?</v>
      </c>
      <c r="X12" s="88" t="e" cm="1">
        <f t="array" aca="1" ref="X12" ca="1">_xll.SNL.Clients.Office.Excel.Functions.SPG($L12, $V$3,X$2)</f>
        <v>#NAME?</v>
      </c>
      <c r="Y12" s="69" t="e" cm="1">
        <f t="array" aca="1" ref="Y12" ca="1">IF((_xll.SNL.Clients.Office.Excel.Functions.SPG($L12,Y$3,Y$4,"Options: Curr=USD") / _xll.SNL.Clients.Office.Excel.Functions.SPG($L12,"SP_EBITDA_EST",Y$2,"Options: Curr=USD")) &lt; 0, "NM", (_xll.SNL.Clients.Office.Excel.Functions.SPG($L12,Y$3,Y$4,"Options: Curr=USD") / _xll.SNL.Clients.Office.Excel.Functions.SPG($L12,"SP_EBITDA_EST",Y$2,"Options: Curr=USD")))</f>
        <v>#NAME?</v>
      </c>
      <c r="Z12" s="70" t="e" cm="1">
        <f t="array" aca="1" ref="Z12" ca="1">_xll.SNL.Clients.Office.Excel.Functions.SPG($L12, Z$3,Z$4)</f>
        <v>#NAME?</v>
      </c>
      <c r="AA12" s="89" t="str">
        <f ca="1">IFERROR(0.001*AVERAGE(_xll.SNL.Clients.Office.Excel.Functions.SPG($L12,$AA$4,"Au",AA$2),_xll.SNL.Clients.Office.Excel.Functions.SPG($L12,$AA$3,"Au",AA$2)),"NA")</f>
        <v>NA</v>
      </c>
      <c r="AB12" s="72" t="str">
        <f ca="1">IFERROR(0.001*AVERAGE(_xll.SNL.Clients.Office.Excel.Functions.SPG($L12,$AA$4,"Au",AB$2),_xll.SNL.Clients.Office.Excel.Functions.SPG($L12,$AA$3,"Au",AB$2)),"NA")</f>
        <v>NA</v>
      </c>
      <c r="AC12" s="90" t="str">
        <f ca="1">IFERROR(0.001*AVERAGE(_xll.SNL.Clients.Office.Excel.Functions.SPG($L12,$AA$4,"Au",AC$2),_xll.SNL.Clients.Office.Excel.Functions.SPG($L12,$AA$3,"Au",AC$2)),"NA")</f>
        <v>NA</v>
      </c>
      <c r="AD12" s="72" t="e">
        <f ca="1" xml:space="preserve"> IF(ISNUMBER(SEARCH("na",_xll.SNL.Clients.Office.Excel.Functions.SPG($L12, $AD$4, AD$2))), 0,_xll.SNL.Clients.Office.Excel.Functions.SPG($L12, $AD$4, AD$2))</f>
        <v>#NAME?</v>
      </c>
      <c r="AE12" s="72" t="e">
        <f ca="1" xml:space="preserve"> IF(ISNUMBER(SEARCH("na",_xll.SNL.Clients.Office.Excel.Functions.SPG($L12, $AD$4, AE$2))), 0,_xll.SNL.Clients.Office.Excel.Functions.SPG($L12, $AD$4, AE$2))</f>
        <v>#NAME?</v>
      </c>
      <c r="AF12" s="72" t="e">
        <f ca="1" xml:space="preserve"> IF(ISNUMBER(SEARCH("na",_xll.SNL.Clients.Office.Excel.Functions.SPG($L12, $AD$4, AF$2))), 0,_xll.SNL.Clients.Office.Excel.Functions.SPG($L12, $AD$4, AF$2))</f>
        <v>#NAME?</v>
      </c>
      <c r="AG12" s="72" t="e">
        <f ca="1" xml:space="preserve"> IF(ISNUMBER(SEARCH("na",_xll.SNL.Clients.Office.Excel.Functions.SPG($L12, $AG$4, AG$2))), 0,_xll.SNL.Clients.Office.Excel.Functions.SPG($L12, $AG$4, AG$2))</f>
        <v>#NAME?</v>
      </c>
      <c r="AH12" s="72" t="e">
        <f ca="1" xml:space="preserve"> IF(ISNUMBER(SEARCH("na",_xll.SNL.Clients.Office.Excel.Functions.SPG($L12, $AG$4, AH$2))), 0,_xll.SNL.Clients.Office.Excel.Functions.SPG($L12, $AG$4, AH$2))</f>
        <v>#NAME?</v>
      </c>
      <c r="AI12" s="72" t="e">
        <f ca="1" xml:space="preserve"> IF(ISNUMBER(SEARCH("na",_xll.SNL.Clients.Office.Excel.Functions.SPG($L12, $AG$4, AI$2))), 0,_xll.SNL.Clients.Office.Excel.Functions.SPG($L12, $AG$4, AI$2))</f>
        <v>#NAME?</v>
      </c>
      <c r="AJ12" s="72" t="e">
        <f ca="1" xml:space="preserve"> IF(ISNUMBER(SEARCH("na",_xll.SNL.Clients.Office.Excel.Functions.SPG($L12, $AJ$4, AJ$2))), 0,_xll.SNL.Clients.Office.Excel.Functions.SPG($L12, $AJ$4, AJ$2))</f>
        <v>#NAME?</v>
      </c>
      <c r="AK12" s="72" t="e">
        <f ca="1" xml:space="preserve"> IF(ISNUMBER(SEARCH("na",_xll.SNL.Clients.Office.Excel.Functions.SPG($L12, $AJ$4, AK$2))), 0,_xll.SNL.Clients.Office.Excel.Functions.SPG($L12, $AJ$4, AK$2))</f>
        <v>#NAME?</v>
      </c>
      <c r="AL12" s="72" t="e">
        <f ca="1" xml:space="preserve"> IF(ISNUMBER(SEARCH("na",_xll.SNL.Clients.Office.Excel.Functions.SPG($L12, $AJ$4, AL$2))), 0,_xll.SNL.Clients.Office.Excel.Functions.SPG($L12, $AJ$4, AL$2))</f>
        <v>#NAME?</v>
      </c>
      <c r="AM12" s="72" t="e">
        <f t="shared" ref="AM12:AO18" ca="1" si="26">AD12+AG12*agprice/auprice+AJ12*cuprice/auprice</f>
        <v>#NAME?</v>
      </c>
      <c r="AN12" s="72" t="e">
        <f t="shared" ca="1" si="26"/>
        <v>#NAME?</v>
      </c>
      <c r="AO12" s="72" t="e">
        <f t="shared" ca="1" si="26"/>
        <v>#NAME?</v>
      </c>
      <c r="AP12" s="91" t="str">
        <f t="shared" ca="1" si="6"/>
        <v>NA</v>
      </c>
      <c r="AQ12" s="92" t="str">
        <f t="shared" ca="1" si="6"/>
        <v>NA</v>
      </c>
      <c r="AR12" s="93" t="str">
        <f t="shared" ca="1" si="6"/>
        <v>NA</v>
      </c>
      <c r="AS12" s="72">
        <f ca="1">IFERROR(_xll.SNL.Clients.Office.Excel.Functions.SPG($L12, $AS$3, AS$2,$AS$4)/1000,0)</f>
        <v>0</v>
      </c>
      <c r="AT12" s="72">
        <f ca="1">IFERROR(_xll.SNL.Clients.Office.Excel.Functions.SPG($L12, $AS$3, AT$2,$AS$4)/1000,0)</f>
        <v>0</v>
      </c>
      <c r="AU12" s="72">
        <f ca="1">IFERROR(_xll.SNL.Clients.Office.Excel.Functions.SPG($L12, $AV$3, AU$2,$AS$4)/1000,0)</f>
        <v>0</v>
      </c>
      <c r="AV12" s="72">
        <f ca="1">IFERROR(_xll.SNL.Clients.Office.Excel.Functions.SPG($L12, $AV$3, AV$2,$AS$4)/1000,0)</f>
        <v>0</v>
      </c>
      <c r="AW12" s="72">
        <f ca="1">IFERROR(_xll.SNL.Clients.Office.Excel.Functions.SPG($L12, $AV$3, AW$2,$AS$4)/1000,0)</f>
        <v>0</v>
      </c>
      <c r="AX12" s="72">
        <f ca="1">IFERROR(_xll.SNL.Clients.Office.Excel.Functions.SPG($L12, $AX$3, AX$2,$AS$4)/1000,0)</f>
        <v>0</v>
      </c>
      <c r="AY12" s="72">
        <f ca="1">IFERROR(_xll.SNL.Clients.Office.Excel.Functions.SPG($L12, $AX$3, AY$2,$AS$4)/1000,0)</f>
        <v>0</v>
      </c>
      <c r="AZ12" s="72">
        <f ca="1">IFERROR(_xll.SNL.Clients.Office.Excel.Functions.SPG($L12, $BA$3, AZ$2,$AS$4)/1000,0)</f>
        <v>0</v>
      </c>
      <c r="BA12" s="72">
        <f ca="1">IFERROR(_xll.SNL.Clients.Office.Excel.Functions.SPG($L12, $BA$3, BA$2,$AS$4)/1000,0)</f>
        <v>0</v>
      </c>
      <c r="BB12" s="72">
        <f ca="1">IFERROR(_xll.SNL.Clients.Office.Excel.Functions.SPG($L12, $BA$3, BB$2,$AS$4)/1000,0)</f>
        <v>0</v>
      </c>
      <c r="BC12" s="72">
        <f ca="1">IFERROR(_xll.SNL.Clients.Office.Excel.Functions.SPG($L12, $BC$3, BC$2,$AS$4)/1000,0)</f>
        <v>0</v>
      </c>
      <c r="BD12" s="72">
        <f ca="1">IFERROR(_xll.SNL.Clients.Office.Excel.Functions.SPG($L12, $BC$3, BD$2,$AS$4)/1000,0)</f>
        <v>0</v>
      </c>
      <c r="BE12" s="72">
        <f ca="1">IFERROR(_xll.SNL.Clients.Office.Excel.Functions.SPG($L12, $BF$3, BE$2,$AS$4)/1000,0)</f>
        <v>0</v>
      </c>
      <c r="BF12" s="72">
        <f ca="1">IFERROR(_xll.SNL.Clients.Office.Excel.Functions.SPG($L12, $BF$3, BF$2,$AS$4)/1000,0)</f>
        <v>0</v>
      </c>
      <c r="BG12" s="72">
        <f ca="1">IFERROR(_xll.SNL.Clients.Office.Excel.Functions.SPG($L12, $BF$3, BG$2,$AS$4)/1000,0)</f>
        <v>0</v>
      </c>
      <c r="BH12" s="72">
        <f t="shared" ref="BH12:BH18" ca="1" si="27">AS12+AT12*agprice/auprice+AU12*cuprice/auprice+AV12*znprice/auprice+AW12*pbprice/auprice</f>
        <v>0</v>
      </c>
      <c r="BI12" s="72">
        <f t="shared" ref="BI12:BI18" ca="1" si="28">AX12+AY12*agprice/auprice+AZ12*cuprice/auprice+BA12*znprice/auprice+BB12*pbprice/auprice+BH12</f>
        <v>0</v>
      </c>
      <c r="BJ12" s="72">
        <f t="shared" ref="BJ12:BJ18" ca="1" si="29">BC12+BD12*agprice/auprice+BE12*cuprice/auprice+BF12*znprice/auprice+BG12*pbprice/auprice+BH12</f>
        <v>0</v>
      </c>
      <c r="BK12" s="77" t="str">
        <f t="shared" ca="1" si="4"/>
        <v>NA</v>
      </c>
      <c r="BL12" s="72" t="str">
        <f t="shared" ca="1" si="4"/>
        <v>NA</v>
      </c>
      <c r="BM12" s="78" t="str">
        <f t="shared" ca="1" si="4"/>
        <v>NA</v>
      </c>
      <c r="BN12" s="72" t="e">
        <f ca="1">_xll.SNL.Clients.Office.Excel.Functions.SPG($L12, $BN$3, BN$2, "Au", "Options:Curr=USD")</f>
        <v>#NAME?</v>
      </c>
      <c r="BO12" s="72" t="e">
        <f ca="1">_xll.SNL.Clients.Office.Excel.Functions.SPG($L12, $BN$3, BO$2, "Au", "Options:Curr=USD")</f>
        <v>#NAME?</v>
      </c>
      <c r="BP12" s="72" t="e">
        <f ca="1">_xll.SNL.Clients.Office.Excel.Functions.SPG($L12, $BN$3, BP$2, "Au", "Options:Curr=USD")</f>
        <v>#NAME?</v>
      </c>
      <c r="BQ12" s="90" t="e">
        <f ca="1">_xll.SNL.Clients.Office.Excel.Functions.SPG($L12, $BN$3, BQ$2, "Au", "Options:Curr=USD")</f>
        <v>#NAME?</v>
      </c>
      <c r="BR12" s="72" t="str">
        <f ca="1">IFERROR(AVERAGE(_xll.SNL.Clients.Office.Excel.Functions.SPG($L12,$BR$4,"Au",BR$2, "Options:Curr=USD"),_xll.SNL.Clients.Office.Excel.Functions.SPG($L12,$BR$3,"Au",BR$2, "Options:Curr=USD")),"NA")</f>
        <v>NA</v>
      </c>
      <c r="BS12" s="72" t="str">
        <f ca="1">IFERROR(AVERAGE(_xll.SNL.Clients.Office.Excel.Functions.SPG($L12,$BR$4,"Au",BS$2, "Options:Curr=USD"),_xll.SNL.Clients.Office.Excel.Functions.SPG($L12,$BR$3,"Au",BS$2, "Options:Curr=USD")),"NA")</f>
        <v>NA</v>
      </c>
      <c r="BT12" s="78" t="str">
        <f ca="1">IFERROR(AVERAGE(_xll.SNL.Clients.Office.Excel.Functions.SPG($L12,$BR$4,"Au",BT$2, "Options:Curr=USD"),_xll.SNL.Clients.Office.Excel.Functions.SPG($L12,$BR$3,"Au",BT$2, "Options:Curr=USD")),"NA")</f>
        <v>NA</v>
      </c>
      <c r="BV12" s="36" t="s">
        <v>88</v>
      </c>
      <c r="BW12" s="36"/>
      <c r="BX12" s="36" t="s">
        <v>89</v>
      </c>
      <c r="BY12" s="36"/>
    </row>
    <row r="13" spans="1:77" x14ac:dyDescent="0.25">
      <c r="E13" s="94"/>
      <c r="F13" s="94"/>
      <c r="G13" s="94"/>
      <c r="J13" s="95"/>
      <c r="K13" s="95"/>
      <c r="L13" s="95" t="s">
        <v>116</v>
      </c>
      <c r="M13" s="96" t="e">
        <f t="shared" ref="M13:X13" ca="1" si="30">AVERAGE(M5:M12)</f>
        <v>#NAME?</v>
      </c>
      <c r="N13" s="97" t="e">
        <f t="shared" ca="1" si="30"/>
        <v>#NAME?</v>
      </c>
      <c r="O13" s="98" t="e">
        <f t="shared" ca="1" si="30"/>
        <v>#NAME?</v>
      </c>
      <c r="P13" s="99" t="e">
        <f t="shared" ca="1" si="30"/>
        <v>#NAME?</v>
      </c>
      <c r="Q13" s="100" t="e">
        <f t="shared" ca="1" si="30"/>
        <v>#NAME?</v>
      </c>
      <c r="R13" s="100" t="e">
        <f t="shared" ca="1" si="30"/>
        <v>#NAME?</v>
      </c>
      <c r="S13" s="100" t="e">
        <f t="shared" ca="1" si="30"/>
        <v>#NAME?</v>
      </c>
      <c r="T13" s="97" t="e">
        <f t="shared" ca="1" si="30"/>
        <v>#NAME?</v>
      </c>
      <c r="U13" s="99" t="e">
        <f t="shared" ca="1" si="30"/>
        <v>#NAME?</v>
      </c>
      <c r="V13" s="98" t="e">
        <f t="shared" ca="1" si="30"/>
        <v>#NAME?</v>
      </c>
      <c r="W13" s="98" t="e">
        <f t="shared" ca="1" si="30"/>
        <v>#NAME?</v>
      </c>
      <c r="X13" s="99" t="e">
        <f t="shared" ca="1" si="30"/>
        <v>#NAME?</v>
      </c>
      <c r="Y13" s="98"/>
      <c r="Z13" s="98"/>
      <c r="AA13" s="101" t="e">
        <f ca="1">AVERAGE(AA5:AA12)</f>
        <v>#DIV/0!</v>
      </c>
      <c r="AB13" s="101" t="e">
        <f ca="1">AVERAGE(AB5:AB12)</f>
        <v>#DIV/0!</v>
      </c>
      <c r="AC13" s="101" t="e">
        <f ca="1">AVERAGE(AC5:AC12)</f>
        <v>#DIV/0!</v>
      </c>
      <c r="AM13" s="101" t="e">
        <f t="shared" ref="AM13:AR13" ca="1" si="31">AVERAGE(AM5:AM12)</f>
        <v>#NAME?</v>
      </c>
      <c r="AN13" s="101" t="e">
        <f t="shared" ca="1" si="31"/>
        <v>#NAME?</v>
      </c>
      <c r="AO13" s="101" t="e">
        <f t="shared" ca="1" si="31"/>
        <v>#NAME?</v>
      </c>
      <c r="AP13" s="102" t="e">
        <f t="shared" ca="1" si="31"/>
        <v>#DIV/0!</v>
      </c>
      <c r="AQ13" s="101" t="e">
        <f t="shared" ca="1" si="31"/>
        <v>#DIV/0!</v>
      </c>
      <c r="AR13" s="103" t="e">
        <f t="shared" ca="1" si="31"/>
        <v>#DIV/0!</v>
      </c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2" t="e">
        <f ca="1">AVERAGE(BK5:BK12)</f>
        <v>#DIV/0!</v>
      </c>
      <c r="BL13" s="101" t="e">
        <f ca="1">AVERAGE(BL5:BL12)</f>
        <v>#DIV/0!</v>
      </c>
      <c r="BM13" s="103" t="e">
        <f ca="1">AVERAGE(BM5:BM12)</f>
        <v>#DIV/0!</v>
      </c>
      <c r="BN13" s="101" t="e">
        <f t="shared" ref="BN13:BT13" ca="1" si="32">AVERAGE(BN5:BN12)</f>
        <v>#NAME?</v>
      </c>
      <c r="BO13" s="101" t="e">
        <f t="shared" ca="1" si="32"/>
        <v>#NAME?</v>
      </c>
      <c r="BP13" s="101" t="e">
        <f t="shared" ca="1" si="32"/>
        <v>#NAME?</v>
      </c>
      <c r="BQ13" s="105" t="e">
        <f t="shared" ca="1" si="32"/>
        <v>#NAME?</v>
      </c>
      <c r="BR13" s="101" t="e">
        <f t="shared" ca="1" si="32"/>
        <v>#DIV/0!</v>
      </c>
      <c r="BS13" s="101" t="e">
        <f t="shared" ca="1" si="32"/>
        <v>#DIV/0!</v>
      </c>
      <c r="BT13" s="105" t="e">
        <f t="shared" ca="1" si="32"/>
        <v>#DIV/0!</v>
      </c>
      <c r="BV13" s="36" t="s">
        <v>72</v>
      </c>
      <c r="BW13" s="36"/>
      <c r="BX13" s="36"/>
      <c r="BY13" s="36"/>
    </row>
    <row r="14" spans="1:77" ht="16.8" x14ac:dyDescent="0.25">
      <c r="A14" s="106"/>
      <c r="B14" s="106"/>
      <c r="C14" s="106"/>
      <c r="D14" s="106"/>
      <c r="E14" s="107"/>
      <c r="F14" s="107"/>
      <c r="G14" s="107"/>
      <c r="J14" s="50" t="s">
        <v>117</v>
      </c>
      <c r="K14" s="50"/>
      <c r="L14" s="51"/>
      <c r="M14" s="108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5"/>
      <c r="BN14" s="54"/>
      <c r="BO14" s="54"/>
      <c r="BP14" s="109"/>
      <c r="BQ14" s="54"/>
      <c r="BR14" s="54"/>
      <c r="BS14" s="54"/>
      <c r="BT14" s="54"/>
      <c r="BV14" s="36" t="s">
        <v>72</v>
      </c>
      <c r="BW14" s="36"/>
      <c r="BX14" s="36"/>
      <c r="BY14" s="36"/>
    </row>
    <row r="15" spans="1:77" ht="13.8" x14ac:dyDescent="0.25">
      <c r="A15" s="56" t="e">
        <f ca="1">_xll.SNL.Clients.Office.Excel.Functions.SPG($L15, A$3)</f>
        <v>#NAME?</v>
      </c>
      <c r="B15" s="56" t="e">
        <f ca="1">_xll.BDP($K15,B$3)</f>
        <v>#NAME?</v>
      </c>
      <c r="C15" s="56" t="e">
        <f ca="1">_xll.BDP($K15,C$3)</f>
        <v>#NAME?</v>
      </c>
      <c r="D15" s="56" t="e">
        <f ca="1">_xll.BDP($K15,D$3)</f>
        <v>#NAME?</v>
      </c>
      <c r="E15" s="57" t="s">
        <v>118</v>
      </c>
      <c r="F15" s="57" t="s">
        <v>83</v>
      </c>
      <c r="G15" s="57" t="s">
        <v>84</v>
      </c>
      <c r="H15" s="58" t="e">
        <f ca="1">_xll.SNL.Clients.Office.Excel.Functions.SPG($L15, "IQ_TEV", "Options: Curr=USD")</f>
        <v>#NAME?</v>
      </c>
      <c r="I15" s="58" t="e">
        <f ca="1">_xll.SNL.Clients.Office.Excel.Functions.SPG($L15, "SP_MARKETCAP", "Options: Curr=USD")</f>
        <v>#NAME?</v>
      </c>
      <c r="J15" s="59" t="s">
        <v>119</v>
      </c>
      <c r="K15" s="3" t="s">
        <v>120</v>
      </c>
      <c r="L15" s="3" t="s">
        <v>121</v>
      </c>
      <c r="M15" s="60" t="e" cm="1">
        <f t="array" aca="1" ref="M15" ca="1">_xll.SNL.Clients.Office.Excel.Functions.SPG($L15, $M$3)/100</f>
        <v>#NAME?</v>
      </c>
      <c r="N15" s="61" t="e" cm="1">
        <f t="array" aca="1" ref="N15" ca="1">_xll.SNL.Clients.Office.Excel.Functions.SPG($L15, "SP_PCFPS_FWD",N$2)</f>
        <v>#NAME?</v>
      </c>
      <c r="O15" s="62" t="e" cm="1">
        <f t="array" aca="1" ref="O15" ca="1">_xll.SNL.Clients.Office.Excel.Functions.SPG($L15, "SP_PCFPS_FWD",O$2)</f>
        <v>#NAME?</v>
      </c>
      <c r="P15" s="63" t="e" cm="1">
        <f t="array" aca="1" ref="P15" ca="1">_xll.SNL.Clients.Office.Excel.Functions.SPG($L15, "SP_PCFPS_FWD",P$2)</f>
        <v>#NAME?</v>
      </c>
      <c r="Q15" s="64" t="e">
        <f ca="1">_xll.SNL.Clients.Office.Excel.Functions.SPG($L15, "SP_FCF_EST",Q$2, "Options: Curr=USD")/1000/$I15</f>
        <v>#NAME?</v>
      </c>
      <c r="R15" s="64" t="e">
        <f ca="1">_xll.SNL.Clients.Office.Excel.Functions.SPG($L15, "SP_FCF_EST",R$2, "Options: Curr=USD")/1000/$I15</f>
        <v>#NAME?</v>
      </c>
      <c r="S15" s="64" t="e">
        <f ca="1">_xll.SNL.Clients.Office.Excel.Functions.SPG($L15, "SP_FCF_EST",S$2, "Options: Curr=USD")/1000/$I15</f>
        <v>#NAME?</v>
      </c>
      <c r="T15" s="61" t="e" cm="1">
        <f t="array" aca="1" ref="T15" ca="1">_xll.SNL.Clients.Office.Excel.Functions.SPG($L15, "SP_PE_FWD",T$2)</f>
        <v>#NAME?</v>
      </c>
      <c r="U15" s="63" t="e" cm="1">
        <f t="array" aca="1" ref="U15" ca="1">_xll.SNL.Clients.Office.Excel.Functions.SPG($L15, "SP_PE_FWD",U$2)</f>
        <v>#NAME?</v>
      </c>
      <c r="V15" s="66" t="e" cm="1">
        <f t="array" aca="1" ref="V15" ca="1">_xll.SNL.Clients.Office.Excel.Functions.SPG($L15, $V$3,V$2)</f>
        <v>#NAME?</v>
      </c>
      <c r="W15" s="67" t="e" cm="1">
        <f t="array" aca="1" ref="W15" ca="1">_xll.SNL.Clients.Office.Excel.Functions.SPG($L15, $V$3,W$2)</f>
        <v>#NAME?</v>
      </c>
      <c r="X15" s="68" t="e" cm="1">
        <f t="array" aca="1" ref="X15" ca="1">_xll.SNL.Clients.Office.Excel.Functions.SPG($L15, $V$3,X$2)</f>
        <v>#NAME?</v>
      </c>
      <c r="Y15" s="69" t="e" cm="1">
        <f t="array" aca="1" ref="Y15" ca="1">IF((_xll.SNL.Clients.Office.Excel.Functions.SPG($L15,Y$3,Y$4,"Options: Curr=USD") / _xll.SNL.Clients.Office.Excel.Functions.SPG($L15,"SP_EBITDA_EST",Y$2,"Options: Curr=USD")) &lt; 0, "NM", (_xll.SNL.Clients.Office.Excel.Functions.SPG($L15,Y$3,Y$4,"Options: Curr=USD") / _xll.SNL.Clients.Office.Excel.Functions.SPG($L15,"SP_EBITDA_EST",Y$2,"Options: Curr=USD")))</f>
        <v>#NAME?</v>
      </c>
      <c r="Z15" s="70" t="e" cm="1">
        <f t="array" aca="1" ref="Z15" ca="1">_xll.SNL.Clients.Office.Excel.Functions.SPG($L15, Z$3,Z$4)</f>
        <v>#NAME?</v>
      </c>
      <c r="AA15" s="71" t="str">
        <f ca="1">IFERROR(0.001*AVERAGE(_xll.SNL.Clients.Office.Excel.Functions.SPG($L15,$AA$4,"Au",AA$2),_xll.SNL.Clients.Office.Excel.Functions.SPG($L15,$AA$3,"Au",AA$2)),"NA")</f>
        <v>NA</v>
      </c>
      <c r="AB15" s="72" t="str">
        <f ca="1">IFERROR(0.001*AVERAGE(_xll.SNL.Clients.Office.Excel.Functions.SPG($L15,$AA$4,"Au",AB$2),_xll.SNL.Clients.Office.Excel.Functions.SPG($L15,$AA$3,"Au",AB$2)),"NA")</f>
        <v>NA</v>
      </c>
      <c r="AC15" s="73" t="str">
        <f ca="1">IFERROR(0.001*AVERAGE(_xll.SNL.Clients.Office.Excel.Functions.SPG($L15,$AA$4,"Au",AC$2),_xll.SNL.Clients.Office.Excel.Functions.SPG($L15,$AA$3,"Au",AC$2)),"NA")</f>
        <v>NA</v>
      </c>
      <c r="AD15" s="72" t="e">
        <f ca="1" xml:space="preserve"> IF(ISNUMBER(SEARCH("na",_xll.SNL.Clients.Office.Excel.Functions.SPG($L15, $AD$4, AD$2))), 0,_xll.SNL.Clients.Office.Excel.Functions.SPG($L15, $AD$4, AD$2))</f>
        <v>#NAME?</v>
      </c>
      <c r="AE15" s="72" t="e">
        <f ca="1" xml:space="preserve"> IF(ISNUMBER(SEARCH("na",_xll.SNL.Clients.Office.Excel.Functions.SPG($L15, $AD$4, AE$2))), 0,_xll.SNL.Clients.Office.Excel.Functions.SPG($L15, $AD$4, AE$2))</f>
        <v>#NAME?</v>
      </c>
      <c r="AF15" s="72" t="e">
        <f ca="1" xml:space="preserve"> IF(ISNUMBER(SEARCH("na",_xll.SNL.Clients.Office.Excel.Functions.SPG($L15, $AD$4, AF$2))), 0,_xll.SNL.Clients.Office.Excel.Functions.SPG($L15, $AD$4, AF$2))</f>
        <v>#NAME?</v>
      </c>
      <c r="AG15" s="72" t="e">
        <f ca="1" xml:space="preserve"> IF(ISNUMBER(SEARCH("na",_xll.SNL.Clients.Office.Excel.Functions.SPG($L15, $AG$4, AG$2))), 0,_xll.SNL.Clients.Office.Excel.Functions.SPG($L15, $AG$4, AG$2))</f>
        <v>#NAME?</v>
      </c>
      <c r="AH15" s="72" t="e">
        <f ca="1" xml:space="preserve"> IF(ISNUMBER(SEARCH("na",_xll.SNL.Clients.Office.Excel.Functions.SPG($L15, $AG$4, AH$2))), 0,_xll.SNL.Clients.Office.Excel.Functions.SPG($L15, $AG$4, AH$2))</f>
        <v>#NAME?</v>
      </c>
      <c r="AI15" s="72" t="e">
        <f ca="1" xml:space="preserve"> IF(ISNUMBER(SEARCH("na",_xll.SNL.Clients.Office.Excel.Functions.SPG($L15, $AG$4, AI$2))), 0,_xll.SNL.Clients.Office.Excel.Functions.SPG($L15, $AG$4, AI$2))</f>
        <v>#NAME?</v>
      </c>
      <c r="AJ15" s="72" t="e">
        <f ca="1" xml:space="preserve"> IF(ISNUMBER(SEARCH("na",_xll.SNL.Clients.Office.Excel.Functions.SPG($L15, $AJ$4, AJ$2))), 0,_xll.SNL.Clients.Office.Excel.Functions.SPG($L15, $AJ$4, AJ$2))</f>
        <v>#NAME?</v>
      </c>
      <c r="AK15" s="72" t="e">
        <f ca="1" xml:space="preserve"> IF(ISNUMBER(SEARCH("na",_xll.SNL.Clients.Office.Excel.Functions.SPG($L15, $AJ$4, AK$2))), 0,_xll.SNL.Clients.Office.Excel.Functions.SPG($L15, $AJ$4, AK$2))</f>
        <v>#NAME?</v>
      </c>
      <c r="AL15" s="72" t="e">
        <f ca="1" xml:space="preserve"> IF(ISNUMBER(SEARCH("na",_xll.SNL.Clients.Office.Excel.Functions.SPG($L15, $AJ$4, AL$2))), 0,_xll.SNL.Clients.Office.Excel.Functions.SPG($L15, $AJ$4, AL$2))</f>
        <v>#NAME?</v>
      </c>
      <c r="AM15" s="72" t="e">
        <f t="shared" ref="AM15:AM37" ca="1" si="33">AD15+AG15*agprice/auprice+AJ15*cuprice/auprice</f>
        <v>#NAME?</v>
      </c>
      <c r="AN15" s="72" t="e">
        <f t="shared" ref="AN15:AN37" ca="1" si="34">AE15+AH15*agprice/auprice+AK15*cuprice/auprice</f>
        <v>#NAME?</v>
      </c>
      <c r="AO15" s="72" t="e">
        <f t="shared" ref="AO15:AO37" ca="1" si="35">AF15+AI15*agprice/auprice+AL15*cuprice/auprice</f>
        <v>#NAME?</v>
      </c>
      <c r="AP15" s="74" t="str">
        <f ca="1">IFERROR($H15/AM15*1000,"NA")</f>
        <v>NA</v>
      </c>
      <c r="AQ15" s="75" t="str">
        <f ca="1">IFERROR($H15/AN15*1000,"NA")</f>
        <v>NA</v>
      </c>
      <c r="AR15" s="85" t="str">
        <f ca="1">IFERROR($H15/AO15*1000,"NA")</f>
        <v>NA</v>
      </c>
      <c r="AS15" s="72">
        <f ca="1">IFERROR(_xll.SNL.Clients.Office.Excel.Functions.SPG($L15, $AS$3, AS$2,$AS$4)/1000,0)</f>
        <v>0</v>
      </c>
      <c r="AT15" s="72">
        <f ca="1">IFERROR(_xll.SNL.Clients.Office.Excel.Functions.SPG($L15, $AS$3, AT$2,$AS$4)/1000,0)</f>
        <v>0</v>
      </c>
      <c r="AU15" s="72">
        <f ca="1">IFERROR(_xll.SNL.Clients.Office.Excel.Functions.SPG($L15, $AV$3, AU$2,$AS$4)/1000,0)</f>
        <v>0</v>
      </c>
      <c r="AV15" s="72">
        <f ca="1">IFERROR(_xll.SNL.Clients.Office.Excel.Functions.SPG($L15, $AV$3, AV$2,$AS$4)/1000,0)</f>
        <v>0</v>
      </c>
      <c r="AW15" s="72">
        <f ca="1">IFERROR(_xll.SNL.Clients.Office.Excel.Functions.SPG($L15, $AV$3, AW$2,$AS$4)/1000,0)</f>
        <v>0</v>
      </c>
      <c r="AX15" s="72">
        <f ca="1">IFERROR(_xll.SNL.Clients.Office.Excel.Functions.SPG($L15, $AX$3, AX$2,$AS$4)/1000,0)</f>
        <v>0</v>
      </c>
      <c r="AY15" s="72">
        <f ca="1">IFERROR(_xll.SNL.Clients.Office.Excel.Functions.SPG($L15, $AX$3, AY$2,$AS$4)/1000,0)</f>
        <v>0</v>
      </c>
      <c r="AZ15" s="72">
        <f ca="1">IFERROR(_xll.SNL.Clients.Office.Excel.Functions.SPG($L15, $BA$3, AZ$2,$AS$4)/1000,0)</f>
        <v>0</v>
      </c>
      <c r="BA15" s="72">
        <f ca="1">IFERROR(_xll.SNL.Clients.Office.Excel.Functions.SPG($L15, $BA$3, BA$2,$AS$4)/1000,0)</f>
        <v>0</v>
      </c>
      <c r="BB15" s="72">
        <f ca="1">IFERROR(_xll.SNL.Clients.Office.Excel.Functions.SPG($L15, $BA$3, BB$2,$AS$4)/1000,0)</f>
        <v>0</v>
      </c>
      <c r="BC15" s="72">
        <f ca="1">IFERROR(_xll.SNL.Clients.Office.Excel.Functions.SPG($L15, $BC$3, BC$2,$AS$4)/1000,0)</f>
        <v>0</v>
      </c>
      <c r="BD15" s="72">
        <f ca="1">IFERROR(_xll.SNL.Clients.Office.Excel.Functions.SPG($L15, $BC$3, BD$2,$AS$4)/1000,0)</f>
        <v>0</v>
      </c>
      <c r="BE15" s="72">
        <f ca="1">IFERROR(_xll.SNL.Clients.Office.Excel.Functions.SPG($L15, $BF$3, BE$2,$AS$4)/1000,0)</f>
        <v>0</v>
      </c>
      <c r="BF15" s="72">
        <f ca="1">IFERROR(_xll.SNL.Clients.Office.Excel.Functions.SPG($L15, $BF$3, BF$2,$AS$4)/1000,0)</f>
        <v>0</v>
      </c>
      <c r="BG15" s="72">
        <f ca="1">IFERROR(_xll.SNL.Clients.Office.Excel.Functions.SPG($L15, $BF$3, BG$2,$AS$4)/1000,0)</f>
        <v>0</v>
      </c>
      <c r="BH15" s="72">
        <f t="shared" ref="BH15:BH37" ca="1" si="36">AS15+AT15*agprice/auprice+AU15*cuprice/auprice+AV15*znprice/auprice+AW15*pbprice/auprice</f>
        <v>0</v>
      </c>
      <c r="BI15" s="72">
        <f t="shared" ref="BI15:BI37" ca="1" si="37">AX15+AY15*agprice/auprice+AZ15*cuprice/auprice+BA15*znprice/auprice+BB15*pbprice/auprice+BH15</f>
        <v>0</v>
      </c>
      <c r="BJ15" s="72">
        <f t="shared" ref="BJ15:BJ37" ca="1" si="38">BC15+BD15*agprice/auprice+BE15*cuprice/auprice+BF15*znprice/auprice+BG15*pbprice/auprice+BH15</f>
        <v>0</v>
      </c>
      <c r="BK15" s="77" t="str">
        <f t="shared" ref="BK15:BM30" ca="1" si="39">IFERROR($H15*1000/BH15,"NA")</f>
        <v>NA</v>
      </c>
      <c r="BL15" s="72" t="str">
        <f t="shared" ca="1" si="39"/>
        <v>NA</v>
      </c>
      <c r="BM15" s="78" t="str">
        <f t="shared" ca="1" si="39"/>
        <v>NA</v>
      </c>
      <c r="BN15" s="72" t="e">
        <f ca="1">_xll.SNL.Clients.Office.Excel.Functions.SPG($L15, $BN$3, BN$2, "Au", "Options:Curr=USD")</f>
        <v>#NAME?</v>
      </c>
      <c r="BO15" s="72" t="e">
        <f ca="1">_xll.SNL.Clients.Office.Excel.Functions.SPG($L15, $BN$3, BO$2, "Au", "Options:Curr=USD")</f>
        <v>#NAME?</v>
      </c>
      <c r="BP15" s="79" t="e">
        <f ca="1">_xll.SNL.Clients.Office.Excel.Functions.SPG($L15, $BN$3, BP$2, "Au", "Options:Curr=USD")</f>
        <v>#NAME?</v>
      </c>
      <c r="BQ15" s="78" t="e">
        <f ca="1">_xll.SNL.Clients.Office.Excel.Functions.SPG($L15, $BN$3, BQ$2, "Au", "Options:Curr=USD")</f>
        <v>#NAME?</v>
      </c>
      <c r="BR15" s="72" t="str">
        <f ca="1">IFERROR(AVERAGE(_xll.SNL.Clients.Office.Excel.Functions.SPG($L15,$BR$4,"Au",BR$2, "Options:Curr=USD"),_xll.SNL.Clients.Office.Excel.Functions.SPG($L15,$BR$3,"Au",BR$2, "Options:Curr=USD")),"NA")</f>
        <v>NA</v>
      </c>
      <c r="BS15" s="72" t="str">
        <f ca="1">IFERROR(AVERAGE(_xll.SNL.Clients.Office.Excel.Functions.SPG($L15,$BR$4,"Au",BS$2, "Options:Curr=USD"),_xll.SNL.Clients.Office.Excel.Functions.SPG($L15,$BR$3,"Au",BS$2, "Options:Curr=USD")),"NA")</f>
        <v>NA</v>
      </c>
      <c r="BT15" s="73" t="str">
        <f ca="1">IFERROR(AVERAGE(_xll.SNL.Clients.Office.Excel.Functions.SPG($L15,$BR$4,"Au",BT$2, "Options:Curr=USD"),_xll.SNL.Clients.Office.Excel.Functions.SPG($L15,$BR$3,"Au",BT$2, "Options:Curr=USD")),"NA")</f>
        <v>NA</v>
      </c>
      <c r="BV15" s="36" t="s">
        <v>88</v>
      </c>
      <c r="BW15" s="36" t="s">
        <v>122</v>
      </c>
      <c r="BX15" s="36" t="s">
        <v>89</v>
      </c>
      <c r="BY15" s="36"/>
    </row>
    <row r="16" spans="1:77" ht="13.8" x14ac:dyDescent="0.25">
      <c r="A16" s="110" t="e">
        <f ca="1">_xll.SNL.Clients.Office.Excel.Functions.SPG($L16, A$3)</f>
        <v>#NAME?</v>
      </c>
      <c r="B16" s="56" t="e">
        <f ca="1">_xll.BDP($K16,B$3)</f>
        <v>#NAME?</v>
      </c>
      <c r="C16" s="56" t="e">
        <f ca="1">_xll.BDP($K16,C$3)</f>
        <v>#NAME?</v>
      </c>
      <c r="D16" s="56" t="e">
        <f ca="1">_xll.BDP($K16,D$3)</f>
        <v>#NAME?</v>
      </c>
      <c r="E16" s="57" t="s">
        <v>94</v>
      </c>
      <c r="F16" s="57" t="s">
        <v>83</v>
      </c>
      <c r="G16" s="57" t="s">
        <v>84</v>
      </c>
      <c r="H16" s="58" t="e">
        <f ca="1">_xll.SNL.Clients.Office.Excel.Functions.SPG($L16, "IQ_TEV", "Options: Curr=USD")</f>
        <v>#NAME?</v>
      </c>
      <c r="I16" s="58" t="e">
        <f ca="1">_xll.SNL.Clients.Office.Excel.Functions.SPG($L16, "SP_MARKETCAP", "Options: Curr=USD")</f>
        <v>#NAME?</v>
      </c>
      <c r="J16" s="59" t="s">
        <v>123</v>
      </c>
      <c r="K16" s="3" t="s">
        <v>124</v>
      </c>
      <c r="L16" s="3" t="s">
        <v>125</v>
      </c>
      <c r="M16" s="60" t="e" cm="1">
        <f t="array" aca="1" ref="M16" ca="1">_xll.SNL.Clients.Office.Excel.Functions.SPG($L16, $M$3)/100</f>
        <v>#NAME?</v>
      </c>
      <c r="N16" s="61" t="e" cm="1">
        <f t="array" aca="1" ref="N16" ca="1">_xll.SNL.Clients.Office.Excel.Functions.SPG($L16, "SP_PCFPS_FWD",N$2)</f>
        <v>#NAME?</v>
      </c>
      <c r="O16" s="62" t="e" cm="1">
        <f t="array" aca="1" ref="O16" ca="1">_xll.SNL.Clients.Office.Excel.Functions.SPG($L16, "SP_PCFPS_FWD",O$2)</f>
        <v>#NAME?</v>
      </c>
      <c r="P16" s="63" t="e" cm="1">
        <f t="array" aca="1" ref="P16" ca="1">_xll.SNL.Clients.Office.Excel.Functions.SPG($L16, "SP_PCFPS_FWD",P$2)</f>
        <v>#NAME?</v>
      </c>
      <c r="Q16" s="64" t="e">
        <f ca="1">_xll.SNL.Clients.Office.Excel.Functions.SPG($L16, "SP_FCF_EST",Q$2, "Options: Curr=USD")/1000/$I16</f>
        <v>#NAME?</v>
      </c>
      <c r="R16" s="64" t="e">
        <f ca="1">_xll.SNL.Clients.Office.Excel.Functions.SPG($L16, "SP_FCF_EST",R$2, "Options: Curr=USD")/1000/$I16</f>
        <v>#NAME?</v>
      </c>
      <c r="S16" s="64" t="e">
        <f ca="1">_xll.SNL.Clients.Office.Excel.Functions.SPG($L16, "SP_FCF_EST",S$2, "Options: Curr=USD")/1000/$I16</f>
        <v>#NAME?</v>
      </c>
      <c r="T16" s="61" t="e" cm="1">
        <f t="array" aca="1" ref="T16" ca="1">_xll.SNL.Clients.Office.Excel.Functions.SPG($L16, "SP_PE_FWD",T$2)</f>
        <v>#NAME?</v>
      </c>
      <c r="U16" s="63" t="e" cm="1">
        <f t="array" aca="1" ref="U16" ca="1">_xll.SNL.Clients.Office.Excel.Functions.SPG($L16, "SP_PE_FWD",U$2)</f>
        <v>#NAME?</v>
      </c>
      <c r="V16" s="80" t="e" cm="1">
        <f t="array" aca="1" ref="V16" ca="1">_xll.SNL.Clients.Office.Excel.Functions.SPG($L16, $V$3,V$2)</f>
        <v>#NAME?</v>
      </c>
      <c r="W16" s="81" t="e" cm="1">
        <f t="array" aca="1" ref="W16" ca="1">_xll.SNL.Clients.Office.Excel.Functions.SPG($L16, $V$3,W$2)</f>
        <v>#NAME?</v>
      </c>
      <c r="X16" s="82" t="e" cm="1">
        <f t="array" aca="1" ref="X16" ca="1">_xll.SNL.Clients.Office.Excel.Functions.SPG($L16, $V$3,X$2)</f>
        <v>#NAME?</v>
      </c>
      <c r="Y16" s="69" t="e" cm="1">
        <f t="array" aca="1" ref="Y16" ca="1">IF((_xll.SNL.Clients.Office.Excel.Functions.SPG($L16,Y$3,Y$4,"Options: Curr=USD") / _xll.SNL.Clients.Office.Excel.Functions.SPG($L16,"SP_EBITDA_EST",Y$2,"Options: Curr=USD")) &lt; 0, "NM", (_xll.SNL.Clients.Office.Excel.Functions.SPG($L16,Y$3,Y$4,"Options: Curr=USD") / _xll.SNL.Clients.Office.Excel.Functions.SPG($L16,"SP_EBITDA_EST",Y$2,"Options: Curr=USD")))</f>
        <v>#NAME?</v>
      </c>
      <c r="Z16" s="70" t="e" cm="1">
        <f t="array" aca="1" ref="Z16" ca="1">_xll.SNL.Clients.Office.Excel.Functions.SPG($L16, Z$3,Z$4)</f>
        <v>#NAME?</v>
      </c>
      <c r="AA16" s="77" t="str">
        <f ca="1">IFERROR(0.001*AVERAGE(_xll.SNL.Clients.Office.Excel.Functions.SPG($L16,$AA$4,"Au",AA$2),_xll.SNL.Clients.Office.Excel.Functions.SPG($L16,$AA$3,"Au",AA$2)),"NA")</f>
        <v>NA</v>
      </c>
      <c r="AB16" s="72" t="str">
        <f ca="1">IFERROR(0.001*AVERAGE(_xll.SNL.Clients.Office.Excel.Functions.SPG($L16,$AA$4,"Au",AB$2),_xll.SNL.Clients.Office.Excel.Functions.SPG($L16,$AA$3,"Au",AB$2)),"NA")</f>
        <v>NA</v>
      </c>
      <c r="AC16" s="78" t="str">
        <f ca="1">IFERROR(0.001*AVERAGE(_xll.SNL.Clients.Office.Excel.Functions.SPG($L16,$AA$4,"Au",AC$2),_xll.SNL.Clients.Office.Excel.Functions.SPG($L16,$AA$3,"Au",AC$2)),"NA")</f>
        <v>NA</v>
      </c>
      <c r="AD16" s="72" t="e">
        <f ca="1" xml:space="preserve"> IF(ISNUMBER(SEARCH("na",_xll.SNL.Clients.Office.Excel.Functions.SPG($L16, $AD$4, AD$2))), 0,_xll.SNL.Clients.Office.Excel.Functions.SPG($L16, $AD$4, AD$2))</f>
        <v>#NAME?</v>
      </c>
      <c r="AE16" s="72" t="e">
        <f ca="1" xml:space="preserve"> IF(ISNUMBER(SEARCH("na",_xll.SNL.Clients.Office.Excel.Functions.SPG($L16, $AD$4, AE$2))), 0,_xll.SNL.Clients.Office.Excel.Functions.SPG($L16, $AD$4, AE$2))</f>
        <v>#NAME?</v>
      </c>
      <c r="AF16" s="72" t="e">
        <f ca="1" xml:space="preserve"> IF(ISNUMBER(SEARCH("na",_xll.SNL.Clients.Office.Excel.Functions.SPG($L16, $AD$4, AF$2))), 0,_xll.SNL.Clients.Office.Excel.Functions.SPG($L16, $AD$4, AF$2))</f>
        <v>#NAME?</v>
      </c>
      <c r="AG16" s="72" t="e">
        <f ca="1" xml:space="preserve"> IF(ISNUMBER(SEARCH("na",_xll.SNL.Clients.Office.Excel.Functions.SPG($L16, $AG$4, AG$2))), 0,_xll.SNL.Clients.Office.Excel.Functions.SPG($L16, $AG$4, AG$2))</f>
        <v>#NAME?</v>
      </c>
      <c r="AH16" s="72" t="e">
        <f ca="1" xml:space="preserve"> IF(ISNUMBER(SEARCH("na",_xll.SNL.Clients.Office.Excel.Functions.SPG($L16, $AG$4, AH$2))), 0,_xll.SNL.Clients.Office.Excel.Functions.SPG($L16, $AG$4, AH$2))</f>
        <v>#NAME?</v>
      </c>
      <c r="AI16" s="72" t="e">
        <f ca="1" xml:space="preserve"> IF(ISNUMBER(SEARCH("na",_xll.SNL.Clients.Office.Excel.Functions.SPG($L16, $AG$4, AI$2))), 0,_xll.SNL.Clients.Office.Excel.Functions.SPG($L16, $AG$4, AI$2))</f>
        <v>#NAME?</v>
      </c>
      <c r="AJ16" s="72" t="e">
        <f ca="1" xml:space="preserve"> IF(ISNUMBER(SEARCH("na",_xll.SNL.Clients.Office.Excel.Functions.SPG($L16, $AJ$4, AJ$2))), 0,_xll.SNL.Clients.Office.Excel.Functions.SPG($L16, $AJ$4, AJ$2))</f>
        <v>#NAME?</v>
      </c>
      <c r="AK16" s="72" t="e">
        <f ca="1" xml:space="preserve"> IF(ISNUMBER(SEARCH("na",_xll.SNL.Clients.Office.Excel.Functions.SPG($L16, $AJ$4, AK$2))), 0,_xll.SNL.Clients.Office.Excel.Functions.SPG($L16, $AJ$4, AK$2))</f>
        <v>#NAME?</v>
      </c>
      <c r="AL16" s="72" t="e">
        <f ca="1" xml:space="preserve"> IF(ISNUMBER(SEARCH("na",_xll.SNL.Clients.Office.Excel.Functions.SPG($L16, $AJ$4, AL$2))), 0,_xll.SNL.Clients.Office.Excel.Functions.SPG($L16, $AJ$4, AL$2))</f>
        <v>#NAME?</v>
      </c>
      <c r="AM16" s="72" t="e">
        <f t="shared" ref="AM16:AM38" ca="1" si="40">AD16+AG16*agprice/auprice+AJ16*cuprice/auprice</f>
        <v>#NAME?</v>
      </c>
      <c r="AN16" s="72" t="e">
        <f t="shared" ref="AN16:AN38" ca="1" si="41">AE16+AH16*agprice/auprice+AK16*cuprice/auprice</f>
        <v>#NAME?</v>
      </c>
      <c r="AO16" s="72" t="e">
        <f t="shared" ref="AO16:AO38" ca="1" si="42">AF16+AI16*agprice/auprice+AL16*cuprice/auprice</f>
        <v>#NAME?</v>
      </c>
      <c r="AP16" s="83" t="str">
        <f t="shared" ref="AP16:AR37" ca="1" si="43">IFERROR($H16/AM16*1000,"NA")</f>
        <v>NA</v>
      </c>
      <c r="AQ16" s="84" t="str">
        <f t="shared" ca="1" si="43"/>
        <v>NA</v>
      </c>
      <c r="AR16" s="85" t="str">
        <f t="shared" ca="1" si="43"/>
        <v>NA</v>
      </c>
      <c r="AS16" s="72">
        <f ca="1">IFERROR(_xll.SNL.Clients.Office.Excel.Functions.SPG($L16, $AS$3, AS$2,$AS$4)/1000,0)</f>
        <v>0</v>
      </c>
      <c r="AT16" s="72">
        <f ca="1">IFERROR(_xll.SNL.Clients.Office.Excel.Functions.SPG($L16, $AS$3, AT$2,$AS$4)/1000,0)</f>
        <v>0</v>
      </c>
      <c r="AU16" s="72">
        <f ca="1">IFERROR(_xll.SNL.Clients.Office.Excel.Functions.SPG($L16, $AV$3, AU$2,$AS$4)/1000,0)</f>
        <v>0</v>
      </c>
      <c r="AV16" s="72">
        <f ca="1">IFERROR(_xll.SNL.Clients.Office.Excel.Functions.SPG($L16, $AV$3, AV$2,$AS$4)/1000,0)</f>
        <v>0</v>
      </c>
      <c r="AW16" s="72">
        <f ca="1">IFERROR(_xll.SNL.Clients.Office.Excel.Functions.SPG($L16, $AV$3, AW$2,$AS$4)/1000,0)</f>
        <v>0</v>
      </c>
      <c r="AX16" s="72">
        <f ca="1">IFERROR(_xll.SNL.Clients.Office.Excel.Functions.SPG($L16, $AX$3, AX$2,$AS$4)/1000,0)</f>
        <v>0</v>
      </c>
      <c r="AY16" s="72">
        <f ca="1">IFERROR(_xll.SNL.Clients.Office.Excel.Functions.SPG($L16, $AX$3, AY$2,$AS$4)/1000,0)</f>
        <v>0</v>
      </c>
      <c r="AZ16" s="72">
        <f ca="1">IFERROR(_xll.SNL.Clients.Office.Excel.Functions.SPG($L16, $BA$3, AZ$2,$AS$4)/1000,0)</f>
        <v>0</v>
      </c>
      <c r="BA16" s="72">
        <f ca="1">IFERROR(_xll.SNL.Clients.Office.Excel.Functions.SPG($L16, $BA$3, BA$2,$AS$4)/1000,0)</f>
        <v>0</v>
      </c>
      <c r="BB16" s="72">
        <f ca="1">IFERROR(_xll.SNL.Clients.Office.Excel.Functions.SPG($L16, $BA$3, BB$2,$AS$4)/1000,0)</f>
        <v>0</v>
      </c>
      <c r="BC16" s="72">
        <f ca="1">IFERROR(_xll.SNL.Clients.Office.Excel.Functions.SPG($L16, $BC$3, BC$2,$AS$4)/1000,0)</f>
        <v>0</v>
      </c>
      <c r="BD16" s="72">
        <f ca="1">IFERROR(_xll.SNL.Clients.Office.Excel.Functions.SPG($L16, $BC$3, BD$2,$AS$4)/1000,0)</f>
        <v>0</v>
      </c>
      <c r="BE16" s="72">
        <f ca="1">IFERROR(_xll.SNL.Clients.Office.Excel.Functions.SPG($L16, $BF$3, BE$2,$AS$4)/1000,0)</f>
        <v>0</v>
      </c>
      <c r="BF16" s="72">
        <f ca="1">IFERROR(_xll.SNL.Clients.Office.Excel.Functions.SPG($L16, $BF$3, BF$2,$AS$4)/1000,0)</f>
        <v>0</v>
      </c>
      <c r="BG16" s="72">
        <f ca="1">IFERROR(_xll.SNL.Clients.Office.Excel.Functions.SPG($L16, $BF$3, BG$2,$AS$4)/1000,0)</f>
        <v>0</v>
      </c>
      <c r="BH16" s="72">
        <f t="shared" ref="BH16:BH38" ca="1" si="44">AS16+AT16*agprice/auprice+AU16*cuprice/auprice+AV16*znprice/auprice+AW16*pbprice/auprice</f>
        <v>0</v>
      </c>
      <c r="BI16" s="72">
        <f t="shared" ref="BI16:BI38" ca="1" si="45">AX16+AY16*agprice/auprice+AZ16*cuprice/auprice+BA16*znprice/auprice+BB16*pbprice/auprice+BH16</f>
        <v>0</v>
      </c>
      <c r="BJ16" s="72">
        <f t="shared" ref="BJ16:BJ38" ca="1" si="46">BC16+BD16*agprice/auprice+BE16*cuprice/auprice+BF16*znprice/auprice+BG16*pbprice/auprice+BH16</f>
        <v>0</v>
      </c>
      <c r="BK16" s="77" t="str">
        <f t="shared" ca="1" si="39"/>
        <v>NA</v>
      </c>
      <c r="BL16" s="72" t="str">
        <f t="shared" ca="1" si="39"/>
        <v>NA</v>
      </c>
      <c r="BM16" s="78" t="str">
        <f t="shared" ca="1" si="39"/>
        <v>NA</v>
      </c>
      <c r="BN16" s="72" t="e">
        <f ca="1">_xll.SNL.Clients.Office.Excel.Functions.SPG($L16, $BN$3, BN$2, "Au", "Options:Curr=USD")</f>
        <v>#NAME?</v>
      </c>
      <c r="BO16" s="72" t="e">
        <f ca="1">_xll.SNL.Clients.Office.Excel.Functions.SPG($L16, $BN$3, BO$2, "Au", "Options:Curr=USD")</f>
        <v>#NAME?</v>
      </c>
      <c r="BP16" s="72" t="e">
        <f ca="1">_xll.SNL.Clients.Office.Excel.Functions.SPG($L16, $BN$3, BP$2, "Au", "Options:Curr=USD")</f>
        <v>#NAME?</v>
      </c>
      <c r="BQ16" s="78" t="e">
        <f ca="1">_xll.SNL.Clients.Office.Excel.Functions.SPG($L16, $BN$3, BQ$2, "Au", "Options:Curr=USD")</f>
        <v>#NAME?</v>
      </c>
      <c r="BR16" s="72" t="str">
        <f ca="1">IFERROR(AVERAGE(_xll.SNL.Clients.Office.Excel.Functions.SPG($L16,$BR$4,"Au",BR$2, "Options:Curr=USD"),_xll.SNL.Clients.Office.Excel.Functions.SPG($L16,$BR$3,"Au",BR$2, "Options:Curr=USD")),"NA")</f>
        <v>NA</v>
      </c>
      <c r="BS16" s="72" t="str">
        <f ca="1">IFERROR(AVERAGE(_xll.SNL.Clients.Office.Excel.Functions.SPG($L16,$BR$4,"Au",BS$2, "Options:Curr=USD"),_xll.SNL.Clients.Office.Excel.Functions.SPG($L16,$BR$3,"Au",BS$2, "Options:Curr=USD")),"NA")</f>
        <v>NA</v>
      </c>
      <c r="BT16" s="78" t="str">
        <f ca="1">IFERROR(AVERAGE(_xll.SNL.Clients.Office.Excel.Functions.SPG($L16,$BR$4,"Au",BT$2, "Options:Curr=USD"),_xll.SNL.Clients.Office.Excel.Functions.SPG($L16,$BR$3,"Au",BT$2, "Options:Curr=USD")),"NA")</f>
        <v>NA</v>
      </c>
      <c r="BV16" s="36" t="s">
        <v>88</v>
      </c>
      <c r="BW16" s="36"/>
      <c r="BX16" s="36" t="s">
        <v>89</v>
      </c>
      <c r="BY16" s="36"/>
    </row>
    <row r="17" spans="1:77" ht="13.8" x14ac:dyDescent="0.25">
      <c r="A17" s="56" t="e">
        <f ca="1">_xll.SNL.Clients.Office.Excel.Functions.SPG($L17, A$3)</f>
        <v>#NAME?</v>
      </c>
      <c r="B17" s="56" t="e">
        <f ca="1">_xll.BDP($K17,B$3)</f>
        <v>#NAME?</v>
      </c>
      <c r="C17" s="56" t="e">
        <f ca="1">_xll.BDP($K17,C$3)</f>
        <v>#NAME?</v>
      </c>
      <c r="D17" s="56" t="e">
        <f ca="1">_xll.BDP($K17,D$3)</f>
        <v>#NAME?</v>
      </c>
      <c r="E17" s="57" t="s">
        <v>94</v>
      </c>
      <c r="F17" s="57" t="s">
        <v>83</v>
      </c>
      <c r="G17" s="57" t="s">
        <v>84</v>
      </c>
      <c r="H17" s="58" t="e">
        <f ca="1">_xll.SNL.Clients.Office.Excel.Functions.SPG($L17, "IQ_TEV", "Options: Curr=USD")</f>
        <v>#NAME?</v>
      </c>
      <c r="I17" s="58" t="e">
        <f ca="1">_xll.SNL.Clients.Office.Excel.Functions.SPG($L17, "SP_MARKETCAP", "Options: Curr=USD")</f>
        <v>#NAME?</v>
      </c>
      <c r="J17" s="59" t="s">
        <v>126</v>
      </c>
      <c r="K17" s="3" t="s">
        <v>127</v>
      </c>
      <c r="L17" s="3" t="s">
        <v>128</v>
      </c>
      <c r="M17" s="60" t="e" cm="1">
        <f t="array" aca="1" ref="M17" ca="1">_xll.SNL.Clients.Office.Excel.Functions.SPG($L17, $M$3)/100</f>
        <v>#NAME?</v>
      </c>
      <c r="N17" s="61" t="e" cm="1">
        <f t="array" aca="1" ref="N17" ca="1">_xll.SNL.Clients.Office.Excel.Functions.SPG($L17, "SP_PCFPS_FWD",N$2)</f>
        <v>#NAME?</v>
      </c>
      <c r="O17" s="62" t="e" cm="1">
        <f t="array" aca="1" ref="O17" ca="1">_xll.SNL.Clients.Office.Excel.Functions.SPG($L17, "SP_PCFPS_FWD",O$2)</f>
        <v>#NAME?</v>
      </c>
      <c r="P17" s="63" t="e" cm="1">
        <f t="array" aca="1" ref="P17" ca="1">_xll.SNL.Clients.Office.Excel.Functions.SPG($L17, "SP_PCFPS_FWD",P$2)</f>
        <v>#NAME?</v>
      </c>
      <c r="Q17" s="64" t="e">
        <f ca="1">_xll.SNL.Clients.Office.Excel.Functions.SPG($L17, "SP_FCF_EST",Q$2, "Options: Curr=USD")/1000/$I17</f>
        <v>#NAME?</v>
      </c>
      <c r="R17" s="64" t="e">
        <f ca="1">_xll.SNL.Clients.Office.Excel.Functions.SPG($L17, "SP_FCF_EST",R$2, "Options: Curr=USD")/1000/$I17</f>
        <v>#NAME?</v>
      </c>
      <c r="S17" s="64" t="e">
        <f ca="1">_xll.SNL.Clients.Office.Excel.Functions.SPG($L17, "SP_FCF_EST",S$2, "Options: Curr=USD")/1000/$I17</f>
        <v>#NAME?</v>
      </c>
      <c r="T17" s="61" t="e" cm="1">
        <f t="array" aca="1" ref="T17" ca="1">_xll.SNL.Clients.Office.Excel.Functions.SPG($L17, "SP_PE_FWD",T$2)</f>
        <v>#NAME?</v>
      </c>
      <c r="U17" s="63" t="e" cm="1">
        <f t="array" aca="1" ref="U17" ca="1">_xll.SNL.Clients.Office.Excel.Functions.SPG($L17, "SP_PE_FWD",U$2)</f>
        <v>#NAME?</v>
      </c>
      <c r="V17" s="80" t="e" cm="1">
        <f t="array" aca="1" ref="V17" ca="1">_xll.SNL.Clients.Office.Excel.Functions.SPG($L17, $V$3,V$2)</f>
        <v>#NAME?</v>
      </c>
      <c r="W17" s="81" t="e" cm="1">
        <f t="array" aca="1" ref="W17" ca="1">_xll.SNL.Clients.Office.Excel.Functions.SPG($L17, $V$3,W$2)</f>
        <v>#NAME?</v>
      </c>
      <c r="X17" s="82" t="e" cm="1">
        <f t="array" aca="1" ref="X17" ca="1">_xll.SNL.Clients.Office.Excel.Functions.SPG($L17, $V$3,X$2)</f>
        <v>#NAME?</v>
      </c>
      <c r="Y17" s="69" t="e" cm="1">
        <f t="array" aca="1" ref="Y17" ca="1">IF((_xll.SNL.Clients.Office.Excel.Functions.SPG($L17,Y$3,Y$4,"Options: Curr=USD") / _xll.SNL.Clients.Office.Excel.Functions.SPG($L17,"SP_EBITDA_EST",Y$2,"Options: Curr=USD")) &lt; 0, "NM", (_xll.SNL.Clients.Office.Excel.Functions.SPG($L17,Y$3,Y$4,"Options: Curr=USD") / _xll.SNL.Clients.Office.Excel.Functions.SPG($L17,"SP_EBITDA_EST",Y$2,"Options: Curr=USD")))</f>
        <v>#NAME?</v>
      </c>
      <c r="Z17" s="70" t="e" cm="1">
        <f t="array" aca="1" ref="Z17" ca="1">_xll.SNL.Clients.Office.Excel.Functions.SPG($L17, Z$3,Z$4)</f>
        <v>#NAME?</v>
      </c>
      <c r="AA17" s="77" t="str">
        <f ca="1">IFERROR(0.001*AVERAGE(_xll.SNL.Clients.Office.Excel.Functions.SPG($L17,$AA$4,"Au",AA$2),_xll.SNL.Clients.Office.Excel.Functions.SPG($L17,$AA$3,"Au",AA$2)),"NA")</f>
        <v>NA</v>
      </c>
      <c r="AB17" s="72" t="str">
        <f ca="1">IFERROR(0.001*AVERAGE(_xll.SNL.Clients.Office.Excel.Functions.SPG($L17,$AA$4,"Au",AB$2),_xll.SNL.Clients.Office.Excel.Functions.SPG($L17,$AA$3,"Au",AB$2)),"NA")</f>
        <v>NA</v>
      </c>
      <c r="AC17" s="78" t="str">
        <f ca="1">IFERROR(0.001*AVERAGE(_xll.SNL.Clients.Office.Excel.Functions.SPG($L17,$AA$4,"Au",AC$2),_xll.SNL.Clients.Office.Excel.Functions.SPG($L17,$AA$3,"Au",AC$2)),"NA")</f>
        <v>NA</v>
      </c>
      <c r="AD17" s="72" t="e">
        <f ca="1" xml:space="preserve"> IF(ISNUMBER(SEARCH("na",_xll.SNL.Clients.Office.Excel.Functions.SPG($L17, $AD$4, AD$2))), 0,_xll.SNL.Clients.Office.Excel.Functions.SPG($L17, $AD$4, AD$2))</f>
        <v>#NAME?</v>
      </c>
      <c r="AE17" s="72" t="e">
        <f ca="1" xml:space="preserve"> IF(ISNUMBER(SEARCH("na",_xll.SNL.Clients.Office.Excel.Functions.SPG($L17, $AD$4, AE$2))), 0,_xll.SNL.Clients.Office.Excel.Functions.SPG($L17, $AD$4, AE$2))</f>
        <v>#NAME?</v>
      </c>
      <c r="AF17" s="72" t="e">
        <f ca="1" xml:space="preserve"> IF(ISNUMBER(SEARCH("na",_xll.SNL.Clients.Office.Excel.Functions.SPG($L17, $AD$4, AF$2))), 0,_xll.SNL.Clients.Office.Excel.Functions.SPG($L17, $AD$4, AF$2))</f>
        <v>#NAME?</v>
      </c>
      <c r="AG17" s="72" t="e">
        <f ca="1" xml:space="preserve"> IF(ISNUMBER(SEARCH("na",_xll.SNL.Clients.Office.Excel.Functions.SPG($L17, $AG$4, AG$2))), 0,_xll.SNL.Clients.Office.Excel.Functions.SPG($L17, $AG$4, AG$2))</f>
        <v>#NAME?</v>
      </c>
      <c r="AH17" s="72" t="e">
        <f ca="1" xml:space="preserve"> IF(ISNUMBER(SEARCH("na",_xll.SNL.Clients.Office.Excel.Functions.SPG($L17, $AG$4, AH$2))), 0,_xll.SNL.Clients.Office.Excel.Functions.SPG($L17, $AG$4, AH$2))</f>
        <v>#NAME?</v>
      </c>
      <c r="AI17" s="72" t="e">
        <f ca="1" xml:space="preserve"> IF(ISNUMBER(SEARCH("na",_xll.SNL.Clients.Office.Excel.Functions.SPG($L17, $AG$4, AI$2))), 0,_xll.SNL.Clients.Office.Excel.Functions.SPG($L17, $AG$4, AI$2))</f>
        <v>#NAME?</v>
      </c>
      <c r="AJ17" s="72" t="e">
        <f ca="1" xml:space="preserve"> IF(ISNUMBER(SEARCH("na",_xll.SNL.Clients.Office.Excel.Functions.SPG($L17, $AJ$4, AJ$2))), 0,_xll.SNL.Clients.Office.Excel.Functions.SPG($L17, $AJ$4, AJ$2))</f>
        <v>#NAME?</v>
      </c>
      <c r="AK17" s="72" t="e">
        <f ca="1" xml:space="preserve"> IF(ISNUMBER(SEARCH("na",_xll.SNL.Clients.Office.Excel.Functions.SPG($L17, $AJ$4, AK$2))), 0,_xll.SNL.Clients.Office.Excel.Functions.SPG($L17, $AJ$4, AK$2))</f>
        <v>#NAME?</v>
      </c>
      <c r="AL17" s="72" t="e">
        <f ca="1" xml:space="preserve"> IF(ISNUMBER(SEARCH("na",_xll.SNL.Clients.Office.Excel.Functions.SPG($L17, $AJ$4, AL$2))), 0,_xll.SNL.Clients.Office.Excel.Functions.SPG($L17, $AJ$4, AL$2))</f>
        <v>#NAME?</v>
      </c>
      <c r="AM17" s="72" t="e">
        <f t="shared" ref="AM17:AM39" ca="1" si="47">AD17+AG17*agprice/auprice+AJ17*cuprice/auprice</f>
        <v>#NAME?</v>
      </c>
      <c r="AN17" s="72" t="e">
        <f t="shared" ref="AN17:AN39" ca="1" si="48">AE17+AH17*agprice/auprice+AK17*cuprice/auprice</f>
        <v>#NAME?</v>
      </c>
      <c r="AO17" s="72" t="e">
        <f t="shared" ref="AO17:AO39" ca="1" si="49">AF17+AI17*agprice/auprice+AL17*cuprice/auprice</f>
        <v>#NAME?</v>
      </c>
      <c r="AP17" s="83" t="str">
        <f t="shared" ca="1" si="43"/>
        <v>NA</v>
      </c>
      <c r="AQ17" s="84" t="str">
        <f t="shared" ca="1" si="43"/>
        <v>NA</v>
      </c>
      <c r="AR17" s="85" t="str">
        <f t="shared" ca="1" si="43"/>
        <v>NA</v>
      </c>
      <c r="AS17" s="72">
        <f ca="1">IFERROR(_xll.SNL.Clients.Office.Excel.Functions.SPG($L17, $AS$3, AS$2,$AS$4)/1000,0)</f>
        <v>0</v>
      </c>
      <c r="AT17" s="72">
        <f ca="1">IFERROR(_xll.SNL.Clients.Office.Excel.Functions.SPG($L17, $AS$3, AT$2,$AS$4)/1000,0)</f>
        <v>0</v>
      </c>
      <c r="AU17" s="72">
        <f ca="1">IFERROR(_xll.SNL.Clients.Office.Excel.Functions.SPG($L17, $AV$3, AU$2,$AS$4)/1000,0)</f>
        <v>0</v>
      </c>
      <c r="AV17" s="72">
        <f ca="1">IFERROR(_xll.SNL.Clients.Office.Excel.Functions.SPG($L17, $AV$3, AV$2,$AS$4)/1000,0)</f>
        <v>0</v>
      </c>
      <c r="AW17" s="72">
        <f ca="1">IFERROR(_xll.SNL.Clients.Office.Excel.Functions.SPG($L17, $AV$3, AW$2,$AS$4)/1000,0)</f>
        <v>0</v>
      </c>
      <c r="AX17" s="72">
        <f ca="1">IFERROR(_xll.SNL.Clients.Office.Excel.Functions.SPG($L17, $AX$3, AX$2,$AS$4)/1000,0)</f>
        <v>0</v>
      </c>
      <c r="AY17" s="72">
        <f ca="1">IFERROR(_xll.SNL.Clients.Office.Excel.Functions.SPG($L17, $AX$3, AY$2,$AS$4)/1000,0)</f>
        <v>0</v>
      </c>
      <c r="AZ17" s="72">
        <f ca="1">IFERROR(_xll.SNL.Clients.Office.Excel.Functions.SPG($L17, $BA$3, AZ$2,$AS$4)/1000,0)</f>
        <v>0</v>
      </c>
      <c r="BA17" s="72">
        <f ca="1">IFERROR(_xll.SNL.Clients.Office.Excel.Functions.SPG($L17, $BA$3, BA$2,$AS$4)/1000,0)</f>
        <v>0</v>
      </c>
      <c r="BB17" s="72">
        <f ca="1">IFERROR(_xll.SNL.Clients.Office.Excel.Functions.SPG($L17, $BA$3, BB$2,$AS$4)/1000,0)</f>
        <v>0</v>
      </c>
      <c r="BC17" s="72">
        <f ca="1">IFERROR(_xll.SNL.Clients.Office.Excel.Functions.SPG($L17, $BC$3, BC$2,$AS$4)/1000,0)</f>
        <v>0</v>
      </c>
      <c r="BD17" s="72">
        <f ca="1">IFERROR(_xll.SNL.Clients.Office.Excel.Functions.SPG($L17, $BC$3, BD$2,$AS$4)/1000,0)</f>
        <v>0</v>
      </c>
      <c r="BE17" s="72">
        <f ca="1">IFERROR(_xll.SNL.Clients.Office.Excel.Functions.SPG($L17, $BF$3, BE$2,$AS$4)/1000,0)</f>
        <v>0</v>
      </c>
      <c r="BF17" s="72">
        <f ca="1">IFERROR(_xll.SNL.Clients.Office.Excel.Functions.SPG($L17, $BF$3, BF$2,$AS$4)/1000,0)</f>
        <v>0</v>
      </c>
      <c r="BG17" s="72">
        <f ca="1">IFERROR(_xll.SNL.Clients.Office.Excel.Functions.SPG($L17, $BF$3, BG$2,$AS$4)/1000,0)</f>
        <v>0</v>
      </c>
      <c r="BH17" s="72">
        <f t="shared" ref="BH17:BH39" ca="1" si="50">AS17+AT17*agprice/auprice+AU17*cuprice/auprice+AV17*znprice/auprice+AW17*pbprice/auprice</f>
        <v>0</v>
      </c>
      <c r="BI17" s="72">
        <f t="shared" ref="BI17:BI39" ca="1" si="51">AX17+AY17*agprice/auprice+AZ17*cuprice/auprice+BA17*znprice/auprice+BB17*pbprice/auprice+BH17</f>
        <v>0</v>
      </c>
      <c r="BJ17" s="72">
        <f t="shared" ref="BJ17:BJ39" ca="1" si="52">BC17+BD17*agprice/auprice+BE17*cuprice/auprice+BF17*znprice/auprice+BG17*pbprice/auprice+BH17</f>
        <v>0</v>
      </c>
      <c r="BK17" s="77" t="str">
        <f t="shared" ca="1" si="39"/>
        <v>NA</v>
      </c>
      <c r="BL17" s="72" t="str">
        <f t="shared" ca="1" si="39"/>
        <v>NA</v>
      </c>
      <c r="BM17" s="78" t="str">
        <f t="shared" ca="1" si="39"/>
        <v>NA</v>
      </c>
      <c r="BN17" s="72" t="e">
        <f ca="1">_xll.SNL.Clients.Office.Excel.Functions.SPG($L17, $BN$3, BN$2, "Au", "Options:Curr=USD")</f>
        <v>#NAME?</v>
      </c>
      <c r="BO17" s="72" t="e">
        <f ca="1">_xll.SNL.Clients.Office.Excel.Functions.SPG($L17, $BN$3, BO$2, "Au", "Options:Curr=USD")</f>
        <v>#NAME?</v>
      </c>
      <c r="BP17" s="72" t="e">
        <f ca="1">_xll.SNL.Clients.Office.Excel.Functions.SPG($L17, $BN$3, BP$2, "Au", "Options:Curr=USD")</f>
        <v>#NAME?</v>
      </c>
      <c r="BQ17" s="78" t="e">
        <f ca="1">_xll.SNL.Clients.Office.Excel.Functions.SPG($L17, $BN$3, BQ$2, "Au", "Options:Curr=USD")</f>
        <v>#NAME?</v>
      </c>
      <c r="BR17" s="72" t="str">
        <f ca="1">IFERROR(AVERAGE(_xll.SNL.Clients.Office.Excel.Functions.SPG($L17,$BR$4,"Au",BR$2, "Options:Curr=USD"),_xll.SNL.Clients.Office.Excel.Functions.SPG($L17,$BR$3,"Au",BR$2, "Options:Curr=USD")),"NA")</f>
        <v>NA</v>
      </c>
      <c r="BS17" s="72" t="str">
        <f ca="1">IFERROR(AVERAGE(_xll.SNL.Clients.Office.Excel.Functions.SPG($L17,$BR$4,"Au",BS$2, "Options:Curr=USD"),_xll.SNL.Clients.Office.Excel.Functions.SPG($L17,$BR$3,"Au",BS$2, "Options:Curr=USD")),"NA")</f>
        <v>NA</v>
      </c>
      <c r="BT17" s="78" t="str">
        <f ca="1">IFERROR(AVERAGE(_xll.SNL.Clients.Office.Excel.Functions.SPG($L17,$BR$4,"Au",BT$2, "Options:Curr=USD"),_xll.SNL.Clients.Office.Excel.Functions.SPG($L17,$BR$3,"Au",BT$2, "Options:Curr=USD")),"NA")</f>
        <v>NA</v>
      </c>
      <c r="BV17" s="36" t="s">
        <v>88</v>
      </c>
      <c r="BW17" s="36" t="s">
        <v>122</v>
      </c>
      <c r="BX17" s="36" t="s">
        <v>89</v>
      </c>
      <c r="BY17" s="36"/>
    </row>
    <row r="18" spans="1:77" ht="13.8" x14ac:dyDescent="0.25">
      <c r="A18" s="56" t="e">
        <f ca="1">_xll.SNL.Clients.Office.Excel.Functions.SPG($L18, A$3)</f>
        <v>#NAME?</v>
      </c>
      <c r="B18" s="56" t="e">
        <f ca="1">_xll.BDP($K18,B$3)</f>
        <v>#NAME?</v>
      </c>
      <c r="C18" s="56" t="e">
        <f ca="1">_xll.BDP($K18,C$3)</f>
        <v>#NAME?</v>
      </c>
      <c r="D18" s="56" t="e">
        <f ca="1">_xll.BDP($K18,D$3)</f>
        <v>#NAME?</v>
      </c>
      <c r="E18" s="57" t="s">
        <v>99</v>
      </c>
      <c r="F18" s="57" t="s">
        <v>83</v>
      </c>
      <c r="G18" s="57" t="s">
        <v>84</v>
      </c>
      <c r="H18" s="58" t="e">
        <f ca="1">_xll.SNL.Clients.Office.Excel.Functions.SPG($L18, "IQ_TEV", "Options: Curr=USD")</f>
        <v>#NAME?</v>
      </c>
      <c r="I18" s="58" t="e">
        <f ca="1">_xll.SNL.Clients.Office.Excel.Functions.SPG($L18, "SP_MARKETCAP", "Options: Curr=USD")</f>
        <v>#NAME?</v>
      </c>
      <c r="J18" s="59" t="s">
        <v>129</v>
      </c>
      <c r="K18" s="3" t="s">
        <v>130</v>
      </c>
      <c r="L18" s="3" t="s">
        <v>131</v>
      </c>
      <c r="M18" s="60" t="e" cm="1">
        <f t="array" aca="1" ref="M18" ca="1">_xll.SNL.Clients.Office.Excel.Functions.SPG($L18, $M$3)/100</f>
        <v>#NAME?</v>
      </c>
      <c r="N18" s="61" t="e" cm="1">
        <f t="array" aca="1" ref="N18" ca="1">_xll.SNL.Clients.Office.Excel.Functions.SPG($L18, "SP_PCFPS_FWD",N$2)</f>
        <v>#NAME?</v>
      </c>
      <c r="O18" s="62" t="e" cm="1">
        <f t="array" aca="1" ref="O18" ca="1">_xll.SNL.Clients.Office.Excel.Functions.SPG($L18, "SP_PCFPS_FWD",O$2)</f>
        <v>#NAME?</v>
      </c>
      <c r="P18" s="63" t="e" cm="1">
        <f t="array" aca="1" ref="P18" ca="1">_xll.SNL.Clients.Office.Excel.Functions.SPG($L18, "SP_PCFPS_FWD",P$2)</f>
        <v>#NAME?</v>
      </c>
      <c r="Q18" s="64" t="e">
        <f ca="1">_xll.SNL.Clients.Office.Excel.Functions.SPG($L18, "SP_FCF_EST",Q$2, "Options: Curr=USD")/1000/$I18</f>
        <v>#NAME?</v>
      </c>
      <c r="R18" s="64" t="e">
        <f ca="1">_xll.SNL.Clients.Office.Excel.Functions.SPG($L18, "SP_FCF_EST",R$2, "Options: Curr=USD")/1000/$I18</f>
        <v>#NAME?</v>
      </c>
      <c r="S18" s="64" t="e">
        <f ca="1">_xll.SNL.Clients.Office.Excel.Functions.SPG($L18, "SP_FCF_EST",S$2, "Options: Curr=USD")/1000/$I18</f>
        <v>#NAME?</v>
      </c>
      <c r="T18" s="61" t="e" cm="1">
        <f t="array" aca="1" ref="T18" ca="1">_xll.SNL.Clients.Office.Excel.Functions.SPG($L18, "SP_PE_FWD",T$2)</f>
        <v>#NAME?</v>
      </c>
      <c r="U18" s="63" t="e" cm="1">
        <f t="array" aca="1" ref="U18" ca="1">_xll.SNL.Clients.Office.Excel.Functions.SPG($L18, "SP_PE_FWD",U$2)</f>
        <v>#NAME?</v>
      </c>
      <c r="V18" s="80" t="e" cm="1">
        <f t="array" aca="1" ref="V18" ca="1">_xll.SNL.Clients.Office.Excel.Functions.SPG($L18, $V$3,V$2)</f>
        <v>#NAME?</v>
      </c>
      <c r="W18" s="81" t="e" cm="1">
        <f t="array" aca="1" ref="W18" ca="1">_xll.SNL.Clients.Office.Excel.Functions.SPG($L18, $V$3,W$2)</f>
        <v>#NAME?</v>
      </c>
      <c r="X18" s="82" t="e" cm="1">
        <f t="array" aca="1" ref="X18" ca="1">_xll.SNL.Clients.Office.Excel.Functions.SPG($L18, $V$3,X$2)</f>
        <v>#NAME?</v>
      </c>
      <c r="Y18" s="69" t="e" cm="1">
        <f t="array" aca="1" ref="Y18" ca="1">IF((_xll.SNL.Clients.Office.Excel.Functions.SPG($L18,Y$3,Y$4,"Options: Curr=USD") / _xll.SNL.Clients.Office.Excel.Functions.SPG($L18,"SP_EBITDA_EST",Y$2,"Options: Curr=USD")) &lt; 0, "NM", (_xll.SNL.Clients.Office.Excel.Functions.SPG($L18,Y$3,Y$4,"Options: Curr=USD") / _xll.SNL.Clients.Office.Excel.Functions.SPG($L18,"SP_EBITDA_EST",Y$2,"Options: Curr=USD")))</f>
        <v>#NAME?</v>
      </c>
      <c r="Z18" s="70" t="e" cm="1">
        <f t="array" aca="1" ref="Z18" ca="1">_xll.SNL.Clients.Office.Excel.Functions.SPG($L18, Z$3,Z$4)</f>
        <v>#NAME?</v>
      </c>
      <c r="AA18" s="77" t="str">
        <f ca="1">IFERROR(0.001*AVERAGE(_xll.SNL.Clients.Office.Excel.Functions.SPG($L18,$AA$4,"Au",AA$2),_xll.SNL.Clients.Office.Excel.Functions.SPG($L18,$AA$3,"Au",AA$2)),"NA")</f>
        <v>NA</v>
      </c>
      <c r="AB18" s="72" t="str">
        <f ca="1">IFERROR(0.001*AVERAGE(_xll.SNL.Clients.Office.Excel.Functions.SPG($L18,$AA$4,"Au",AB$2),_xll.SNL.Clients.Office.Excel.Functions.SPG($L18,$AA$3,"Au",AB$2)),"NA")</f>
        <v>NA</v>
      </c>
      <c r="AC18" s="78" t="str">
        <f ca="1">IFERROR(0.001*AVERAGE(_xll.SNL.Clients.Office.Excel.Functions.SPG($L18,$AA$4,"Au",AC$2),_xll.SNL.Clients.Office.Excel.Functions.SPG($L18,$AA$3,"Au",AC$2)),"NA")</f>
        <v>NA</v>
      </c>
      <c r="AD18" s="72" t="e">
        <f ca="1" xml:space="preserve"> IF(ISNUMBER(SEARCH("na",_xll.SNL.Clients.Office.Excel.Functions.SPG($L18, $AD$4, AD$2))), 0,_xll.SNL.Clients.Office.Excel.Functions.SPG($L18, $AD$4, AD$2))</f>
        <v>#NAME?</v>
      </c>
      <c r="AE18" s="72" t="e">
        <f ca="1" xml:space="preserve"> IF(ISNUMBER(SEARCH("na",_xll.SNL.Clients.Office.Excel.Functions.SPG($L18, $AD$4, AE$2))), 0,_xll.SNL.Clients.Office.Excel.Functions.SPG($L18, $AD$4, AE$2))</f>
        <v>#NAME?</v>
      </c>
      <c r="AF18" s="72" t="e">
        <f ca="1" xml:space="preserve"> IF(ISNUMBER(SEARCH("na",_xll.SNL.Clients.Office.Excel.Functions.SPG($L18, $AD$4, AF$2))), 0,_xll.SNL.Clients.Office.Excel.Functions.SPG($L18, $AD$4, AF$2))</f>
        <v>#NAME?</v>
      </c>
      <c r="AG18" s="72" t="e">
        <f ca="1" xml:space="preserve"> IF(ISNUMBER(SEARCH("na",_xll.SNL.Clients.Office.Excel.Functions.SPG($L18, $AG$4, AG$2))), 0,_xll.SNL.Clients.Office.Excel.Functions.SPG($L18, $AG$4, AG$2))</f>
        <v>#NAME?</v>
      </c>
      <c r="AH18" s="72" t="e">
        <f ca="1" xml:space="preserve"> IF(ISNUMBER(SEARCH("na",_xll.SNL.Clients.Office.Excel.Functions.SPG($L18, $AG$4, AH$2))), 0,_xll.SNL.Clients.Office.Excel.Functions.SPG($L18, $AG$4, AH$2))</f>
        <v>#NAME?</v>
      </c>
      <c r="AI18" s="72" t="e">
        <f ca="1" xml:space="preserve"> IF(ISNUMBER(SEARCH("na",_xll.SNL.Clients.Office.Excel.Functions.SPG($L18, $AG$4, AI$2))), 0,_xll.SNL.Clients.Office.Excel.Functions.SPG($L18, $AG$4, AI$2))</f>
        <v>#NAME?</v>
      </c>
      <c r="AJ18" s="72" t="e">
        <f ca="1" xml:space="preserve"> IF(ISNUMBER(SEARCH("na",_xll.SNL.Clients.Office.Excel.Functions.SPG($L18, $AJ$4, AJ$2))), 0,_xll.SNL.Clients.Office.Excel.Functions.SPG($L18, $AJ$4, AJ$2))</f>
        <v>#NAME?</v>
      </c>
      <c r="AK18" s="72" t="e">
        <f ca="1" xml:space="preserve"> IF(ISNUMBER(SEARCH("na",_xll.SNL.Clients.Office.Excel.Functions.SPG($L18, $AJ$4, AK$2))), 0,_xll.SNL.Clients.Office.Excel.Functions.SPG($L18, $AJ$4, AK$2))</f>
        <v>#NAME?</v>
      </c>
      <c r="AL18" s="72" t="e">
        <f ca="1" xml:space="preserve"> IF(ISNUMBER(SEARCH("na",_xll.SNL.Clients.Office.Excel.Functions.SPG($L18, $AJ$4, AL$2))), 0,_xll.SNL.Clients.Office.Excel.Functions.SPG($L18, $AJ$4, AL$2))</f>
        <v>#NAME?</v>
      </c>
      <c r="AM18" s="72" t="e">
        <f t="shared" ref="AM18:AM40" ca="1" si="53">AD18+AG18*agprice/auprice+AJ18*cuprice/auprice</f>
        <v>#NAME?</v>
      </c>
      <c r="AN18" s="72" t="e">
        <f t="shared" ref="AN18:AN40" ca="1" si="54">AE18+AH18*agprice/auprice+AK18*cuprice/auprice</f>
        <v>#NAME?</v>
      </c>
      <c r="AO18" s="72" t="e">
        <f t="shared" ref="AO18:AO40" ca="1" si="55">AF18+AI18*agprice/auprice+AL18*cuprice/auprice</f>
        <v>#NAME?</v>
      </c>
      <c r="AP18" s="83" t="str">
        <f t="shared" ca="1" si="43"/>
        <v>NA</v>
      </c>
      <c r="AQ18" s="84" t="str">
        <f t="shared" ca="1" si="43"/>
        <v>NA</v>
      </c>
      <c r="AR18" s="85" t="str">
        <f t="shared" ca="1" si="43"/>
        <v>NA</v>
      </c>
      <c r="AS18" s="72">
        <f ca="1">IFERROR(_xll.SNL.Clients.Office.Excel.Functions.SPG($L18, $AS$3, AS$2,$AS$4)/1000,0)</f>
        <v>0</v>
      </c>
      <c r="AT18" s="72">
        <f ca="1">IFERROR(_xll.SNL.Clients.Office.Excel.Functions.SPG($L18, $AS$3, AT$2,$AS$4)/1000,0)</f>
        <v>0</v>
      </c>
      <c r="AU18" s="72">
        <f ca="1">IFERROR(_xll.SNL.Clients.Office.Excel.Functions.SPG($L18, $AV$3, AU$2,$AS$4)/1000,0)</f>
        <v>0</v>
      </c>
      <c r="AV18" s="72">
        <f ca="1">IFERROR(_xll.SNL.Clients.Office.Excel.Functions.SPG($L18, $AV$3, AV$2,$AS$4)/1000,0)</f>
        <v>0</v>
      </c>
      <c r="AW18" s="72">
        <f ca="1">IFERROR(_xll.SNL.Clients.Office.Excel.Functions.SPG($L18, $AV$3, AW$2,$AS$4)/1000,0)</f>
        <v>0</v>
      </c>
      <c r="AX18" s="72">
        <f ca="1">IFERROR(_xll.SNL.Clients.Office.Excel.Functions.SPG($L18, $AX$3, AX$2,$AS$4)/1000,0)</f>
        <v>0</v>
      </c>
      <c r="AY18" s="72">
        <f ca="1">IFERROR(_xll.SNL.Clients.Office.Excel.Functions.SPG($L18, $AX$3, AY$2,$AS$4)/1000,0)</f>
        <v>0</v>
      </c>
      <c r="AZ18" s="72">
        <f ca="1">IFERROR(_xll.SNL.Clients.Office.Excel.Functions.SPG($L18, $BA$3, AZ$2,$AS$4)/1000,0)</f>
        <v>0</v>
      </c>
      <c r="BA18" s="72">
        <f ca="1">IFERROR(_xll.SNL.Clients.Office.Excel.Functions.SPG($L18, $BA$3, BA$2,$AS$4)/1000,0)</f>
        <v>0</v>
      </c>
      <c r="BB18" s="72">
        <f ca="1">IFERROR(_xll.SNL.Clients.Office.Excel.Functions.SPG($L18, $BA$3, BB$2,$AS$4)/1000,0)</f>
        <v>0</v>
      </c>
      <c r="BC18" s="72">
        <f ca="1">IFERROR(_xll.SNL.Clients.Office.Excel.Functions.SPG($L18, $BC$3, BC$2,$AS$4)/1000,0)</f>
        <v>0</v>
      </c>
      <c r="BD18" s="72">
        <f ca="1">IFERROR(_xll.SNL.Clients.Office.Excel.Functions.SPG($L18, $BC$3, BD$2,$AS$4)/1000,0)</f>
        <v>0</v>
      </c>
      <c r="BE18" s="72">
        <f ca="1">IFERROR(_xll.SNL.Clients.Office.Excel.Functions.SPG($L18, $BF$3, BE$2,$AS$4)/1000,0)</f>
        <v>0</v>
      </c>
      <c r="BF18" s="72">
        <f ca="1">IFERROR(_xll.SNL.Clients.Office.Excel.Functions.SPG($L18, $BF$3, BF$2,$AS$4)/1000,0)</f>
        <v>0</v>
      </c>
      <c r="BG18" s="72">
        <f ca="1">IFERROR(_xll.SNL.Clients.Office.Excel.Functions.SPG($L18, $BF$3, BG$2,$AS$4)/1000,0)</f>
        <v>0</v>
      </c>
      <c r="BH18" s="72">
        <f t="shared" ref="BH18:BH40" ca="1" si="56">AS18+AT18*agprice/auprice+AU18*cuprice/auprice+AV18*znprice/auprice+AW18*pbprice/auprice</f>
        <v>0</v>
      </c>
      <c r="BI18" s="72">
        <f t="shared" ref="BI18:BI40" ca="1" si="57">AX18+AY18*agprice/auprice+AZ18*cuprice/auprice+BA18*znprice/auprice+BB18*pbprice/auprice+BH18</f>
        <v>0</v>
      </c>
      <c r="BJ18" s="72">
        <f t="shared" ref="BJ18:BJ40" ca="1" si="58">BC18+BD18*agprice/auprice+BE18*cuprice/auprice+BF18*znprice/auprice+BG18*pbprice/auprice+BH18</f>
        <v>0</v>
      </c>
      <c r="BK18" s="77" t="str">
        <f t="shared" ca="1" si="39"/>
        <v>NA</v>
      </c>
      <c r="BL18" s="72" t="str">
        <f t="shared" ca="1" si="39"/>
        <v>NA</v>
      </c>
      <c r="BM18" s="78" t="str">
        <f t="shared" ca="1" si="39"/>
        <v>NA</v>
      </c>
      <c r="BN18" s="72" t="e">
        <f ca="1">_xll.SNL.Clients.Office.Excel.Functions.SPG($L18, $BN$3, BN$2, "Au", "Options:Curr=USD")</f>
        <v>#NAME?</v>
      </c>
      <c r="BO18" s="72" t="e">
        <f ca="1">_xll.SNL.Clients.Office.Excel.Functions.SPG($L18, $BN$3, BO$2, "Au", "Options:Curr=USD")</f>
        <v>#NAME?</v>
      </c>
      <c r="BP18" s="72" t="e">
        <f ca="1">_xll.SNL.Clients.Office.Excel.Functions.SPG($L18, $BN$3, BP$2, "Au", "Options:Curr=USD")</f>
        <v>#NAME?</v>
      </c>
      <c r="BQ18" s="78" t="e">
        <f ca="1">_xll.SNL.Clients.Office.Excel.Functions.SPG($L18, $BN$3, BQ$2, "Au", "Options:Curr=USD")</f>
        <v>#NAME?</v>
      </c>
      <c r="BR18" s="72" t="str">
        <f ca="1">IFERROR(AVERAGE(_xll.SNL.Clients.Office.Excel.Functions.SPG($L18,$BR$4,"Au",BR$2, "Options:Curr=USD"),_xll.SNL.Clients.Office.Excel.Functions.SPG($L18,$BR$3,"Au",BR$2, "Options:Curr=USD")),"NA")</f>
        <v>NA</v>
      </c>
      <c r="BS18" s="72" t="str">
        <f ca="1">IFERROR(AVERAGE(_xll.SNL.Clients.Office.Excel.Functions.SPG($L18,$BR$4,"Au",BS$2, "Options:Curr=USD"),_xll.SNL.Clients.Office.Excel.Functions.SPG($L18,$BR$3,"Au",BS$2, "Options:Curr=USD")),"NA")</f>
        <v>NA</v>
      </c>
      <c r="BT18" s="78" t="str">
        <f ca="1">IFERROR(AVERAGE(_xll.SNL.Clients.Office.Excel.Functions.SPG($L18,$BR$4,"Au",BT$2, "Options:Curr=USD"),_xll.SNL.Clients.Office.Excel.Functions.SPG($L18,$BR$3,"Au",BT$2, "Options:Curr=USD")),"NA")</f>
        <v>NA</v>
      </c>
      <c r="BV18" s="36" t="s">
        <v>88</v>
      </c>
      <c r="BW18" s="36"/>
      <c r="BX18" s="36" t="s">
        <v>89</v>
      </c>
      <c r="BY18" s="36"/>
    </row>
    <row r="19" spans="1:77" ht="13.8" x14ac:dyDescent="0.25">
      <c r="A19" s="56" t="e">
        <f ca="1">_xll.SNL.Clients.Office.Excel.Functions.SPG($L19, A$3)</f>
        <v>#NAME?</v>
      </c>
      <c r="B19" s="56" t="e">
        <f ca="1">_xll.BDP($K19,B$3)</f>
        <v>#NAME?</v>
      </c>
      <c r="C19" s="56" t="e">
        <f ca="1">_xll.BDP($K19,C$3)</f>
        <v>#NAME?</v>
      </c>
      <c r="D19" s="56" t="e">
        <f ca="1">_xll.BDP($K19,D$3)</f>
        <v>#NAME?</v>
      </c>
      <c r="E19" s="57" t="s">
        <v>94</v>
      </c>
      <c r="F19" s="57" t="s">
        <v>83</v>
      </c>
      <c r="G19" s="57" t="s">
        <v>84</v>
      </c>
      <c r="H19" s="58" t="e">
        <f ca="1">_xll.SNL.Clients.Office.Excel.Functions.SPG($L19, "IQ_TEV", "Options: Curr=USD")</f>
        <v>#NAME?</v>
      </c>
      <c r="I19" s="58" t="e">
        <f ca="1">_xll.SNL.Clients.Office.Excel.Functions.SPG($L19, "SP_MARKETCAP", "Options: Curr=USD")</f>
        <v>#NAME?</v>
      </c>
      <c r="J19" s="59" t="s">
        <v>132</v>
      </c>
      <c r="K19" s="3" t="s">
        <v>133</v>
      </c>
      <c r="L19" s="3" t="s">
        <v>134</v>
      </c>
      <c r="M19" s="60" t="e" cm="1">
        <f t="array" aca="1" ref="M19" ca="1">_xll.SNL.Clients.Office.Excel.Functions.SPG($L19, $M$3)/100</f>
        <v>#NAME?</v>
      </c>
      <c r="N19" s="61" t="e" cm="1">
        <f t="array" aca="1" ref="N19" ca="1">_xll.SNL.Clients.Office.Excel.Functions.SPG($L19, "SP_PCFPS_FWD",N$2)</f>
        <v>#NAME?</v>
      </c>
      <c r="O19" s="62" t="e" cm="1">
        <f t="array" aca="1" ref="O19" ca="1">_xll.SNL.Clients.Office.Excel.Functions.SPG($L19, "SP_PCFPS_FWD",O$2)</f>
        <v>#NAME?</v>
      </c>
      <c r="P19" s="63" t="e" cm="1">
        <f t="array" aca="1" ref="P19" ca="1">_xll.SNL.Clients.Office.Excel.Functions.SPG($L19, "SP_PCFPS_FWD",P$2)</f>
        <v>#NAME?</v>
      </c>
      <c r="Q19" s="64" t="e">
        <f ca="1">_xll.SNL.Clients.Office.Excel.Functions.SPG($L19, "SP_FCF_EST",Q$2, "Options: Curr=USD")/1000/$I19</f>
        <v>#NAME?</v>
      </c>
      <c r="R19" s="64" t="e">
        <f ca="1">_xll.SNL.Clients.Office.Excel.Functions.SPG($L19, "SP_FCF_EST",R$2, "Options: Curr=USD")/1000/$I19</f>
        <v>#NAME?</v>
      </c>
      <c r="S19" s="64" t="e">
        <f ca="1">_xll.SNL.Clients.Office.Excel.Functions.SPG($L19, "SP_FCF_EST",S$2, "Options: Curr=USD")/1000/$I19</f>
        <v>#NAME?</v>
      </c>
      <c r="T19" s="61" t="e" cm="1">
        <f t="array" aca="1" ref="T19" ca="1">_xll.SNL.Clients.Office.Excel.Functions.SPG($L19, "SP_PE_FWD",T$2)</f>
        <v>#NAME?</v>
      </c>
      <c r="U19" s="63" t="e" cm="1">
        <f t="array" aca="1" ref="U19" ca="1">_xll.SNL.Clients.Office.Excel.Functions.SPG($L19, "SP_PE_FWD",U$2)</f>
        <v>#NAME?</v>
      </c>
      <c r="V19" s="80" t="e" cm="1">
        <f t="array" aca="1" ref="V19" ca="1">_xll.SNL.Clients.Office.Excel.Functions.SPG($L19, $V$3,V$2)</f>
        <v>#NAME?</v>
      </c>
      <c r="W19" s="81" t="e" cm="1">
        <f t="array" aca="1" ref="W19" ca="1">_xll.SNL.Clients.Office.Excel.Functions.SPG($L19, $V$3,W$2)</f>
        <v>#NAME?</v>
      </c>
      <c r="X19" s="82" t="e" cm="1">
        <f t="array" aca="1" ref="X19" ca="1">_xll.SNL.Clients.Office.Excel.Functions.SPG($L19, $V$3,X$2)</f>
        <v>#NAME?</v>
      </c>
      <c r="Y19" s="69" t="e" cm="1">
        <f t="array" aca="1" ref="Y19" ca="1">IF((_xll.SNL.Clients.Office.Excel.Functions.SPG($L19,Y$3,Y$4,"Options: Curr=USD") / _xll.SNL.Clients.Office.Excel.Functions.SPG($L19,"SP_EBITDA_EST",Y$2,"Options: Curr=USD")) &lt; 0, "NM", (_xll.SNL.Clients.Office.Excel.Functions.SPG($L19,Y$3,Y$4,"Options: Curr=USD") / _xll.SNL.Clients.Office.Excel.Functions.SPG($L19,"SP_EBITDA_EST",Y$2,"Options: Curr=USD")))</f>
        <v>#NAME?</v>
      </c>
      <c r="Z19" s="70" t="e" cm="1">
        <f t="array" aca="1" ref="Z19" ca="1">_xll.SNL.Clients.Office.Excel.Functions.SPG($L19, Z$3,Z$4)</f>
        <v>#NAME?</v>
      </c>
      <c r="AA19" s="77" t="str">
        <f ca="1">IFERROR(0.001*AVERAGE(_xll.SNL.Clients.Office.Excel.Functions.SPG($L19,$AA$4,"Au",AA$2),_xll.SNL.Clients.Office.Excel.Functions.SPG($L19,$AA$3,"Au",AA$2)),"NA")</f>
        <v>NA</v>
      </c>
      <c r="AB19" s="72" t="str">
        <f ca="1">IFERROR(0.001*AVERAGE(_xll.SNL.Clients.Office.Excel.Functions.SPG($L19,$AA$4,"Au",AB$2),_xll.SNL.Clients.Office.Excel.Functions.SPG($L19,$AA$3,"Au",AB$2)),"NA")</f>
        <v>NA</v>
      </c>
      <c r="AC19" s="78" t="str">
        <f ca="1">IFERROR(0.001*AVERAGE(_xll.SNL.Clients.Office.Excel.Functions.SPG($L19,$AA$4,"Au",AC$2),_xll.SNL.Clients.Office.Excel.Functions.SPG($L19,$AA$3,"Au",AC$2)),"NA")</f>
        <v>NA</v>
      </c>
      <c r="AD19" s="72" t="e">
        <f ca="1" xml:space="preserve"> IF(ISNUMBER(SEARCH("na",_xll.SNL.Clients.Office.Excel.Functions.SPG($L19, $AD$4, AD$2))), 0,_xll.SNL.Clients.Office.Excel.Functions.SPG($L19, $AD$4, AD$2))</f>
        <v>#NAME?</v>
      </c>
      <c r="AE19" s="72" t="e">
        <f ca="1" xml:space="preserve"> IF(ISNUMBER(SEARCH("na",_xll.SNL.Clients.Office.Excel.Functions.SPG($L19, $AD$4, AE$2))), 0,_xll.SNL.Clients.Office.Excel.Functions.SPG($L19, $AD$4, AE$2))</f>
        <v>#NAME?</v>
      </c>
      <c r="AF19" s="72" t="e">
        <f ca="1" xml:space="preserve"> IF(ISNUMBER(SEARCH("na",_xll.SNL.Clients.Office.Excel.Functions.SPG($L19, $AD$4, AF$2))), 0,_xll.SNL.Clients.Office.Excel.Functions.SPG($L19, $AD$4, AF$2))</f>
        <v>#NAME?</v>
      </c>
      <c r="AG19" s="72" t="e">
        <f ca="1" xml:space="preserve"> IF(ISNUMBER(SEARCH("na",_xll.SNL.Clients.Office.Excel.Functions.SPG($L19, $AG$4, AG$2))), 0,_xll.SNL.Clients.Office.Excel.Functions.SPG($L19, $AG$4, AG$2))</f>
        <v>#NAME?</v>
      </c>
      <c r="AH19" s="72" t="e">
        <f ca="1" xml:space="preserve"> IF(ISNUMBER(SEARCH("na",_xll.SNL.Clients.Office.Excel.Functions.SPG($L19, $AG$4, AH$2))), 0,_xll.SNL.Clients.Office.Excel.Functions.SPG($L19, $AG$4, AH$2))</f>
        <v>#NAME?</v>
      </c>
      <c r="AI19" s="72" t="e">
        <f ca="1" xml:space="preserve"> IF(ISNUMBER(SEARCH("na",_xll.SNL.Clients.Office.Excel.Functions.SPG($L19, $AG$4, AI$2))), 0,_xll.SNL.Clients.Office.Excel.Functions.SPG($L19, $AG$4, AI$2))</f>
        <v>#NAME?</v>
      </c>
      <c r="AJ19" s="72" t="e">
        <f ca="1" xml:space="preserve"> IF(ISNUMBER(SEARCH("na",_xll.SNL.Clients.Office.Excel.Functions.SPG($L19, $AJ$4, AJ$2))), 0,_xll.SNL.Clients.Office.Excel.Functions.SPG($L19, $AJ$4, AJ$2))</f>
        <v>#NAME?</v>
      </c>
      <c r="AK19" s="72" t="e">
        <f ca="1" xml:space="preserve"> IF(ISNUMBER(SEARCH("na",_xll.SNL.Clients.Office.Excel.Functions.SPG($L19, $AJ$4, AK$2))), 0,_xll.SNL.Clients.Office.Excel.Functions.SPG($L19, $AJ$4, AK$2))</f>
        <v>#NAME?</v>
      </c>
      <c r="AL19" s="72" t="e">
        <f ca="1" xml:space="preserve"> IF(ISNUMBER(SEARCH("na",_xll.SNL.Clients.Office.Excel.Functions.SPG($L19, $AJ$4, AL$2))), 0,_xll.SNL.Clients.Office.Excel.Functions.SPG($L19, $AJ$4, AL$2))</f>
        <v>#NAME?</v>
      </c>
      <c r="AM19" s="72" t="e">
        <f t="shared" ref="AM19:AM41" ca="1" si="59">AD19+AG19*agprice/auprice+AJ19*cuprice/auprice</f>
        <v>#NAME?</v>
      </c>
      <c r="AN19" s="72" t="e">
        <f t="shared" ref="AN19:AN41" ca="1" si="60">AE19+AH19*agprice/auprice+AK19*cuprice/auprice</f>
        <v>#NAME?</v>
      </c>
      <c r="AO19" s="72" t="e">
        <f t="shared" ref="AO19:AO41" ca="1" si="61">AF19+AI19*agprice/auprice+AL19*cuprice/auprice</f>
        <v>#NAME?</v>
      </c>
      <c r="AP19" s="83" t="str">
        <f t="shared" ca="1" si="43"/>
        <v>NA</v>
      </c>
      <c r="AQ19" s="84" t="str">
        <f t="shared" ca="1" si="43"/>
        <v>NA</v>
      </c>
      <c r="AR19" s="85" t="str">
        <f t="shared" ca="1" si="43"/>
        <v>NA</v>
      </c>
      <c r="AS19" s="72">
        <f ca="1">IFERROR(_xll.SNL.Clients.Office.Excel.Functions.SPG($L19, $AS$3, AS$2,$AS$4)/1000,0)</f>
        <v>0</v>
      </c>
      <c r="AT19" s="72">
        <f ca="1">IFERROR(_xll.SNL.Clients.Office.Excel.Functions.SPG($L19, $AS$3, AT$2,$AS$4)/1000,0)</f>
        <v>0</v>
      </c>
      <c r="AU19" s="72">
        <f ca="1">IFERROR(_xll.SNL.Clients.Office.Excel.Functions.SPG($L19, $AV$3, AU$2,$AS$4)/1000,0)</f>
        <v>0</v>
      </c>
      <c r="AV19" s="72">
        <f ca="1">IFERROR(_xll.SNL.Clients.Office.Excel.Functions.SPG($L19, $AV$3, AV$2,$AS$4)/1000,0)</f>
        <v>0</v>
      </c>
      <c r="AW19" s="72">
        <f ca="1">IFERROR(_xll.SNL.Clients.Office.Excel.Functions.SPG($L19, $AV$3, AW$2,$AS$4)/1000,0)</f>
        <v>0</v>
      </c>
      <c r="AX19" s="72">
        <f ca="1">IFERROR(_xll.SNL.Clients.Office.Excel.Functions.SPG($L19, $AX$3, AX$2,$AS$4)/1000,0)</f>
        <v>0</v>
      </c>
      <c r="AY19" s="72">
        <f ca="1">IFERROR(_xll.SNL.Clients.Office.Excel.Functions.SPG($L19, $AX$3, AY$2,$AS$4)/1000,0)</f>
        <v>0</v>
      </c>
      <c r="AZ19" s="72">
        <f ca="1">IFERROR(_xll.SNL.Clients.Office.Excel.Functions.SPG($L19, $BA$3, AZ$2,$AS$4)/1000,0)</f>
        <v>0</v>
      </c>
      <c r="BA19" s="72">
        <f ca="1">IFERROR(_xll.SNL.Clients.Office.Excel.Functions.SPG($L19, $BA$3, BA$2,$AS$4)/1000,0)</f>
        <v>0</v>
      </c>
      <c r="BB19" s="72">
        <f ca="1">IFERROR(_xll.SNL.Clients.Office.Excel.Functions.SPG($L19, $BA$3, BB$2,$AS$4)/1000,0)</f>
        <v>0</v>
      </c>
      <c r="BC19" s="72">
        <f ca="1">IFERROR(_xll.SNL.Clients.Office.Excel.Functions.SPG($L19, $BC$3, BC$2,$AS$4)/1000,0)</f>
        <v>0</v>
      </c>
      <c r="BD19" s="72">
        <f ca="1">IFERROR(_xll.SNL.Clients.Office.Excel.Functions.SPG($L19, $BC$3, BD$2,$AS$4)/1000,0)</f>
        <v>0</v>
      </c>
      <c r="BE19" s="72">
        <f ca="1">IFERROR(_xll.SNL.Clients.Office.Excel.Functions.SPG($L19, $BF$3, BE$2,$AS$4)/1000,0)</f>
        <v>0</v>
      </c>
      <c r="BF19" s="72">
        <f ca="1">IFERROR(_xll.SNL.Clients.Office.Excel.Functions.SPG($L19, $BF$3, BF$2,$AS$4)/1000,0)</f>
        <v>0</v>
      </c>
      <c r="BG19" s="72">
        <f ca="1">IFERROR(_xll.SNL.Clients.Office.Excel.Functions.SPG($L19, $BF$3, BG$2,$AS$4)/1000,0)</f>
        <v>0</v>
      </c>
      <c r="BH19" s="72">
        <f t="shared" ref="BH19:BH41" ca="1" si="62">AS19+AT19*agprice/auprice+AU19*cuprice/auprice+AV19*znprice/auprice+AW19*pbprice/auprice</f>
        <v>0</v>
      </c>
      <c r="BI19" s="72">
        <f t="shared" ref="BI19:BI41" ca="1" si="63">AX19+AY19*agprice/auprice+AZ19*cuprice/auprice+BA19*znprice/auprice+BB19*pbprice/auprice+BH19</f>
        <v>0</v>
      </c>
      <c r="BJ19" s="72">
        <f t="shared" ref="BJ19:BJ41" ca="1" si="64">BC19+BD19*agprice/auprice+BE19*cuprice/auprice+BF19*znprice/auprice+BG19*pbprice/auprice+BH19</f>
        <v>0</v>
      </c>
      <c r="BK19" s="77" t="str">
        <f t="shared" ca="1" si="39"/>
        <v>NA</v>
      </c>
      <c r="BL19" s="72" t="str">
        <f t="shared" ca="1" si="39"/>
        <v>NA</v>
      </c>
      <c r="BM19" s="78" t="str">
        <f t="shared" ca="1" si="39"/>
        <v>NA</v>
      </c>
      <c r="BN19" s="72" t="e">
        <f ca="1">_xll.SNL.Clients.Office.Excel.Functions.SPG($L19, $BN$3, BN$2, "Au", "Options:Curr=USD")</f>
        <v>#NAME?</v>
      </c>
      <c r="BO19" s="72" t="e">
        <f ca="1">_xll.SNL.Clients.Office.Excel.Functions.SPG($L19, $BN$3, BO$2, "Au", "Options:Curr=USD")</f>
        <v>#NAME?</v>
      </c>
      <c r="BP19" s="72" t="e">
        <f ca="1">_xll.SNL.Clients.Office.Excel.Functions.SPG($L19, $BN$3, BP$2, "Au", "Options:Curr=USD")</f>
        <v>#NAME?</v>
      </c>
      <c r="BQ19" s="78" t="e">
        <f ca="1">_xll.SNL.Clients.Office.Excel.Functions.SPG($L19, $BN$3, BQ$2, "Au", "Options:Curr=USD")</f>
        <v>#NAME?</v>
      </c>
      <c r="BR19" s="72" t="str">
        <f ca="1">IFERROR(AVERAGE(_xll.SNL.Clients.Office.Excel.Functions.SPG($L19,$BR$4,"Au",BR$2, "Options:Curr=USD"),_xll.SNL.Clients.Office.Excel.Functions.SPG($L19,$BR$3,"Au",BR$2, "Options:Curr=USD")),"NA")</f>
        <v>NA</v>
      </c>
      <c r="BS19" s="72" t="str">
        <f ca="1">IFERROR(AVERAGE(_xll.SNL.Clients.Office.Excel.Functions.SPG($L19,$BR$4,"Au",BS$2, "Options:Curr=USD"),_xll.SNL.Clients.Office.Excel.Functions.SPG($L19,$BR$3,"Au",BS$2, "Options:Curr=USD")),"NA")</f>
        <v>NA</v>
      </c>
      <c r="BT19" s="78" t="str">
        <f ca="1">IFERROR(AVERAGE(_xll.SNL.Clients.Office.Excel.Functions.SPG($L19,$BR$4,"Au",BT$2, "Options:Curr=USD"),_xll.SNL.Clients.Office.Excel.Functions.SPG($L19,$BR$3,"Au",BT$2, "Options:Curr=USD")),"NA")</f>
        <v>NA</v>
      </c>
      <c r="BV19" s="36" t="s">
        <v>88</v>
      </c>
      <c r="BW19" s="36"/>
      <c r="BX19" s="36" t="s">
        <v>89</v>
      </c>
      <c r="BY19" s="36"/>
    </row>
    <row r="20" spans="1:77" ht="13.8" x14ac:dyDescent="0.25">
      <c r="A20" s="56" t="e">
        <f ca="1">_xll.SNL.Clients.Office.Excel.Functions.SPG($L20, A$3)</f>
        <v>#NAME?</v>
      </c>
      <c r="B20" s="56" t="e">
        <f ca="1">_xll.BDP($K20,B$3)</f>
        <v>#NAME?</v>
      </c>
      <c r="C20" s="56" t="e">
        <f ca="1">_xll.BDP($K20,C$3)</f>
        <v>#NAME?</v>
      </c>
      <c r="D20" s="56" t="e">
        <f ca="1">_xll.BDP($K20,D$3)</f>
        <v>#NAME?</v>
      </c>
      <c r="E20" s="57" t="s">
        <v>99</v>
      </c>
      <c r="F20" s="57" t="s">
        <v>83</v>
      </c>
      <c r="G20" s="57" t="s">
        <v>84</v>
      </c>
      <c r="H20" s="58" t="e">
        <f ca="1">_xll.SNL.Clients.Office.Excel.Functions.SPG($L20, "IQ_TEV", "Options: Curr=USD")</f>
        <v>#NAME?</v>
      </c>
      <c r="I20" s="58" t="e">
        <f ca="1">_xll.SNL.Clients.Office.Excel.Functions.SPG($L20, "SP_MARKETCAP", "Options: Curr=USD")</f>
        <v>#NAME?</v>
      </c>
      <c r="J20" s="59" t="s">
        <v>135</v>
      </c>
      <c r="K20" s="3" t="s">
        <v>136</v>
      </c>
      <c r="L20" s="3" t="s">
        <v>137</v>
      </c>
      <c r="M20" s="60" t="e" cm="1">
        <f t="array" aca="1" ref="M20" ca="1">_xll.SNL.Clients.Office.Excel.Functions.SPG($L20, $M$3)/100</f>
        <v>#NAME?</v>
      </c>
      <c r="N20" s="61" t="e" cm="1">
        <f t="array" aca="1" ref="N20" ca="1">_xll.SNL.Clients.Office.Excel.Functions.SPG($L20, "SP_PCFPS_FWD",N$2)</f>
        <v>#NAME?</v>
      </c>
      <c r="O20" s="62" t="e" cm="1">
        <f t="array" aca="1" ref="O20" ca="1">_xll.SNL.Clients.Office.Excel.Functions.SPG($L20, "SP_PCFPS_FWD",O$2)</f>
        <v>#NAME?</v>
      </c>
      <c r="P20" s="63" t="e" cm="1">
        <f t="array" aca="1" ref="P20" ca="1">_xll.SNL.Clients.Office.Excel.Functions.SPG($L20, "SP_PCFPS_FWD",P$2)</f>
        <v>#NAME?</v>
      </c>
      <c r="Q20" s="64" t="e">
        <f ca="1">_xll.SNL.Clients.Office.Excel.Functions.SPG($L20, "SP_FCF_EST",Q$2, "Options: Curr=USD")/1000/$I20</f>
        <v>#NAME?</v>
      </c>
      <c r="R20" s="64" t="e">
        <f ca="1">_xll.SNL.Clients.Office.Excel.Functions.SPG($L20, "SP_FCF_EST",R$2, "Options: Curr=USD")/1000/$I20</f>
        <v>#NAME?</v>
      </c>
      <c r="S20" s="64" t="e">
        <f ca="1">_xll.SNL.Clients.Office.Excel.Functions.SPG($L20, "SP_FCF_EST",S$2, "Options: Curr=USD")/1000/$I20</f>
        <v>#NAME?</v>
      </c>
      <c r="T20" s="61" t="e" cm="1">
        <f t="array" aca="1" ref="T20" ca="1">_xll.SNL.Clients.Office.Excel.Functions.SPG($L20, "SP_PE_FWD",T$2)</f>
        <v>#NAME?</v>
      </c>
      <c r="U20" s="63" t="e" cm="1">
        <f t="array" aca="1" ref="U20" ca="1">_xll.SNL.Clients.Office.Excel.Functions.SPG($L20, "SP_PE_FWD",U$2)</f>
        <v>#NAME?</v>
      </c>
      <c r="V20" s="80" t="e" cm="1">
        <f t="array" aca="1" ref="V20" ca="1">_xll.SNL.Clients.Office.Excel.Functions.SPG($L20, $V$3,V$2)</f>
        <v>#NAME?</v>
      </c>
      <c r="W20" s="81" t="e" cm="1">
        <f t="array" aca="1" ref="W20" ca="1">_xll.SNL.Clients.Office.Excel.Functions.SPG($L20, $V$3,W$2)</f>
        <v>#NAME?</v>
      </c>
      <c r="X20" s="82" t="e" cm="1">
        <f t="array" aca="1" ref="X20" ca="1">_xll.SNL.Clients.Office.Excel.Functions.SPG($L20, $V$3,X$2)</f>
        <v>#NAME?</v>
      </c>
      <c r="Y20" s="69" t="e" cm="1">
        <f t="array" aca="1" ref="Y20" ca="1">IF((_xll.SNL.Clients.Office.Excel.Functions.SPG($L20,Y$3,Y$4,"Options: Curr=USD") / _xll.SNL.Clients.Office.Excel.Functions.SPG($L20,"SP_EBITDA_EST",Y$2,"Options: Curr=USD")) &lt; 0, "NM", (_xll.SNL.Clients.Office.Excel.Functions.SPG($L20,Y$3,Y$4,"Options: Curr=USD") / _xll.SNL.Clients.Office.Excel.Functions.SPG($L20,"SP_EBITDA_EST",Y$2,"Options: Curr=USD")))</f>
        <v>#NAME?</v>
      </c>
      <c r="Z20" s="70" t="e" cm="1">
        <f t="array" aca="1" ref="Z20" ca="1">_xll.SNL.Clients.Office.Excel.Functions.SPG($L20, Z$3,Z$4)</f>
        <v>#NAME?</v>
      </c>
      <c r="AA20" s="77" t="str">
        <f ca="1">IFERROR(0.001*AVERAGE(_xll.SNL.Clients.Office.Excel.Functions.SPG($L20,$AA$4,"Au",AA$2),_xll.SNL.Clients.Office.Excel.Functions.SPG($L20,$AA$3,"Au",AA$2)),"NA")</f>
        <v>NA</v>
      </c>
      <c r="AB20" s="72" t="str">
        <f ca="1">IFERROR(0.001*AVERAGE(_xll.SNL.Clients.Office.Excel.Functions.SPG($L20,$AA$4,"Au",AB$2),_xll.SNL.Clients.Office.Excel.Functions.SPG($L20,$AA$3,"Au",AB$2)),"NA")</f>
        <v>NA</v>
      </c>
      <c r="AC20" s="78" t="str">
        <f ca="1">IFERROR(0.001*AVERAGE(_xll.SNL.Clients.Office.Excel.Functions.SPG($L20,$AA$4,"Au",AC$2),_xll.SNL.Clients.Office.Excel.Functions.SPG($L20,$AA$3,"Au",AC$2)),"NA")</f>
        <v>NA</v>
      </c>
      <c r="AD20" s="72" t="e">
        <f ca="1" xml:space="preserve"> IF(ISNUMBER(SEARCH("na",_xll.SNL.Clients.Office.Excel.Functions.SPG($L20, $AD$4, AD$2))), 0,_xll.SNL.Clients.Office.Excel.Functions.SPG($L20, $AD$4, AD$2))</f>
        <v>#NAME?</v>
      </c>
      <c r="AE20" s="72" t="e">
        <f ca="1" xml:space="preserve"> IF(ISNUMBER(SEARCH("na",_xll.SNL.Clients.Office.Excel.Functions.SPG($L20, $AD$4, AE$2))), 0,_xll.SNL.Clients.Office.Excel.Functions.SPG($L20, $AD$4, AE$2))</f>
        <v>#NAME?</v>
      </c>
      <c r="AF20" s="72" t="e">
        <f ca="1" xml:space="preserve"> IF(ISNUMBER(SEARCH("na",_xll.SNL.Clients.Office.Excel.Functions.SPG($L20, $AD$4, AF$2))), 0,_xll.SNL.Clients.Office.Excel.Functions.SPG($L20, $AD$4, AF$2))</f>
        <v>#NAME?</v>
      </c>
      <c r="AG20" s="72" t="e">
        <f ca="1" xml:space="preserve"> IF(ISNUMBER(SEARCH("na",_xll.SNL.Clients.Office.Excel.Functions.SPG($L20, $AG$4, AG$2))), 0,_xll.SNL.Clients.Office.Excel.Functions.SPG($L20, $AG$4, AG$2))</f>
        <v>#NAME?</v>
      </c>
      <c r="AH20" s="72" t="e">
        <f ca="1" xml:space="preserve"> IF(ISNUMBER(SEARCH("na",_xll.SNL.Clients.Office.Excel.Functions.SPG($L20, $AG$4, AH$2))), 0,_xll.SNL.Clients.Office.Excel.Functions.SPG($L20, $AG$4, AH$2))</f>
        <v>#NAME?</v>
      </c>
      <c r="AI20" s="72" t="e">
        <f ca="1" xml:space="preserve"> IF(ISNUMBER(SEARCH("na",_xll.SNL.Clients.Office.Excel.Functions.SPG($L20, $AG$4, AI$2))), 0,_xll.SNL.Clients.Office.Excel.Functions.SPG($L20, $AG$4, AI$2))</f>
        <v>#NAME?</v>
      </c>
      <c r="AJ20" s="72" t="e">
        <f ca="1" xml:space="preserve"> IF(ISNUMBER(SEARCH("na",_xll.SNL.Clients.Office.Excel.Functions.SPG($L20, $AJ$4, AJ$2))), 0,_xll.SNL.Clients.Office.Excel.Functions.SPG($L20, $AJ$4, AJ$2))</f>
        <v>#NAME?</v>
      </c>
      <c r="AK20" s="72" t="e">
        <f ca="1" xml:space="preserve"> IF(ISNUMBER(SEARCH("na",_xll.SNL.Clients.Office.Excel.Functions.SPG($L20, $AJ$4, AK$2))), 0,_xll.SNL.Clients.Office.Excel.Functions.SPG($L20, $AJ$4, AK$2))</f>
        <v>#NAME?</v>
      </c>
      <c r="AL20" s="72" t="e">
        <f ca="1" xml:space="preserve"> IF(ISNUMBER(SEARCH("na",_xll.SNL.Clients.Office.Excel.Functions.SPG($L20, $AJ$4, AL$2))), 0,_xll.SNL.Clients.Office.Excel.Functions.SPG($L20, $AJ$4, AL$2))</f>
        <v>#NAME?</v>
      </c>
      <c r="AM20" s="72" t="e">
        <f t="shared" ref="AM20:AM42" ca="1" si="65">AD20+AG20*agprice/auprice+AJ20*cuprice/auprice</f>
        <v>#NAME?</v>
      </c>
      <c r="AN20" s="72" t="e">
        <f t="shared" ref="AN20:AN42" ca="1" si="66">AE20+AH20*agprice/auprice+AK20*cuprice/auprice</f>
        <v>#NAME?</v>
      </c>
      <c r="AO20" s="72" t="e">
        <f t="shared" ref="AO20:AO42" ca="1" si="67">AF20+AI20*agprice/auprice+AL20*cuprice/auprice</f>
        <v>#NAME?</v>
      </c>
      <c r="AP20" s="83" t="str">
        <f t="shared" ca="1" si="43"/>
        <v>NA</v>
      </c>
      <c r="AQ20" s="84" t="str">
        <f t="shared" ca="1" si="43"/>
        <v>NA</v>
      </c>
      <c r="AR20" s="85" t="str">
        <f t="shared" ca="1" si="43"/>
        <v>NA</v>
      </c>
      <c r="AS20" s="72">
        <f ca="1">IFERROR(_xll.SNL.Clients.Office.Excel.Functions.SPG($L20, $AS$3, AS$2,$AS$4)/1000,0)</f>
        <v>0</v>
      </c>
      <c r="AT20" s="72">
        <f ca="1">IFERROR(_xll.SNL.Clients.Office.Excel.Functions.SPG($L20, $AS$3, AT$2,$AS$4)/1000,0)</f>
        <v>0</v>
      </c>
      <c r="AU20" s="72">
        <f ca="1">IFERROR(_xll.SNL.Clients.Office.Excel.Functions.SPG($L20, $AV$3, AU$2,$AS$4)/1000,0)</f>
        <v>0</v>
      </c>
      <c r="AV20" s="72">
        <f ca="1">IFERROR(_xll.SNL.Clients.Office.Excel.Functions.SPG($L20, $AV$3, AV$2,$AS$4)/1000,0)</f>
        <v>0</v>
      </c>
      <c r="AW20" s="72">
        <f ca="1">IFERROR(_xll.SNL.Clients.Office.Excel.Functions.SPG($L20, $AV$3, AW$2,$AS$4)/1000,0)</f>
        <v>0</v>
      </c>
      <c r="AX20" s="72">
        <f ca="1">IFERROR(_xll.SNL.Clients.Office.Excel.Functions.SPG($L20, $AX$3, AX$2,$AS$4)/1000,0)</f>
        <v>0</v>
      </c>
      <c r="AY20" s="72">
        <f ca="1">IFERROR(_xll.SNL.Clients.Office.Excel.Functions.SPG($L20, $AX$3, AY$2,$AS$4)/1000,0)</f>
        <v>0</v>
      </c>
      <c r="AZ20" s="72">
        <f ca="1">IFERROR(_xll.SNL.Clients.Office.Excel.Functions.SPG($L20, $BA$3, AZ$2,$AS$4)/1000,0)</f>
        <v>0</v>
      </c>
      <c r="BA20" s="72">
        <f ca="1">IFERROR(_xll.SNL.Clients.Office.Excel.Functions.SPG($L20, $BA$3, BA$2,$AS$4)/1000,0)</f>
        <v>0</v>
      </c>
      <c r="BB20" s="72">
        <f ca="1">IFERROR(_xll.SNL.Clients.Office.Excel.Functions.SPG($L20, $BA$3, BB$2,$AS$4)/1000,0)</f>
        <v>0</v>
      </c>
      <c r="BC20" s="72">
        <f ca="1">IFERROR(_xll.SNL.Clients.Office.Excel.Functions.SPG($L20, $BC$3, BC$2,$AS$4)/1000,0)</f>
        <v>0</v>
      </c>
      <c r="BD20" s="72">
        <f ca="1">IFERROR(_xll.SNL.Clients.Office.Excel.Functions.SPG($L20, $BC$3, BD$2,$AS$4)/1000,0)</f>
        <v>0</v>
      </c>
      <c r="BE20" s="72">
        <f ca="1">IFERROR(_xll.SNL.Clients.Office.Excel.Functions.SPG($L20, $BF$3, BE$2,$AS$4)/1000,0)</f>
        <v>0</v>
      </c>
      <c r="BF20" s="72">
        <f ca="1">IFERROR(_xll.SNL.Clients.Office.Excel.Functions.SPG($L20, $BF$3, BF$2,$AS$4)/1000,0)</f>
        <v>0</v>
      </c>
      <c r="BG20" s="72">
        <f ca="1">IFERROR(_xll.SNL.Clients.Office.Excel.Functions.SPG($L20, $BF$3, BG$2,$AS$4)/1000,0)</f>
        <v>0</v>
      </c>
      <c r="BH20" s="72">
        <f t="shared" ref="BH20:BH42" ca="1" si="68">AS20+AT20*agprice/auprice+AU20*cuprice/auprice+AV20*znprice/auprice+AW20*pbprice/auprice</f>
        <v>0</v>
      </c>
      <c r="BI20" s="72">
        <f t="shared" ref="BI20:BI42" ca="1" si="69">AX20+AY20*agprice/auprice+AZ20*cuprice/auprice+BA20*znprice/auprice+BB20*pbprice/auprice+BH20</f>
        <v>0</v>
      </c>
      <c r="BJ20" s="72">
        <f t="shared" ref="BJ20:BJ42" ca="1" si="70">BC20+BD20*agprice/auprice+BE20*cuprice/auprice+BF20*znprice/auprice+BG20*pbprice/auprice+BH20</f>
        <v>0</v>
      </c>
      <c r="BK20" s="77" t="str">
        <f t="shared" ca="1" si="39"/>
        <v>NA</v>
      </c>
      <c r="BL20" s="72" t="str">
        <f t="shared" ca="1" si="39"/>
        <v>NA</v>
      </c>
      <c r="BM20" s="78" t="str">
        <f t="shared" ca="1" si="39"/>
        <v>NA</v>
      </c>
      <c r="BN20" s="72" t="e">
        <f ca="1">_xll.SNL.Clients.Office.Excel.Functions.SPG($L20, $BN$3, BN$2, "Au", "Options:Curr=USD")</f>
        <v>#NAME?</v>
      </c>
      <c r="BO20" s="72" t="e">
        <f ca="1">_xll.SNL.Clients.Office.Excel.Functions.SPG($L20, $BN$3, BO$2, "Au", "Options:Curr=USD")</f>
        <v>#NAME?</v>
      </c>
      <c r="BP20" s="72" t="e">
        <f ca="1">_xll.SNL.Clients.Office.Excel.Functions.SPG($L20, $BN$3, BP$2, "Au", "Options:Curr=USD")</f>
        <v>#NAME?</v>
      </c>
      <c r="BQ20" s="78" t="e">
        <f ca="1">_xll.SNL.Clients.Office.Excel.Functions.SPG($L20, $BN$3, BQ$2, "Au", "Options:Curr=USD")</f>
        <v>#NAME?</v>
      </c>
      <c r="BR20" s="72" t="str">
        <f ca="1">IFERROR(AVERAGE(_xll.SNL.Clients.Office.Excel.Functions.SPG($L20,$BR$4,"Au",BR$2, "Options:Curr=USD"),_xll.SNL.Clients.Office.Excel.Functions.SPG($L20,$BR$3,"Au",BR$2, "Options:Curr=USD")),"NA")</f>
        <v>NA</v>
      </c>
      <c r="BS20" s="72" t="str">
        <f ca="1">IFERROR(AVERAGE(_xll.SNL.Clients.Office.Excel.Functions.SPG($L20,$BR$4,"Au",BS$2, "Options:Curr=USD"),_xll.SNL.Clients.Office.Excel.Functions.SPG($L20,$BR$3,"Au",BS$2, "Options:Curr=USD")),"NA")</f>
        <v>NA</v>
      </c>
      <c r="BT20" s="78" t="str">
        <f ca="1">IFERROR(AVERAGE(_xll.SNL.Clients.Office.Excel.Functions.SPG($L20,$BR$4,"Au",BT$2, "Options:Curr=USD"),_xll.SNL.Clients.Office.Excel.Functions.SPG($L20,$BR$3,"Au",BT$2, "Options:Curr=USD")),"NA")</f>
        <v>NA</v>
      </c>
      <c r="BV20" s="36" t="s">
        <v>88</v>
      </c>
      <c r="BW20" s="36"/>
      <c r="BX20" s="36" t="s">
        <v>89</v>
      </c>
      <c r="BY20" s="36"/>
    </row>
    <row r="21" spans="1:77" ht="13.8" x14ac:dyDescent="0.25">
      <c r="A21" s="56" t="e">
        <f ca="1">_xll.SNL.Clients.Office.Excel.Functions.SPG($L21, A$3)</f>
        <v>#NAME?</v>
      </c>
      <c r="B21" s="56" t="e">
        <f ca="1">_xll.BDP($K21,B$3)</f>
        <v>#NAME?</v>
      </c>
      <c r="C21" s="56" t="e">
        <f ca="1">_xll.BDP($K21,C$3)</f>
        <v>#NAME?</v>
      </c>
      <c r="D21" s="56" t="e">
        <f ca="1">_xll.BDP($K21,D$3)</f>
        <v>#NAME?</v>
      </c>
      <c r="E21" s="57" t="s">
        <v>138</v>
      </c>
      <c r="F21" s="57" t="s">
        <v>83</v>
      </c>
      <c r="G21" s="57" t="s">
        <v>84</v>
      </c>
      <c r="H21" s="58" t="e">
        <f ca="1">_xll.SNL.Clients.Office.Excel.Functions.SPG($L21, "IQ_TEV", "Options: Curr=USD")</f>
        <v>#NAME?</v>
      </c>
      <c r="I21" s="58" t="e">
        <f ca="1">_xll.SNL.Clients.Office.Excel.Functions.SPG($L21, "SP_MARKETCAP", "Options: Curr=USD")</f>
        <v>#NAME?</v>
      </c>
      <c r="J21" s="59" t="s">
        <v>139</v>
      </c>
      <c r="K21" s="3" t="s">
        <v>140</v>
      </c>
      <c r="L21" s="3" t="s">
        <v>141</v>
      </c>
      <c r="M21" s="60" t="e" cm="1">
        <f t="array" aca="1" ref="M21" ca="1">_xll.SNL.Clients.Office.Excel.Functions.SPG($L21, $M$3)/100</f>
        <v>#NAME?</v>
      </c>
      <c r="N21" s="61" t="e" cm="1">
        <f t="array" aca="1" ref="N21" ca="1">_xll.SNL.Clients.Office.Excel.Functions.SPG($L21, "SP_PCFPS_FWD",N$2)</f>
        <v>#NAME?</v>
      </c>
      <c r="O21" s="62" t="e" cm="1">
        <f t="array" aca="1" ref="O21" ca="1">_xll.SNL.Clients.Office.Excel.Functions.SPG($L21, "SP_PCFPS_FWD",O$2)</f>
        <v>#NAME?</v>
      </c>
      <c r="P21" s="63" t="e" cm="1">
        <f t="array" aca="1" ref="P21" ca="1">_xll.SNL.Clients.Office.Excel.Functions.SPG($L21, "SP_PCFPS_FWD",P$2)</f>
        <v>#NAME?</v>
      </c>
      <c r="Q21" s="64" t="e">
        <f ca="1">_xll.SNL.Clients.Office.Excel.Functions.SPG($L21, "SP_FCF_EST",Q$2, "Options: Curr=USD")/1000/$I21</f>
        <v>#NAME?</v>
      </c>
      <c r="R21" s="64" t="e">
        <f ca="1">_xll.SNL.Clients.Office.Excel.Functions.SPG($L21, "SP_FCF_EST",R$2, "Options: Curr=USD")/1000/$I21</f>
        <v>#NAME?</v>
      </c>
      <c r="S21" s="64" t="e">
        <f ca="1">_xll.SNL.Clients.Office.Excel.Functions.SPG($L21, "SP_FCF_EST",S$2, "Options: Curr=USD")/1000/$I21</f>
        <v>#NAME?</v>
      </c>
      <c r="T21" s="61" t="e" cm="1">
        <f t="array" aca="1" ref="T21" ca="1">_xll.SNL.Clients.Office.Excel.Functions.SPG($L21, "SP_PE_FWD",T$2)</f>
        <v>#NAME?</v>
      </c>
      <c r="U21" s="63" t="e" cm="1">
        <f t="array" aca="1" ref="U21" ca="1">_xll.SNL.Clients.Office.Excel.Functions.SPG($L21, "SP_PE_FWD",U$2)</f>
        <v>#NAME?</v>
      </c>
      <c r="V21" s="80" t="e" cm="1">
        <f t="array" aca="1" ref="V21" ca="1">_xll.SNL.Clients.Office.Excel.Functions.SPG($L21, $V$3,V$2)</f>
        <v>#NAME?</v>
      </c>
      <c r="W21" s="81" t="e" cm="1">
        <f t="array" aca="1" ref="W21" ca="1">_xll.SNL.Clients.Office.Excel.Functions.SPG($L21, $V$3,W$2)</f>
        <v>#NAME?</v>
      </c>
      <c r="X21" s="82" t="e" cm="1">
        <f t="array" aca="1" ref="X21" ca="1">_xll.SNL.Clients.Office.Excel.Functions.SPG($L21, $V$3,X$2)</f>
        <v>#NAME?</v>
      </c>
      <c r="Y21" s="69" t="e" cm="1">
        <f t="array" aca="1" ref="Y21" ca="1">IF((_xll.SNL.Clients.Office.Excel.Functions.SPG($L21,Y$3,Y$4,"Options: Curr=USD") / _xll.SNL.Clients.Office.Excel.Functions.SPG($L21,"SP_EBITDA_EST",Y$2,"Options: Curr=USD")) &lt; 0, "NM", (_xll.SNL.Clients.Office.Excel.Functions.SPG($L21,Y$3,Y$4,"Options: Curr=USD") / _xll.SNL.Clients.Office.Excel.Functions.SPG($L21,"SP_EBITDA_EST",Y$2,"Options: Curr=USD")))</f>
        <v>#NAME?</v>
      </c>
      <c r="Z21" s="70" t="e" cm="1">
        <f t="array" aca="1" ref="Z21" ca="1">_xll.SNL.Clients.Office.Excel.Functions.SPG($L21, Z$3,Z$4)</f>
        <v>#NAME?</v>
      </c>
      <c r="AA21" s="77" t="str">
        <f ca="1">IFERROR(0.001*AVERAGE(_xll.SNL.Clients.Office.Excel.Functions.SPG($L21,$AA$4,"Au",AA$2),_xll.SNL.Clients.Office.Excel.Functions.SPG($L21,$AA$3,"Au",AA$2)),"NA")</f>
        <v>NA</v>
      </c>
      <c r="AB21" s="72" t="str">
        <f ca="1">IFERROR(0.001*AVERAGE(_xll.SNL.Clients.Office.Excel.Functions.SPG($L21,$AA$4,"Au",AB$2),_xll.SNL.Clients.Office.Excel.Functions.SPG($L21,$AA$3,"Au",AB$2)),"NA")</f>
        <v>NA</v>
      </c>
      <c r="AC21" s="78" t="str">
        <f ca="1">IFERROR(0.001*AVERAGE(_xll.SNL.Clients.Office.Excel.Functions.SPG($L21,$AA$4,"Au",AC$2),_xll.SNL.Clients.Office.Excel.Functions.SPG($L21,$AA$3,"Au",AC$2)),"NA")</f>
        <v>NA</v>
      </c>
      <c r="AD21" s="72" t="e">
        <f ca="1" xml:space="preserve"> IF(ISNUMBER(SEARCH("na",_xll.SNL.Clients.Office.Excel.Functions.SPG($L21, $AD$4, AD$2))), 0,_xll.SNL.Clients.Office.Excel.Functions.SPG($L21, $AD$4, AD$2))</f>
        <v>#NAME?</v>
      </c>
      <c r="AE21" s="72" t="e">
        <f ca="1" xml:space="preserve"> IF(ISNUMBER(SEARCH("na",_xll.SNL.Clients.Office.Excel.Functions.SPG($L21, $AD$4, AE$2))), 0,_xll.SNL.Clients.Office.Excel.Functions.SPG($L21, $AD$4, AE$2))</f>
        <v>#NAME?</v>
      </c>
      <c r="AF21" s="72" t="e">
        <f ca="1" xml:space="preserve"> IF(ISNUMBER(SEARCH("na",_xll.SNL.Clients.Office.Excel.Functions.SPG($L21, $AD$4, AF$2))), 0,_xll.SNL.Clients.Office.Excel.Functions.SPG($L21, $AD$4, AF$2))</f>
        <v>#NAME?</v>
      </c>
      <c r="AG21" s="72" t="e">
        <f ca="1" xml:space="preserve"> IF(ISNUMBER(SEARCH("na",_xll.SNL.Clients.Office.Excel.Functions.SPG($L21, $AG$4, AG$2))), 0,_xll.SNL.Clients.Office.Excel.Functions.SPG($L21, $AG$4, AG$2))</f>
        <v>#NAME?</v>
      </c>
      <c r="AH21" s="72" t="e">
        <f ca="1" xml:space="preserve"> IF(ISNUMBER(SEARCH("na",_xll.SNL.Clients.Office.Excel.Functions.SPG($L21, $AG$4, AH$2))), 0,_xll.SNL.Clients.Office.Excel.Functions.SPG($L21, $AG$4, AH$2))</f>
        <v>#NAME?</v>
      </c>
      <c r="AI21" s="72" t="e">
        <f ca="1" xml:space="preserve"> IF(ISNUMBER(SEARCH("na",_xll.SNL.Clients.Office.Excel.Functions.SPG($L21, $AG$4, AI$2))), 0,_xll.SNL.Clients.Office.Excel.Functions.SPG($L21, $AG$4, AI$2))</f>
        <v>#NAME?</v>
      </c>
      <c r="AJ21" s="72" t="e">
        <f ca="1" xml:space="preserve"> IF(ISNUMBER(SEARCH("na",_xll.SNL.Clients.Office.Excel.Functions.SPG($L21, $AJ$4, AJ$2))), 0,_xll.SNL.Clients.Office.Excel.Functions.SPG($L21, $AJ$4, AJ$2))</f>
        <v>#NAME?</v>
      </c>
      <c r="AK21" s="72" t="e">
        <f ca="1" xml:space="preserve"> IF(ISNUMBER(SEARCH("na",_xll.SNL.Clients.Office.Excel.Functions.SPG($L21, $AJ$4, AK$2))), 0,_xll.SNL.Clients.Office.Excel.Functions.SPG($L21, $AJ$4, AK$2))</f>
        <v>#NAME?</v>
      </c>
      <c r="AL21" s="72" t="e">
        <f ca="1" xml:space="preserve"> IF(ISNUMBER(SEARCH("na",_xll.SNL.Clients.Office.Excel.Functions.SPG($L21, $AJ$4, AL$2))), 0,_xll.SNL.Clients.Office.Excel.Functions.SPG($L21, $AJ$4, AL$2))</f>
        <v>#NAME?</v>
      </c>
      <c r="AM21" s="72" t="e">
        <f t="shared" ref="AM21:AM43" ca="1" si="71">AD21+AG21*agprice/auprice+AJ21*cuprice/auprice</f>
        <v>#NAME?</v>
      </c>
      <c r="AN21" s="72" t="e">
        <f t="shared" ref="AN21:AN43" ca="1" si="72">AE21+AH21*agprice/auprice+AK21*cuprice/auprice</f>
        <v>#NAME?</v>
      </c>
      <c r="AO21" s="72" t="e">
        <f t="shared" ref="AO21:AO43" ca="1" si="73">AF21+AI21*agprice/auprice+AL21*cuprice/auprice</f>
        <v>#NAME?</v>
      </c>
      <c r="AP21" s="83" t="str">
        <f t="shared" ca="1" si="43"/>
        <v>NA</v>
      </c>
      <c r="AQ21" s="84" t="str">
        <f t="shared" ca="1" si="43"/>
        <v>NA</v>
      </c>
      <c r="AR21" s="85" t="str">
        <f t="shared" ca="1" si="43"/>
        <v>NA</v>
      </c>
      <c r="AS21" s="72">
        <f ca="1">IFERROR(_xll.SNL.Clients.Office.Excel.Functions.SPG($L21, $AS$3, AS$2,$AS$4)/1000,0)</f>
        <v>0</v>
      </c>
      <c r="AT21" s="72">
        <f ca="1">IFERROR(_xll.SNL.Clients.Office.Excel.Functions.SPG($L21, $AS$3, AT$2,$AS$4)/1000,0)</f>
        <v>0</v>
      </c>
      <c r="AU21" s="72">
        <f ca="1">IFERROR(_xll.SNL.Clients.Office.Excel.Functions.SPG($L21, $AV$3, AU$2,$AS$4)/1000,0)</f>
        <v>0</v>
      </c>
      <c r="AV21" s="72">
        <f ca="1">IFERROR(_xll.SNL.Clients.Office.Excel.Functions.SPG($L21, $AV$3, AV$2,$AS$4)/1000,0)</f>
        <v>0</v>
      </c>
      <c r="AW21" s="72">
        <f ca="1">IFERROR(_xll.SNL.Clients.Office.Excel.Functions.SPG($L21, $AV$3, AW$2,$AS$4)/1000,0)</f>
        <v>0</v>
      </c>
      <c r="AX21" s="72">
        <f ca="1">IFERROR(_xll.SNL.Clients.Office.Excel.Functions.SPG($L21, $AX$3, AX$2,$AS$4)/1000,0)</f>
        <v>0</v>
      </c>
      <c r="AY21" s="72">
        <f ca="1">IFERROR(_xll.SNL.Clients.Office.Excel.Functions.SPG($L21, $AX$3, AY$2,$AS$4)/1000,0)</f>
        <v>0</v>
      </c>
      <c r="AZ21" s="72">
        <f ca="1">IFERROR(_xll.SNL.Clients.Office.Excel.Functions.SPG($L21, $BA$3, AZ$2,$AS$4)/1000,0)</f>
        <v>0</v>
      </c>
      <c r="BA21" s="72">
        <f ca="1">IFERROR(_xll.SNL.Clients.Office.Excel.Functions.SPG($L21, $BA$3, BA$2,$AS$4)/1000,0)</f>
        <v>0</v>
      </c>
      <c r="BB21" s="72">
        <f ca="1">IFERROR(_xll.SNL.Clients.Office.Excel.Functions.SPG($L21, $BA$3, BB$2,$AS$4)/1000,0)</f>
        <v>0</v>
      </c>
      <c r="BC21" s="72">
        <f ca="1">IFERROR(_xll.SNL.Clients.Office.Excel.Functions.SPG($L21, $BC$3, BC$2,$AS$4)/1000,0)</f>
        <v>0</v>
      </c>
      <c r="BD21" s="72">
        <f ca="1">IFERROR(_xll.SNL.Clients.Office.Excel.Functions.SPG($L21, $BC$3, BD$2,$AS$4)/1000,0)</f>
        <v>0</v>
      </c>
      <c r="BE21" s="72">
        <f ca="1">IFERROR(_xll.SNL.Clients.Office.Excel.Functions.SPG($L21, $BF$3, BE$2,$AS$4)/1000,0)</f>
        <v>0</v>
      </c>
      <c r="BF21" s="72">
        <f ca="1">IFERROR(_xll.SNL.Clients.Office.Excel.Functions.SPG($L21, $BF$3, BF$2,$AS$4)/1000,0)</f>
        <v>0</v>
      </c>
      <c r="BG21" s="72">
        <f ca="1">IFERROR(_xll.SNL.Clients.Office.Excel.Functions.SPG($L21, $BF$3, BG$2,$AS$4)/1000,0)</f>
        <v>0</v>
      </c>
      <c r="BH21" s="72">
        <f t="shared" ref="BH21:BH43" ca="1" si="74">AS21+AT21*agprice/auprice+AU21*cuprice/auprice+AV21*znprice/auprice+AW21*pbprice/auprice</f>
        <v>0</v>
      </c>
      <c r="BI21" s="72">
        <f t="shared" ref="BI21:BI43" ca="1" si="75">AX21+AY21*agprice/auprice+AZ21*cuprice/auprice+BA21*znprice/auprice+BB21*pbprice/auprice+BH21</f>
        <v>0</v>
      </c>
      <c r="BJ21" s="72">
        <f t="shared" ref="BJ21:BJ43" ca="1" si="76">BC21+BD21*agprice/auprice+BE21*cuprice/auprice+BF21*znprice/auprice+BG21*pbprice/auprice+BH21</f>
        <v>0</v>
      </c>
      <c r="BK21" s="77" t="str">
        <f t="shared" ca="1" si="39"/>
        <v>NA</v>
      </c>
      <c r="BL21" s="72" t="str">
        <f t="shared" ca="1" si="39"/>
        <v>NA</v>
      </c>
      <c r="BM21" s="78" t="str">
        <f t="shared" ca="1" si="39"/>
        <v>NA</v>
      </c>
      <c r="BN21" s="72" t="e">
        <f ca="1">_xll.SNL.Clients.Office.Excel.Functions.SPG($L21, $BN$3, BN$2, "Au", "Options:Curr=USD")</f>
        <v>#NAME?</v>
      </c>
      <c r="BO21" s="72" t="e">
        <f ca="1">_xll.SNL.Clients.Office.Excel.Functions.SPG($L21, $BN$3, BO$2, "Au", "Options:Curr=USD")</f>
        <v>#NAME?</v>
      </c>
      <c r="BP21" s="72" t="e">
        <f ca="1">_xll.SNL.Clients.Office.Excel.Functions.SPG($L21, $BN$3, BP$2, "Au", "Options:Curr=USD")</f>
        <v>#NAME?</v>
      </c>
      <c r="BQ21" s="78" t="e">
        <f ca="1">_xll.SNL.Clients.Office.Excel.Functions.SPG($L21, $BN$3, BQ$2, "Au", "Options:Curr=USD")</f>
        <v>#NAME?</v>
      </c>
      <c r="BR21" s="72" t="str">
        <f ca="1">IFERROR(AVERAGE(_xll.SNL.Clients.Office.Excel.Functions.SPG($L21,$BR$4,"Au",BR$2, "Options:Curr=USD"),_xll.SNL.Clients.Office.Excel.Functions.SPG($L21,$BR$3,"Au",BR$2, "Options:Curr=USD")),"NA")</f>
        <v>NA</v>
      </c>
      <c r="BS21" s="72" t="str">
        <f ca="1">IFERROR(AVERAGE(_xll.SNL.Clients.Office.Excel.Functions.SPG($L21,$BR$4,"Au",BS$2, "Options:Curr=USD"),_xll.SNL.Clients.Office.Excel.Functions.SPG($L21,$BR$3,"Au",BS$2, "Options:Curr=USD")),"NA")</f>
        <v>NA</v>
      </c>
      <c r="BT21" s="78" t="str">
        <f ca="1">IFERROR(AVERAGE(_xll.SNL.Clients.Office.Excel.Functions.SPG($L21,$BR$4,"Au",BT$2, "Options:Curr=USD"),_xll.SNL.Clients.Office.Excel.Functions.SPG($L21,$BR$3,"Au",BT$2, "Options:Curr=USD")),"NA")</f>
        <v>NA</v>
      </c>
      <c r="BV21" s="36" t="s">
        <v>88</v>
      </c>
      <c r="BW21" s="36"/>
      <c r="BX21" s="36" t="s">
        <v>89</v>
      </c>
      <c r="BY21" s="36"/>
    </row>
    <row r="22" spans="1:77" ht="13.8" x14ac:dyDescent="0.25">
      <c r="A22" s="56" t="e">
        <f ca="1">_xll.SNL.Clients.Office.Excel.Functions.SPG($L22, A$3)</f>
        <v>#NAME?</v>
      </c>
      <c r="B22" s="56" t="e">
        <f ca="1">_xll.BDP($K22,B$3)</f>
        <v>#NAME?</v>
      </c>
      <c r="C22" s="56" t="e">
        <f ca="1">_xll.BDP($K22,C$3)</f>
        <v>#NAME?</v>
      </c>
      <c r="D22" s="56" t="e">
        <f ca="1">_xll.BDP($K22,D$3)</f>
        <v>#NAME?</v>
      </c>
      <c r="E22" s="57" t="s">
        <v>138</v>
      </c>
      <c r="F22" s="57" t="s">
        <v>83</v>
      </c>
      <c r="G22" s="57" t="s">
        <v>84</v>
      </c>
      <c r="H22" s="111" t="e">
        <f ca="1">_xll.SNL.Clients.Office.Excel.Functions.SPG($L22, "IQ_TEV", "Options: Curr=USD")</f>
        <v>#NAME?</v>
      </c>
      <c r="I22" s="111" t="e">
        <f ca="1">_xll.SNL.Clients.Office.Excel.Functions.SPG($L22, "SP_MARKETCAP", "Options: Curr=USD")</f>
        <v>#NAME?</v>
      </c>
      <c r="J22" s="59" t="s">
        <v>142</v>
      </c>
      <c r="K22" s="3" t="s">
        <v>143</v>
      </c>
      <c r="L22" s="3" t="s">
        <v>144</v>
      </c>
      <c r="M22" s="60" t="e" cm="1">
        <f t="array" aca="1" ref="M22" ca="1">_xll.SNL.Clients.Office.Excel.Functions.SPG($L22, $M$3)/100</f>
        <v>#NAME?</v>
      </c>
      <c r="N22" s="61" t="e" cm="1">
        <f t="array" aca="1" ref="N22" ca="1">_xll.SNL.Clients.Office.Excel.Functions.SPG($L22, "SP_PCFPS_FWD",N$2)</f>
        <v>#NAME?</v>
      </c>
      <c r="O22" s="62" t="e" cm="1">
        <f t="array" aca="1" ref="O22" ca="1">_xll.SNL.Clients.Office.Excel.Functions.SPG($L22, "SP_PCFPS_FWD",O$2)</f>
        <v>#NAME?</v>
      </c>
      <c r="P22" s="63" t="e" cm="1">
        <f t="array" aca="1" ref="P22" ca="1">_xll.SNL.Clients.Office.Excel.Functions.SPG($L22, "SP_PCFPS_FWD",P$2)</f>
        <v>#NAME?</v>
      </c>
      <c r="Q22" s="64" t="e">
        <f ca="1">_xll.SNL.Clients.Office.Excel.Functions.SPG($L22, "SP_FCF_EST",Q$2, "Options: Curr=USD")/1000/$I22</f>
        <v>#NAME?</v>
      </c>
      <c r="R22" s="64" t="e">
        <f ca="1">_xll.SNL.Clients.Office.Excel.Functions.SPG($L22, "SP_FCF_EST",R$2, "Options: Curr=USD")/1000/$I22</f>
        <v>#NAME?</v>
      </c>
      <c r="S22" s="64" t="e">
        <f ca="1">_xll.SNL.Clients.Office.Excel.Functions.SPG($L22, "SP_FCF_EST",S$2, "Options: Curr=USD")/1000/$I22</f>
        <v>#NAME?</v>
      </c>
      <c r="T22" s="61" t="e" cm="1">
        <f t="array" aca="1" ref="T22" ca="1">_xll.SNL.Clients.Office.Excel.Functions.SPG($L22, "SP_PE_FWD",T$2)</f>
        <v>#NAME?</v>
      </c>
      <c r="U22" s="63" t="e" cm="1">
        <f t="array" aca="1" ref="U22" ca="1">_xll.SNL.Clients.Office.Excel.Functions.SPG($L22, "SP_PE_FWD",U$2)</f>
        <v>#NAME?</v>
      </c>
      <c r="V22" s="80" t="e" cm="1">
        <f t="array" aca="1" ref="V22" ca="1">_xll.SNL.Clients.Office.Excel.Functions.SPG($L22, $V$3,V$2)</f>
        <v>#NAME?</v>
      </c>
      <c r="W22" s="81" t="e" cm="1">
        <f t="array" aca="1" ref="W22" ca="1">_xll.SNL.Clients.Office.Excel.Functions.SPG($L22, $V$3,W$2)</f>
        <v>#NAME?</v>
      </c>
      <c r="X22" s="82" t="e" cm="1">
        <f t="array" aca="1" ref="X22" ca="1">_xll.SNL.Clients.Office.Excel.Functions.SPG($L22, $V$3,X$2)</f>
        <v>#NAME?</v>
      </c>
      <c r="Y22" s="69" t="e" cm="1">
        <f t="array" aca="1" ref="Y22" ca="1">IF((_xll.SNL.Clients.Office.Excel.Functions.SPG($L22,Y$3,Y$4,"Options: Curr=USD") / _xll.SNL.Clients.Office.Excel.Functions.SPG($L22,"SP_EBITDA_EST",Y$2,"Options: Curr=USD")) &lt; 0, "NM", (_xll.SNL.Clients.Office.Excel.Functions.SPG($L22,Y$3,Y$4,"Options: Curr=USD") / _xll.SNL.Clients.Office.Excel.Functions.SPG($L22,"SP_EBITDA_EST",Y$2,"Options: Curr=USD")))</f>
        <v>#NAME?</v>
      </c>
      <c r="Z22" s="70" t="e" cm="1">
        <f t="array" aca="1" ref="Z22" ca="1">_xll.SNL.Clients.Office.Excel.Functions.SPG($L22, Z$3,Z$4)</f>
        <v>#NAME?</v>
      </c>
      <c r="AA22" s="77" t="str">
        <f ca="1">IFERROR(0.001*AVERAGE(_xll.SNL.Clients.Office.Excel.Functions.SPG($L22,$AA$4,"Au",AA$2),_xll.SNL.Clients.Office.Excel.Functions.SPG($L22,$AA$3,"Au",AA$2)),"NA")</f>
        <v>NA</v>
      </c>
      <c r="AB22" s="72" t="str">
        <f ca="1">IFERROR(0.001*AVERAGE(_xll.SNL.Clients.Office.Excel.Functions.SPG($L22,$AA$4,"Au",AB$2),_xll.SNL.Clients.Office.Excel.Functions.SPG($L22,$AA$3,"Au",AB$2)),"NA")</f>
        <v>NA</v>
      </c>
      <c r="AC22" s="78" t="str">
        <f ca="1">IFERROR(0.001*AVERAGE(_xll.SNL.Clients.Office.Excel.Functions.SPG($L22,$AA$4,"Au",AC$2),_xll.SNL.Clients.Office.Excel.Functions.SPG($L22,$AA$3,"Au",AC$2)),"NA")</f>
        <v>NA</v>
      </c>
      <c r="AD22" s="72" t="e">
        <f ca="1" xml:space="preserve"> IF(ISNUMBER(SEARCH("na",_xll.SNL.Clients.Office.Excel.Functions.SPG($L22, $AD$4, AD$2))), 0,_xll.SNL.Clients.Office.Excel.Functions.SPG($L22, $AD$4, AD$2))</f>
        <v>#NAME?</v>
      </c>
      <c r="AE22" s="72" t="e">
        <f ca="1" xml:space="preserve"> IF(ISNUMBER(SEARCH("na",_xll.SNL.Clients.Office.Excel.Functions.SPG($L22, $AD$4, AE$2))), 0,_xll.SNL.Clients.Office.Excel.Functions.SPG($L22, $AD$4, AE$2))</f>
        <v>#NAME?</v>
      </c>
      <c r="AF22" s="72" t="e">
        <f ca="1" xml:space="preserve"> IF(ISNUMBER(SEARCH("na",_xll.SNL.Clients.Office.Excel.Functions.SPG($L22, $AD$4, AF$2))), 0,_xll.SNL.Clients.Office.Excel.Functions.SPG($L22, $AD$4, AF$2))</f>
        <v>#NAME?</v>
      </c>
      <c r="AG22" s="72" t="e">
        <f ca="1" xml:space="preserve"> IF(ISNUMBER(SEARCH("na",_xll.SNL.Clients.Office.Excel.Functions.SPG($L22, $AG$4, AG$2))), 0,_xll.SNL.Clients.Office.Excel.Functions.SPG($L22, $AG$4, AG$2))</f>
        <v>#NAME?</v>
      </c>
      <c r="AH22" s="72" t="e">
        <f ca="1" xml:space="preserve"> IF(ISNUMBER(SEARCH("na",_xll.SNL.Clients.Office.Excel.Functions.SPG($L22, $AG$4, AH$2))), 0,_xll.SNL.Clients.Office.Excel.Functions.SPG($L22, $AG$4, AH$2))</f>
        <v>#NAME?</v>
      </c>
      <c r="AI22" s="72" t="e">
        <f ca="1" xml:space="preserve"> IF(ISNUMBER(SEARCH("na",_xll.SNL.Clients.Office.Excel.Functions.SPG($L22, $AG$4, AI$2))), 0,_xll.SNL.Clients.Office.Excel.Functions.SPG($L22, $AG$4, AI$2))</f>
        <v>#NAME?</v>
      </c>
      <c r="AJ22" s="72" t="e">
        <f ca="1" xml:space="preserve"> IF(ISNUMBER(SEARCH("na",_xll.SNL.Clients.Office.Excel.Functions.SPG($L22, $AJ$4, AJ$2))), 0,_xll.SNL.Clients.Office.Excel.Functions.SPG($L22, $AJ$4, AJ$2))</f>
        <v>#NAME?</v>
      </c>
      <c r="AK22" s="72" t="e">
        <f ca="1" xml:space="preserve"> IF(ISNUMBER(SEARCH("na",_xll.SNL.Clients.Office.Excel.Functions.SPG($L22, $AJ$4, AK$2))), 0,_xll.SNL.Clients.Office.Excel.Functions.SPG($L22, $AJ$4, AK$2))</f>
        <v>#NAME?</v>
      </c>
      <c r="AL22" s="72" t="e">
        <f ca="1" xml:space="preserve"> IF(ISNUMBER(SEARCH("na",_xll.SNL.Clients.Office.Excel.Functions.SPG($L22, $AJ$4, AL$2))), 0,_xll.SNL.Clients.Office.Excel.Functions.SPG($L22, $AJ$4, AL$2))</f>
        <v>#NAME?</v>
      </c>
      <c r="AM22" s="72" t="e">
        <f t="shared" ref="AM22:AM44" ca="1" si="77">AD22+AG22*agprice/auprice+AJ22*cuprice/auprice</f>
        <v>#NAME?</v>
      </c>
      <c r="AN22" s="72" t="e">
        <f t="shared" ref="AN22:AN44" ca="1" si="78">AE22+AH22*agprice/auprice+AK22*cuprice/auprice</f>
        <v>#NAME?</v>
      </c>
      <c r="AO22" s="72" t="e">
        <f t="shared" ref="AO22:AO44" ca="1" si="79">AF22+AI22*agprice/auprice+AL22*cuprice/auprice</f>
        <v>#NAME?</v>
      </c>
      <c r="AP22" s="83" t="str">
        <f t="shared" ca="1" si="43"/>
        <v>NA</v>
      </c>
      <c r="AQ22" s="84" t="str">
        <f t="shared" ca="1" si="43"/>
        <v>NA</v>
      </c>
      <c r="AR22" s="85" t="str">
        <f t="shared" ca="1" si="43"/>
        <v>NA</v>
      </c>
      <c r="AS22" s="72">
        <f ca="1">IFERROR(_xll.SNL.Clients.Office.Excel.Functions.SPG($L22, $AS$3, AS$2,$AS$4)/1000,0)</f>
        <v>0</v>
      </c>
      <c r="AT22" s="72">
        <f ca="1">IFERROR(_xll.SNL.Clients.Office.Excel.Functions.SPG($L22, $AS$3, AT$2,$AS$4)/1000,0)</f>
        <v>0</v>
      </c>
      <c r="AU22" s="72">
        <f ca="1">IFERROR(_xll.SNL.Clients.Office.Excel.Functions.SPG($L22, $AV$3, AU$2,$AS$4)/1000,0)</f>
        <v>0</v>
      </c>
      <c r="AV22" s="72">
        <f ca="1">IFERROR(_xll.SNL.Clients.Office.Excel.Functions.SPG($L22, $AV$3, AV$2,$AS$4)/1000,0)</f>
        <v>0</v>
      </c>
      <c r="AW22" s="72">
        <f ca="1">IFERROR(_xll.SNL.Clients.Office.Excel.Functions.SPG($L22, $AV$3, AW$2,$AS$4)/1000,0)</f>
        <v>0</v>
      </c>
      <c r="AX22" s="72">
        <f ca="1">IFERROR(_xll.SNL.Clients.Office.Excel.Functions.SPG($L22, $AX$3, AX$2,$AS$4)/1000,0)</f>
        <v>0</v>
      </c>
      <c r="AY22" s="72">
        <f ca="1">IFERROR(_xll.SNL.Clients.Office.Excel.Functions.SPG($L22, $AX$3, AY$2,$AS$4)/1000,0)</f>
        <v>0</v>
      </c>
      <c r="AZ22" s="72">
        <f ca="1">IFERROR(_xll.SNL.Clients.Office.Excel.Functions.SPG($L22, $BA$3, AZ$2,$AS$4)/1000,0)</f>
        <v>0</v>
      </c>
      <c r="BA22" s="72">
        <f ca="1">IFERROR(_xll.SNL.Clients.Office.Excel.Functions.SPG($L22, $BA$3, BA$2,$AS$4)/1000,0)</f>
        <v>0</v>
      </c>
      <c r="BB22" s="72">
        <f ca="1">IFERROR(_xll.SNL.Clients.Office.Excel.Functions.SPG($L22, $BA$3, BB$2,$AS$4)/1000,0)</f>
        <v>0</v>
      </c>
      <c r="BC22" s="72">
        <f ca="1">IFERROR(_xll.SNL.Clients.Office.Excel.Functions.SPG($L22, $BC$3, BC$2,$AS$4)/1000,0)</f>
        <v>0</v>
      </c>
      <c r="BD22" s="72">
        <f ca="1">IFERROR(_xll.SNL.Clients.Office.Excel.Functions.SPG($L22, $BC$3, BD$2,$AS$4)/1000,0)</f>
        <v>0</v>
      </c>
      <c r="BE22" s="72">
        <f ca="1">IFERROR(_xll.SNL.Clients.Office.Excel.Functions.SPG($L22, $BF$3, BE$2,$AS$4)/1000,0)</f>
        <v>0</v>
      </c>
      <c r="BF22" s="72">
        <f ca="1">IFERROR(_xll.SNL.Clients.Office.Excel.Functions.SPG($L22, $BF$3, BF$2,$AS$4)/1000,0)</f>
        <v>0</v>
      </c>
      <c r="BG22" s="72">
        <f ca="1">IFERROR(_xll.SNL.Clients.Office.Excel.Functions.SPG($L22, $BF$3, BG$2,$AS$4)/1000,0)</f>
        <v>0</v>
      </c>
      <c r="BH22" s="72">
        <f t="shared" ref="BH22:BH44" ca="1" si="80">AS22+AT22*agprice/auprice+AU22*cuprice/auprice+AV22*znprice/auprice+AW22*pbprice/auprice</f>
        <v>0</v>
      </c>
      <c r="BI22" s="72">
        <f t="shared" ref="BI22:BI44" ca="1" si="81">AX22+AY22*agprice/auprice+AZ22*cuprice/auprice+BA22*znprice/auprice+BB22*pbprice/auprice+BH22</f>
        <v>0</v>
      </c>
      <c r="BJ22" s="72">
        <f t="shared" ref="BJ22:BJ44" ca="1" si="82">BC22+BD22*agprice/auprice+BE22*cuprice/auprice+BF22*znprice/auprice+BG22*pbprice/auprice+BH22</f>
        <v>0</v>
      </c>
      <c r="BK22" s="77" t="str">
        <f t="shared" ca="1" si="39"/>
        <v>NA</v>
      </c>
      <c r="BL22" s="72" t="str">
        <f t="shared" ca="1" si="39"/>
        <v>NA</v>
      </c>
      <c r="BM22" s="78" t="str">
        <f t="shared" ca="1" si="39"/>
        <v>NA</v>
      </c>
      <c r="BN22" s="72" t="e">
        <f ca="1">_xll.SNL.Clients.Office.Excel.Functions.SPG($L22, $BN$3, BN$2, "Au", "Options:Curr=USD")</f>
        <v>#NAME?</v>
      </c>
      <c r="BO22" s="72" t="e">
        <f ca="1">_xll.SNL.Clients.Office.Excel.Functions.SPG($L22, $BN$3, BO$2, "Au", "Options:Curr=USD")</f>
        <v>#NAME?</v>
      </c>
      <c r="BP22" s="72" t="e">
        <f ca="1">_xll.SNL.Clients.Office.Excel.Functions.SPG($L22, $BN$3, BP$2, "Au", "Options:Curr=USD")</f>
        <v>#NAME?</v>
      </c>
      <c r="BQ22" s="78" t="e">
        <f ca="1">_xll.SNL.Clients.Office.Excel.Functions.SPG($L22, $BN$3, BQ$2, "Au", "Options:Curr=USD")</f>
        <v>#NAME?</v>
      </c>
      <c r="BR22" s="72" t="str">
        <f ca="1">IFERROR(AVERAGE(_xll.SNL.Clients.Office.Excel.Functions.SPG($L22,$BR$4,"Au",BR$2, "Options:Curr=USD"),_xll.SNL.Clients.Office.Excel.Functions.SPG($L22,$BR$3,"Au",BR$2, "Options:Curr=USD")),"NA")</f>
        <v>NA</v>
      </c>
      <c r="BS22" s="72" t="str">
        <f ca="1">IFERROR(AVERAGE(_xll.SNL.Clients.Office.Excel.Functions.SPG($L22,$BR$4,"Au",BS$2, "Options:Curr=USD"),_xll.SNL.Clients.Office.Excel.Functions.SPG($L22,$BR$3,"Au",BS$2, "Options:Curr=USD")),"NA")</f>
        <v>NA</v>
      </c>
      <c r="BT22" s="78" t="str">
        <f ca="1">IFERROR(AVERAGE(_xll.SNL.Clients.Office.Excel.Functions.SPG($L22,$BR$4,"Au",BT$2, "Options:Curr=USD"),_xll.SNL.Clients.Office.Excel.Functions.SPG($L22,$BR$3,"Au",BT$2, "Options:Curr=USD")),"NA")</f>
        <v>NA</v>
      </c>
      <c r="BV22" s="36" t="s">
        <v>88</v>
      </c>
      <c r="BW22" s="36"/>
      <c r="BX22" s="36" t="s">
        <v>89</v>
      </c>
      <c r="BY22" s="36"/>
    </row>
    <row r="23" spans="1:77" ht="13.8" x14ac:dyDescent="0.25">
      <c r="A23" s="56" t="e">
        <f ca="1">_xll.SNL.Clients.Office.Excel.Functions.SPG($L23, A$3)</f>
        <v>#NAME?</v>
      </c>
      <c r="B23" s="56" t="e">
        <f ca="1">_xll.BDP($K23,B$3)</f>
        <v>#NAME?</v>
      </c>
      <c r="C23" s="56" t="e">
        <f ca="1">_xll.BDP($K23,C$3)</f>
        <v>#NAME?</v>
      </c>
      <c r="D23" s="56" t="e">
        <f ca="1">_xll.BDP($K23,D$3)</f>
        <v>#NAME?</v>
      </c>
      <c r="E23" s="57" t="s">
        <v>145</v>
      </c>
      <c r="F23" s="57" t="s">
        <v>107</v>
      </c>
      <c r="G23" s="57" t="s">
        <v>84</v>
      </c>
      <c r="H23" s="111" t="e">
        <f ca="1">_xll.SNL.Clients.Office.Excel.Functions.SPG($L23, "IQ_TEV", "Options: Curr=USD")</f>
        <v>#NAME?</v>
      </c>
      <c r="I23" s="111" t="e">
        <f ca="1">_xll.SNL.Clients.Office.Excel.Functions.SPG($L23, "SP_MARKETCAP", "Options: Curr=USD")</f>
        <v>#NAME?</v>
      </c>
      <c r="J23" s="59" t="s">
        <v>146</v>
      </c>
      <c r="K23" s="3" t="s">
        <v>147</v>
      </c>
      <c r="L23" s="3" t="s">
        <v>148</v>
      </c>
      <c r="M23" s="60" t="e" cm="1">
        <f t="array" aca="1" ref="M23" ca="1">_xll.SNL.Clients.Office.Excel.Functions.SPG($L23, $M$3)/100</f>
        <v>#NAME?</v>
      </c>
      <c r="N23" s="61" t="e" cm="1">
        <f t="array" aca="1" ref="N23" ca="1">_xll.SNL.Clients.Office.Excel.Functions.SPG($L23, "SP_PCFPS_FWD",N$2)</f>
        <v>#NAME?</v>
      </c>
      <c r="O23" s="62" t="e" cm="1">
        <f t="array" aca="1" ref="O23" ca="1">_xll.SNL.Clients.Office.Excel.Functions.SPG($L23, "SP_PCFPS_FWD",O$2)</f>
        <v>#NAME?</v>
      </c>
      <c r="P23" s="63" t="e" cm="1">
        <f t="array" aca="1" ref="P23" ca="1">_xll.SNL.Clients.Office.Excel.Functions.SPG($L23, "SP_PCFPS_FWD",P$2)</f>
        <v>#NAME?</v>
      </c>
      <c r="Q23" s="64" t="e">
        <f ca="1">_xll.SNL.Clients.Office.Excel.Functions.SPG($L23, "SP_FCF_EST",Q$2, "Options: Curr=USD")/1000/$I23</f>
        <v>#NAME?</v>
      </c>
      <c r="R23" s="64" t="e">
        <f ca="1">_xll.SNL.Clients.Office.Excel.Functions.SPG($L23, "SP_FCF_EST",R$2, "Options: Curr=USD")/1000/$I23</f>
        <v>#NAME?</v>
      </c>
      <c r="S23" s="64" t="e">
        <f ca="1">_xll.SNL.Clients.Office.Excel.Functions.SPG($L23, "SP_FCF_EST",S$2, "Options: Curr=USD")/1000/$I23</f>
        <v>#NAME?</v>
      </c>
      <c r="T23" s="61" t="e" cm="1">
        <f t="array" aca="1" ref="T23" ca="1">_xll.SNL.Clients.Office.Excel.Functions.SPG($L23, "SP_PE_FWD",T$2)</f>
        <v>#NAME?</v>
      </c>
      <c r="U23" s="63" t="e" cm="1">
        <f t="array" aca="1" ref="U23" ca="1">_xll.SNL.Clients.Office.Excel.Functions.SPG($L23, "SP_PE_FWD",U$2)</f>
        <v>#NAME?</v>
      </c>
      <c r="V23" s="80" t="e" cm="1">
        <f t="array" aca="1" ref="V23" ca="1">_xll.SNL.Clients.Office.Excel.Functions.SPG($L23, $V$3,V$2)</f>
        <v>#NAME?</v>
      </c>
      <c r="W23" s="81" t="e" cm="1">
        <f t="array" aca="1" ref="W23" ca="1">_xll.SNL.Clients.Office.Excel.Functions.SPG($L23, $V$3,W$2)</f>
        <v>#NAME?</v>
      </c>
      <c r="X23" s="82" t="e" cm="1">
        <f t="array" aca="1" ref="X23" ca="1">_xll.SNL.Clients.Office.Excel.Functions.SPG($L23, $V$3,X$2)</f>
        <v>#NAME?</v>
      </c>
      <c r="Y23" s="69" t="e" cm="1">
        <f t="array" aca="1" ref="Y23" ca="1">IF((_xll.SNL.Clients.Office.Excel.Functions.SPG($L23,Y$3,Y$4,"Options: Curr=USD") / _xll.SNL.Clients.Office.Excel.Functions.SPG($L23,"SP_EBITDA_EST",Y$2,"Options: Curr=USD")) &lt; 0, "NM", (_xll.SNL.Clients.Office.Excel.Functions.SPG($L23,Y$3,Y$4,"Options: Curr=USD") / _xll.SNL.Clients.Office.Excel.Functions.SPG($L23,"SP_EBITDA_EST",Y$2,"Options: Curr=USD")))</f>
        <v>#NAME?</v>
      </c>
      <c r="Z23" s="70" t="e" cm="1">
        <f t="array" aca="1" ref="Z23" ca="1">_xll.SNL.Clients.Office.Excel.Functions.SPG($L23, Z$3,Z$4)</f>
        <v>#NAME?</v>
      </c>
      <c r="AA23" s="77" t="str">
        <f ca="1">IFERROR(0.001*AVERAGE(_xll.SNL.Clients.Office.Excel.Functions.SPG($L23,$AA$4,"Au",AA$2),_xll.SNL.Clients.Office.Excel.Functions.SPG($L23,$AA$3,"Au",AA$2)),"NA")</f>
        <v>NA</v>
      </c>
      <c r="AB23" s="72" t="str">
        <f ca="1">IFERROR(0.001*AVERAGE(_xll.SNL.Clients.Office.Excel.Functions.SPG($L23,$AA$4,"Au",AB$2),_xll.SNL.Clients.Office.Excel.Functions.SPG($L23,$AA$3,"Au",AB$2)),"NA")</f>
        <v>NA</v>
      </c>
      <c r="AC23" s="78" t="str">
        <f ca="1">IFERROR(0.001*AVERAGE(_xll.SNL.Clients.Office.Excel.Functions.SPG($L23,$AA$4,"Au",AC$2),_xll.SNL.Clients.Office.Excel.Functions.SPG($L23,$AA$3,"Au",AC$2)),"NA")</f>
        <v>NA</v>
      </c>
      <c r="AD23" s="72" t="e">
        <f ca="1" xml:space="preserve"> IF(ISNUMBER(SEARCH("na",_xll.SNL.Clients.Office.Excel.Functions.SPG($L23, $AD$4, AD$2))), 0,_xll.SNL.Clients.Office.Excel.Functions.SPG($L23, $AD$4, AD$2))</f>
        <v>#NAME?</v>
      </c>
      <c r="AE23" s="72" t="e">
        <f ca="1" xml:space="preserve"> IF(ISNUMBER(SEARCH("na",_xll.SNL.Clients.Office.Excel.Functions.SPG($L23, $AD$4, AE$2))), 0,_xll.SNL.Clients.Office.Excel.Functions.SPG($L23, $AD$4, AE$2))</f>
        <v>#NAME?</v>
      </c>
      <c r="AF23" s="72" t="e">
        <f ca="1" xml:space="preserve"> IF(ISNUMBER(SEARCH("na",_xll.SNL.Clients.Office.Excel.Functions.SPG($L23, $AD$4, AF$2))), 0,_xll.SNL.Clients.Office.Excel.Functions.SPG($L23, $AD$4, AF$2))</f>
        <v>#NAME?</v>
      </c>
      <c r="AG23" s="72" t="e">
        <f ca="1" xml:space="preserve"> IF(ISNUMBER(SEARCH("na",_xll.SNL.Clients.Office.Excel.Functions.SPG($L23, $AG$4, AG$2))), 0,_xll.SNL.Clients.Office.Excel.Functions.SPG($L23, $AG$4, AG$2))</f>
        <v>#NAME?</v>
      </c>
      <c r="AH23" s="72" t="e">
        <f ca="1" xml:space="preserve"> IF(ISNUMBER(SEARCH("na",_xll.SNL.Clients.Office.Excel.Functions.SPG($L23, $AG$4, AH$2))), 0,_xll.SNL.Clients.Office.Excel.Functions.SPG($L23, $AG$4, AH$2))</f>
        <v>#NAME?</v>
      </c>
      <c r="AI23" s="72" t="e">
        <f ca="1" xml:space="preserve"> IF(ISNUMBER(SEARCH("na",_xll.SNL.Clients.Office.Excel.Functions.SPG($L23, $AG$4, AI$2))), 0,_xll.SNL.Clients.Office.Excel.Functions.SPG($L23, $AG$4, AI$2))</f>
        <v>#NAME?</v>
      </c>
      <c r="AJ23" s="72" t="e">
        <f ca="1" xml:space="preserve"> IF(ISNUMBER(SEARCH("na",_xll.SNL.Clients.Office.Excel.Functions.SPG($L23, $AJ$4, AJ$2))), 0,_xll.SNL.Clients.Office.Excel.Functions.SPG($L23, $AJ$4, AJ$2))</f>
        <v>#NAME?</v>
      </c>
      <c r="AK23" s="72" t="e">
        <f ca="1" xml:space="preserve"> IF(ISNUMBER(SEARCH("na",_xll.SNL.Clients.Office.Excel.Functions.SPG($L23, $AJ$4, AK$2))), 0,_xll.SNL.Clients.Office.Excel.Functions.SPG($L23, $AJ$4, AK$2))</f>
        <v>#NAME?</v>
      </c>
      <c r="AL23" s="72" t="e">
        <f ca="1" xml:space="preserve"> IF(ISNUMBER(SEARCH("na",_xll.SNL.Clients.Office.Excel.Functions.SPG($L23, $AJ$4, AL$2))), 0,_xll.SNL.Clients.Office.Excel.Functions.SPG($L23, $AJ$4, AL$2))</f>
        <v>#NAME?</v>
      </c>
      <c r="AM23" s="72" t="e">
        <f t="shared" ref="AM23:AM45" ca="1" si="83">AD23+AG23*agprice/auprice+AJ23*cuprice/auprice</f>
        <v>#NAME?</v>
      </c>
      <c r="AN23" s="72" t="e">
        <f t="shared" ref="AN23:AN45" ca="1" si="84">AE23+AH23*agprice/auprice+AK23*cuprice/auprice</f>
        <v>#NAME?</v>
      </c>
      <c r="AO23" s="72" t="e">
        <f t="shared" ref="AO23:AO45" ca="1" si="85">AF23+AI23*agprice/auprice+AL23*cuprice/auprice</f>
        <v>#NAME?</v>
      </c>
      <c r="AP23" s="83" t="str">
        <f t="shared" ca="1" si="43"/>
        <v>NA</v>
      </c>
      <c r="AQ23" s="84" t="str">
        <f t="shared" ca="1" si="43"/>
        <v>NA</v>
      </c>
      <c r="AR23" s="85" t="str">
        <f t="shared" ca="1" si="43"/>
        <v>NA</v>
      </c>
      <c r="AS23" s="72">
        <f ca="1">IFERROR(_xll.SNL.Clients.Office.Excel.Functions.SPG($L23, $AS$3, AS$2,$AS$4)/1000,0)</f>
        <v>0</v>
      </c>
      <c r="AT23" s="72">
        <f ca="1">IFERROR(_xll.SNL.Clients.Office.Excel.Functions.SPG($L23, $AS$3, AT$2,$AS$4)/1000,0)</f>
        <v>0</v>
      </c>
      <c r="AU23" s="72">
        <f ca="1">IFERROR(_xll.SNL.Clients.Office.Excel.Functions.SPG($L23, $AV$3, AU$2,$AS$4)/1000,0)</f>
        <v>0</v>
      </c>
      <c r="AV23" s="72">
        <f ca="1">IFERROR(_xll.SNL.Clients.Office.Excel.Functions.SPG($L23, $AV$3, AV$2,$AS$4)/1000,0)</f>
        <v>0</v>
      </c>
      <c r="AW23" s="72">
        <f ca="1">IFERROR(_xll.SNL.Clients.Office.Excel.Functions.SPG($L23, $AV$3, AW$2,$AS$4)/1000,0)</f>
        <v>0</v>
      </c>
      <c r="AX23" s="72">
        <f ca="1">IFERROR(_xll.SNL.Clients.Office.Excel.Functions.SPG($L23, $AX$3, AX$2,$AS$4)/1000,0)</f>
        <v>0</v>
      </c>
      <c r="AY23" s="72">
        <f ca="1">IFERROR(_xll.SNL.Clients.Office.Excel.Functions.SPG($L23, $AX$3, AY$2,$AS$4)/1000,0)</f>
        <v>0</v>
      </c>
      <c r="AZ23" s="72">
        <f ca="1">IFERROR(_xll.SNL.Clients.Office.Excel.Functions.SPG($L23, $BA$3, AZ$2,$AS$4)/1000,0)</f>
        <v>0</v>
      </c>
      <c r="BA23" s="72">
        <f ca="1">IFERROR(_xll.SNL.Clients.Office.Excel.Functions.SPG($L23, $BA$3, BA$2,$AS$4)/1000,0)</f>
        <v>0</v>
      </c>
      <c r="BB23" s="72">
        <f ca="1">IFERROR(_xll.SNL.Clients.Office.Excel.Functions.SPG($L23, $BA$3, BB$2,$AS$4)/1000,0)</f>
        <v>0</v>
      </c>
      <c r="BC23" s="72">
        <f ca="1">IFERROR(_xll.SNL.Clients.Office.Excel.Functions.SPG($L23, $BC$3, BC$2,$AS$4)/1000,0)</f>
        <v>0</v>
      </c>
      <c r="BD23" s="72">
        <f ca="1">IFERROR(_xll.SNL.Clients.Office.Excel.Functions.SPG($L23, $BC$3, BD$2,$AS$4)/1000,0)</f>
        <v>0</v>
      </c>
      <c r="BE23" s="72">
        <f ca="1">IFERROR(_xll.SNL.Clients.Office.Excel.Functions.SPG($L23, $BF$3, BE$2,$AS$4)/1000,0)</f>
        <v>0</v>
      </c>
      <c r="BF23" s="72">
        <f ca="1">IFERROR(_xll.SNL.Clients.Office.Excel.Functions.SPG($L23, $BF$3, BF$2,$AS$4)/1000,0)</f>
        <v>0</v>
      </c>
      <c r="BG23" s="72">
        <f ca="1">IFERROR(_xll.SNL.Clients.Office.Excel.Functions.SPG($L23, $BF$3, BG$2,$AS$4)/1000,0)</f>
        <v>0</v>
      </c>
      <c r="BH23" s="72">
        <f t="shared" ref="BH23:BH45" ca="1" si="86">AS23+AT23*agprice/auprice+AU23*cuprice/auprice+AV23*znprice/auprice+AW23*pbprice/auprice</f>
        <v>0</v>
      </c>
      <c r="BI23" s="72">
        <f t="shared" ref="BI23:BI45" ca="1" si="87">AX23+AY23*agprice/auprice+AZ23*cuprice/auprice+BA23*znprice/auprice+BB23*pbprice/auprice+BH23</f>
        <v>0</v>
      </c>
      <c r="BJ23" s="72">
        <f t="shared" ref="BJ23:BJ45" ca="1" si="88">BC23+BD23*agprice/auprice+BE23*cuprice/auprice+BF23*znprice/auprice+BG23*pbprice/auprice+BH23</f>
        <v>0</v>
      </c>
      <c r="BK23" s="77" t="str">
        <f t="shared" ca="1" si="39"/>
        <v>NA</v>
      </c>
      <c r="BL23" s="72" t="str">
        <f t="shared" ca="1" si="39"/>
        <v>NA</v>
      </c>
      <c r="BM23" s="78" t="str">
        <f t="shared" ca="1" si="39"/>
        <v>NA</v>
      </c>
      <c r="BN23" s="72" t="e">
        <f ca="1">_xll.SNL.Clients.Office.Excel.Functions.SPG($L23, $BN$3, BN$2, "Au", "Options:Curr=USD")</f>
        <v>#NAME?</v>
      </c>
      <c r="BO23" s="72" t="e">
        <f ca="1">_xll.SNL.Clients.Office.Excel.Functions.SPG($L23, $BN$3, BO$2, "Au", "Options:Curr=USD")</f>
        <v>#NAME?</v>
      </c>
      <c r="BP23" s="72" t="e">
        <f ca="1">_xll.SNL.Clients.Office.Excel.Functions.SPG($L23, $BN$3, BP$2, "Au", "Options:Curr=USD")</f>
        <v>#NAME?</v>
      </c>
      <c r="BQ23" s="78" t="e">
        <f ca="1">_xll.SNL.Clients.Office.Excel.Functions.SPG($L23, $BN$3, BQ$2, "Au", "Options:Curr=USD")</f>
        <v>#NAME?</v>
      </c>
      <c r="BR23" s="72" t="str">
        <f ca="1">IFERROR(AVERAGE(_xll.SNL.Clients.Office.Excel.Functions.SPG($L23,$BR$4,"Au",BR$2, "Options:Curr=USD"),_xll.SNL.Clients.Office.Excel.Functions.SPG($L23,$BR$3,"Au",BR$2, "Options:Curr=USD")),"NA")</f>
        <v>NA</v>
      </c>
      <c r="BS23" s="72" t="str">
        <f ca="1">IFERROR(AVERAGE(_xll.SNL.Clients.Office.Excel.Functions.SPG($L23,$BR$4,"Au",BS$2, "Options:Curr=USD"),_xll.SNL.Clients.Office.Excel.Functions.SPG($L23,$BR$3,"Au",BS$2, "Options:Curr=USD")),"NA")</f>
        <v>NA</v>
      </c>
      <c r="BT23" s="78" t="str">
        <f ca="1">IFERROR(AVERAGE(_xll.SNL.Clients.Office.Excel.Functions.SPG($L23,$BR$4,"Au",BT$2, "Options:Curr=USD"),_xll.SNL.Clients.Office.Excel.Functions.SPG($L23,$BR$3,"Au",BT$2, "Options:Curr=USD")),"NA")</f>
        <v>NA</v>
      </c>
      <c r="BV23" s="36" t="s">
        <v>88</v>
      </c>
      <c r="BW23" s="36" t="s">
        <v>122</v>
      </c>
      <c r="BX23" s="36" t="s">
        <v>89</v>
      </c>
      <c r="BY23" s="36"/>
    </row>
    <row r="24" spans="1:77" ht="13.8" x14ac:dyDescent="0.25">
      <c r="A24" s="56" t="e">
        <f ca="1">_xll.SNL.Clients.Office.Excel.Functions.SPG($L24, A$3)</f>
        <v>#NAME?</v>
      </c>
      <c r="B24" s="56" t="e">
        <f ca="1">_xll.BDP($K24,B$3)</f>
        <v>#NAME?</v>
      </c>
      <c r="C24" s="56" t="e">
        <f ca="1">_xll.BDP($K24,C$3)</f>
        <v>#NAME?</v>
      </c>
      <c r="D24" s="56" t="e">
        <f ca="1">_xll.BDP($K24,D$3)</f>
        <v>#NAME?</v>
      </c>
      <c r="E24" s="57" t="s">
        <v>149</v>
      </c>
      <c r="F24" s="57" t="s">
        <v>83</v>
      </c>
      <c r="G24" s="57" t="s">
        <v>150</v>
      </c>
      <c r="H24" s="111" t="e">
        <f ca="1">_xll.SNL.Clients.Office.Excel.Functions.SPG($L24, "IQ_TEV", "Options: Curr=USD")</f>
        <v>#NAME?</v>
      </c>
      <c r="I24" s="111" t="e">
        <f ca="1">_xll.SNL.Clients.Office.Excel.Functions.SPG($L24, "SP_MARKETCAP", "Options: Curr=USD")</f>
        <v>#NAME?</v>
      </c>
      <c r="J24" s="59" t="s">
        <v>151</v>
      </c>
      <c r="K24" s="3" t="s">
        <v>152</v>
      </c>
      <c r="L24" s="3" t="s">
        <v>153</v>
      </c>
      <c r="M24" s="60" t="e" cm="1">
        <f t="array" aca="1" ref="M24" ca="1">_xll.SNL.Clients.Office.Excel.Functions.SPG($L24, $M$3)/100</f>
        <v>#NAME?</v>
      </c>
      <c r="N24" s="61" t="e" cm="1">
        <f t="array" aca="1" ref="N24" ca="1">_xll.SNL.Clients.Office.Excel.Functions.SPG($L24, "SP_PCFPS_FWD",N$2)</f>
        <v>#NAME?</v>
      </c>
      <c r="O24" s="62" t="e" cm="1">
        <f t="array" aca="1" ref="O24" ca="1">_xll.SNL.Clients.Office.Excel.Functions.SPG($L24, "SP_PCFPS_FWD",O$2)</f>
        <v>#NAME?</v>
      </c>
      <c r="P24" s="63" t="e" cm="1">
        <f t="array" aca="1" ref="P24" ca="1">_xll.SNL.Clients.Office.Excel.Functions.SPG($L24, "SP_PCFPS_FWD",P$2)</f>
        <v>#NAME?</v>
      </c>
      <c r="Q24" s="64" t="e">
        <f ca="1">_xll.SNL.Clients.Office.Excel.Functions.SPG($L24, "SP_FCF_EST",Q$2, "Options: Curr=USD")/1000/$I24</f>
        <v>#NAME?</v>
      </c>
      <c r="R24" s="64" t="e">
        <f ca="1">_xll.SNL.Clients.Office.Excel.Functions.SPG($L24, "SP_FCF_EST",R$2, "Options: Curr=USD")/1000/$I24</f>
        <v>#NAME?</v>
      </c>
      <c r="S24" s="64" t="e">
        <f ca="1">_xll.SNL.Clients.Office.Excel.Functions.SPG($L24, "SP_FCF_EST",S$2, "Options: Curr=USD")/1000/$I24</f>
        <v>#NAME?</v>
      </c>
      <c r="T24" s="61" t="e" cm="1">
        <f t="array" aca="1" ref="T24" ca="1">_xll.SNL.Clients.Office.Excel.Functions.SPG($L24, "SP_PE_FWD",T$2)</f>
        <v>#NAME?</v>
      </c>
      <c r="U24" s="63" t="e" cm="1">
        <f t="array" aca="1" ref="U24" ca="1">_xll.SNL.Clients.Office.Excel.Functions.SPG($L24, "SP_PE_FWD",U$2)</f>
        <v>#NAME?</v>
      </c>
      <c r="V24" s="80" t="e" cm="1">
        <f t="array" aca="1" ref="V24" ca="1">_xll.SNL.Clients.Office.Excel.Functions.SPG($L24, $V$3,V$2)</f>
        <v>#NAME?</v>
      </c>
      <c r="W24" s="81" t="e" cm="1">
        <f t="array" aca="1" ref="W24" ca="1">_xll.SNL.Clients.Office.Excel.Functions.SPG($L24, $V$3,W$2)</f>
        <v>#NAME?</v>
      </c>
      <c r="X24" s="82" t="e" cm="1">
        <f t="array" aca="1" ref="X24" ca="1">_xll.SNL.Clients.Office.Excel.Functions.SPG($L24, $V$3,X$2)</f>
        <v>#NAME?</v>
      </c>
      <c r="Y24" s="69" t="e" cm="1">
        <f t="array" aca="1" ref="Y24" ca="1">IF((_xll.SNL.Clients.Office.Excel.Functions.SPG($L24,Y$3,Y$4,"Options: Curr=USD") / _xll.SNL.Clients.Office.Excel.Functions.SPG($L24,"SP_EBITDA_EST",Y$2,"Options: Curr=USD")) &lt; 0, "NM", (_xll.SNL.Clients.Office.Excel.Functions.SPG($L24,Y$3,Y$4,"Options: Curr=USD") / _xll.SNL.Clients.Office.Excel.Functions.SPG($L24,"SP_EBITDA_EST",Y$2,"Options: Curr=USD")))</f>
        <v>#NAME?</v>
      </c>
      <c r="Z24" s="70" t="e" cm="1">
        <f t="array" aca="1" ref="Z24" ca="1">_xll.SNL.Clients.Office.Excel.Functions.SPG($L24, Z$3,Z$4)</f>
        <v>#NAME?</v>
      </c>
      <c r="AA24" s="77" t="str">
        <f ca="1">IFERROR(0.001*AVERAGE(_xll.SNL.Clients.Office.Excel.Functions.SPG($L24,$AA$4,"Au",AA$2),_xll.SNL.Clients.Office.Excel.Functions.SPG($L24,$AA$3,"Au",AA$2)),"NA")</f>
        <v>NA</v>
      </c>
      <c r="AB24" s="72" t="str">
        <f ca="1">IFERROR(0.001*AVERAGE(_xll.SNL.Clients.Office.Excel.Functions.SPG($L24,$AA$4,"Au",AB$2),_xll.SNL.Clients.Office.Excel.Functions.SPG($L24,$AA$3,"Au",AB$2)),"NA")</f>
        <v>NA</v>
      </c>
      <c r="AC24" s="78" t="str">
        <f ca="1">IFERROR(0.001*AVERAGE(_xll.SNL.Clients.Office.Excel.Functions.SPG($L24,$AA$4,"Au",AC$2),_xll.SNL.Clients.Office.Excel.Functions.SPG($L24,$AA$3,"Au",AC$2)),"NA")</f>
        <v>NA</v>
      </c>
      <c r="AD24" s="72" t="e">
        <f ca="1" xml:space="preserve"> IF(ISNUMBER(SEARCH("na",_xll.SNL.Clients.Office.Excel.Functions.SPG($L24, $AD$4, AD$2))), 0,_xll.SNL.Clients.Office.Excel.Functions.SPG($L24, $AD$4, AD$2))</f>
        <v>#NAME?</v>
      </c>
      <c r="AE24" s="72" t="e">
        <f ca="1" xml:space="preserve"> IF(ISNUMBER(SEARCH("na",_xll.SNL.Clients.Office.Excel.Functions.SPG($L24, $AD$4, AE$2))), 0,_xll.SNL.Clients.Office.Excel.Functions.SPG($L24, $AD$4, AE$2))</f>
        <v>#NAME?</v>
      </c>
      <c r="AF24" s="72" t="e">
        <f ca="1" xml:space="preserve"> IF(ISNUMBER(SEARCH("na",_xll.SNL.Clients.Office.Excel.Functions.SPG($L24, $AD$4, AF$2))), 0,_xll.SNL.Clients.Office.Excel.Functions.SPG($L24, $AD$4, AF$2))</f>
        <v>#NAME?</v>
      </c>
      <c r="AG24" s="72" t="e">
        <f ca="1" xml:space="preserve"> IF(ISNUMBER(SEARCH("na",_xll.SNL.Clients.Office.Excel.Functions.SPG($L24, $AG$4, AG$2))), 0,_xll.SNL.Clients.Office.Excel.Functions.SPG($L24, $AG$4, AG$2))</f>
        <v>#NAME?</v>
      </c>
      <c r="AH24" s="72" t="e">
        <f ca="1" xml:space="preserve"> IF(ISNUMBER(SEARCH("na",_xll.SNL.Clients.Office.Excel.Functions.SPG($L24, $AG$4, AH$2))), 0,_xll.SNL.Clients.Office.Excel.Functions.SPG($L24, $AG$4, AH$2))</f>
        <v>#NAME?</v>
      </c>
      <c r="AI24" s="72" t="e">
        <f ca="1" xml:space="preserve"> IF(ISNUMBER(SEARCH("na",_xll.SNL.Clients.Office.Excel.Functions.SPG($L24, $AG$4, AI$2))), 0,_xll.SNL.Clients.Office.Excel.Functions.SPG($L24, $AG$4, AI$2))</f>
        <v>#NAME?</v>
      </c>
      <c r="AJ24" s="72" t="e">
        <f ca="1" xml:space="preserve"> IF(ISNUMBER(SEARCH("na",_xll.SNL.Clients.Office.Excel.Functions.SPG($L24, $AJ$4, AJ$2))), 0,_xll.SNL.Clients.Office.Excel.Functions.SPG($L24, $AJ$4, AJ$2))</f>
        <v>#NAME?</v>
      </c>
      <c r="AK24" s="72" t="e">
        <f ca="1" xml:space="preserve"> IF(ISNUMBER(SEARCH("na",_xll.SNL.Clients.Office.Excel.Functions.SPG($L24, $AJ$4, AK$2))), 0,_xll.SNL.Clients.Office.Excel.Functions.SPG($L24, $AJ$4, AK$2))</f>
        <v>#NAME?</v>
      </c>
      <c r="AL24" s="72" t="e">
        <f ca="1" xml:space="preserve"> IF(ISNUMBER(SEARCH("na",_xll.SNL.Clients.Office.Excel.Functions.SPG($L24, $AJ$4, AL$2))), 0,_xll.SNL.Clients.Office.Excel.Functions.SPG($L24, $AJ$4, AL$2))</f>
        <v>#NAME?</v>
      </c>
      <c r="AM24" s="72" t="e">
        <f t="shared" ref="AM24:AM46" ca="1" si="89">AD24+AG24*agprice/auprice+AJ24*cuprice/auprice</f>
        <v>#NAME?</v>
      </c>
      <c r="AN24" s="72" t="e">
        <f t="shared" ref="AN24:AN46" ca="1" si="90">AE24+AH24*agprice/auprice+AK24*cuprice/auprice</f>
        <v>#NAME?</v>
      </c>
      <c r="AO24" s="72" t="e">
        <f t="shared" ref="AO24:AO46" ca="1" si="91">AF24+AI24*agprice/auprice+AL24*cuprice/auprice</f>
        <v>#NAME?</v>
      </c>
      <c r="AP24" s="83" t="str">
        <f t="shared" ca="1" si="43"/>
        <v>NA</v>
      </c>
      <c r="AQ24" s="84" t="str">
        <f t="shared" ca="1" si="43"/>
        <v>NA</v>
      </c>
      <c r="AR24" s="85" t="str">
        <f t="shared" ca="1" si="43"/>
        <v>NA</v>
      </c>
      <c r="AS24" s="72">
        <f ca="1">IFERROR(_xll.SNL.Clients.Office.Excel.Functions.SPG($L24, $AS$3, AS$2,$AS$4)/1000,0)</f>
        <v>0</v>
      </c>
      <c r="AT24" s="72">
        <f ca="1">IFERROR(_xll.SNL.Clients.Office.Excel.Functions.SPG($L24, $AS$3, AT$2,$AS$4)/1000,0)</f>
        <v>0</v>
      </c>
      <c r="AU24" s="72">
        <f ca="1">IFERROR(_xll.SNL.Clients.Office.Excel.Functions.SPG($L24, $AV$3, AU$2,$AS$4)/1000,0)</f>
        <v>0</v>
      </c>
      <c r="AV24" s="72">
        <f ca="1">IFERROR(_xll.SNL.Clients.Office.Excel.Functions.SPG($L24, $AV$3, AV$2,$AS$4)/1000,0)</f>
        <v>0</v>
      </c>
      <c r="AW24" s="72">
        <f ca="1">IFERROR(_xll.SNL.Clients.Office.Excel.Functions.SPG($L24, $AV$3, AW$2,$AS$4)/1000,0)</f>
        <v>0</v>
      </c>
      <c r="AX24" s="72">
        <f ca="1">IFERROR(_xll.SNL.Clients.Office.Excel.Functions.SPG($L24, $AX$3, AX$2,$AS$4)/1000,0)</f>
        <v>0</v>
      </c>
      <c r="AY24" s="72">
        <f ca="1">IFERROR(_xll.SNL.Clients.Office.Excel.Functions.SPG($L24, $AX$3, AY$2,$AS$4)/1000,0)</f>
        <v>0</v>
      </c>
      <c r="AZ24" s="72">
        <f ca="1">IFERROR(_xll.SNL.Clients.Office.Excel.Functions.SPG($L24, $BA$3, AZ$2,$AS$4)/1000,0)</f>
        <v>0</v>
      </c>
      <c r="BA24" s="72">
        <f ca="1">IFERROR(_xll.SNL.Clients.Office.Excel.Functions.SPG($L24, $BA$3, BA$2,$AS$4)/1000,0)</f>
        <v>0</v>
      </c>
      <c r="BB24" s="72">
        <f ca="1">IFERROR(_xll.SNL.Clients.Office.Excel.Functions.SPG($L24, $BA$3, BB$2,$AS$4)/1000,0)</f>
        <v>0</v>
      </c>
      <c r="BC24" s="72">
        <f ca="1">IFERROR(_xll.SNL.Clients.Office.Excel.Functions.SPG($L24, $BC$3, BC$2,$AS$4)/1000,0)</f>
        <v>0</v>
      </c>
      <c r="BD24" s="72">
        <f ca="1">IFERROR(_xll.SNL.Clients.Office.Excel.Functions.SPG($L24, $BC$3, BD$2,$AS$4)/1000,0)</f>
        <v>0</v>
      </c>
      <c r="BE24" s="72">
        <f ca="1">IFERROR(_xll.SNL.Clients.Office.Excel.Functions.SPG($L24, $BF$3, BE$2,$AS$4)/1000,0)</f>
        <v>0</v>
      </c>
      <c r="BF24" s="72">
        <f ca="1">IFERROR(_xll.SNL.Clients.Office.Excel.Functions.SPG($L24, $BF$3, BF$2,$AS$4)/1000,0)</f>
        <v>0</v>
      </c>
      <c r="BG24" s="72">
        <f ca="1">IFERROR(_xll.SNL.Clients.Office.Excel.Functions.SPG($L24, $BF$3, BG$2,$AS$4)/1000,0)</f>
        <v>0</v>
      </c>
      <c r="BH24" s="72">
        <f t="shared" ref="BH24:BH46" ca="1" si="92">AS24+AT24*agprice/auprice+AU24*cuprice/auprice+AV24*znprice/auprice+AW24*pbprice/auprice</f>
        <v>0</v>
      </c>
      <c r="BI24" s="72">
        <f t="shared" ref="BI24:BI46" ca="1" si="93">AX24+AY24*agprice/auprice+AZ24*cuprice/auprice+BA24*znprice/auprice+BB24*pbprice/auprice+BH24</f>
        <v>0</v>
      </c>
      <c r="BJ24" s="72">
        <f t="shared" ref="BJ24:BJ46" ca="1" si="94">BC24+BD24*agprice/auprice+BE24*cuprice/auprice+BF24*znprice/auprice+BG24*pbprice/auprice+BH24</f>
        <v>0</v>
      </c>
      <c r="BK24" s="77" t="str">
        <f t="shared" ca="1" si="39"/>
        <v>NA</v>
      </c>
      <c r="BL24" s="72" t="str">
        <f t="shared" ca="1" si="39"/>
        <v>NA</v>
      </c>
      <c r="BM24" s="78" t="str">
        <f t="shared" ca="1" si="39"/>
        <v>NA</v>
      </c>
      <c r="BN24" s="72" t="e">
        <f ca="1">_xll.SNL.Clients.Office.Excel.Functions.SPG($L24, $BN$3, BN$2, "Au", "Options:Curr=USD")</f>
        <v>#NAME?</v>
      </c>
      <c r="BO24" s="72" t="e">
        <f ca="1">_xll.SNL.Clients.Office.Excel.Functions.SPG($L24, $BN$3, BO$2, "Au", "Options:Curr=USD")</f>
        <v>#NAME?</v>
      </c>
      <c r="BP24" s="72" t="e">
        <f ca="1">_xll.SNL.Clients.Office.Excel.Functions.SPG($L24, $BN$3, BP$2, "Au", "Options:Curr=USD")</f>
        <v>#NAME?</v>
      </c>
      <c r="BQ24" s="78" t="e">
        <f ca="1">_xll.SNL.Clients.Office.Excel.Functions.SPG($L24, $BN$3, BQ$2, "Au", "Options:Curr=USD")</f>
        <v>#NAME?</v>
      </c>
      <c r="BR24" s="72" t="str">
        <f ca="1">IFERROR(AVERAGE(_xll.SNL.Clients.Office.Excel.Functions.SPG($L24,$BR$4,"Au",BR$2, "Options:Curr=USD"),_xll.SNL.Clients.Office.Excel.Functions.SPG($L24,$BR$3,"Au",BR$2, "Options:Curr=USD")),"NA")</f>
        <v>NA</v>
      </c>
      <c r="BS24" s="72" t="str">
        <f ca="1">IFERROR(AVERAGE(_xll.SNL.Clients.Office.Excel.Functions.SPG($L24,$BR$4,"Au",BS$2, "Options:Curr=USD"),_xll.SNL.Clients.Office.Excel.Functions.SPG($L24,$BR$3,"Au",BS$2, "Options:Curr=USD")),"NA")</f>
        <v>NA</v>
      </c>
      <c r="BT24" s="78" t="str">
        <f ca="1">IFERROR(AVERAGE(_xll.SNL.Clients.Office.Excel.Functions.SPG($L24,$BR$4,"Au",BT$2, "Options:Curr=USD"),_xll.SNL.Clients.Office.Excel.Functions.SPG($L24,$BR$3,"Au",BT$2, "Options:Curr=USD")),"NA")</f>
        <v>NA</v>
      </c>
      <c r="BV24" s="36" t="s">
        <v>88</v>
      </c>
      <c r="BW24" s="36"/>
      <c r="BX24" s="36" t="s">
        <v>89</v>
      </c>
      <c r="BY24" s="36"/>
    </row>
    <row r="25" spans="1:77" ht="13.8" x14ac:dyDescent="0.25">
      <c r="A25" s="56" t="e">
        <f ca="1">_xll.SNL.Clients.Office.Excel.Functions.SPG($L25, A$3)</f>
        <v>#NAME?</v>
      </c>
      <c r="B25" s="56" t="e">
        <f ca="1">_xll.BDP($K25,B$3)</f>
        <v>#NAME?</v>
      </c>
      <c r="C25" s="56" t="e">
        <f ca="1">_xll.BDP($K25,C$3)</f>
        <v>#NAME?</v>
      </c>
      <c r="D25" s="56" t="e">
        <f ca="1">_xll.BDP($K25,D$3)</f>
        <v>#NAME?</v>
      </c>
      <c r="E25" s="57" t="s">
        <v>154</v>
      </c>
      <c r="F25" s="57" t="s">
        <v>83</v>
      </c>
      <c r="G25" s="57" t="s">
        <v>155</v>
      </c>
      <c r="H25" s="111" t="e">
        <f ca="1">_xll.SNL.Clients.Office.Excel.Functions.SPG($L25, "IQ_TEV", "Options: Curr=USD")</f>
        <v>#NAME?</v>
      </c>
      <c r="I25" s="111" t="e">
        <f ca="1">_xll.SNL.Clients.Office.Excel.Functions.SPG($L25, "SP_MARKETCAP", "Options: Curr=USD")</f>
        <v>#NAME?</v>
      </c>
      <c r="J25" s="59" t="s">
        <v>156</v>
      </c>
      <c r="K25" s="3" t="s">
        <v>157</v>
      </c>
      <c r="L25" s="18" t="s">
        <v>158</v>
      </c>
      <c r="M25" s="60" t="e" cm="1">
        <f t="array" aca="1" ref="M25" ca="1">_xll.SNL.Clients.Office.Excel.Functions.SPG($L25, $M$3)/100</f>
        <v>#NAME?</v>
      </c>
      <c r="N25" s="61" t="e" cm="1">
        <f t="array" aca="1" ref="N25" ca="1">_xll.SNL.Clients.Office.Excel.Functions.SPG($L25, "SP_PCFPS_FWD",N$2)</f>
        <v>#NAME?</v>
      </c>
      <c r="O25" s="62" t="e" cm="1">
        <f t="array" aca="1" ref="O25" ca="1">_xll.SNL.Clients.Office.Excel.Functions.SPG($L25, "SP_PCFPS_FWD",O$2)</f>
        <v>#NAME?</v>
      </c>
      <c r="P25" s="63" t="e" cm="1">
        <f t="array" aca="1" ref="P25" ca="1">_xll.SNL.Clients.Office.Excel.Functions.SPG($L25, "SP_PCFPS_FWD",P$2)</f>
        <v>#NAME?</v>
      </c>
      <c r="Q25" s="64" t="e">
        <f ca="1">_xll.SNL.Clients.Office.Excel.Functions.SPG($L25, "SP_FCF_EST",Q$2, "Options: Curr=USD")/1000/$I25</f>
        <v>#NAME?</v>
      </c>
      <c r="R25" s="64" t="e">
        <f ca="1">_xll.SNL.Clients.Office.Excel.Functions.SPG($L25, "SP_FCF_EST",R$2, "Options: Curr=USD")/1000/$I25</f>
        <v>#NAME?</v>
      </c>
      <c r="S25" s="64" t="e">
        <f ca="1">_xll.SNL.Clients.Office.Excel.Functions.SPG($L25, "SP_FCF_EST",S$2, "Options: Curr=USD")/1000/$I25</f>
        <v>#NAME?</v>
      </c>
      <c r="T25" s="61" t="e" cm="1">
        <f t="array" aca="1" ref="T25" ca="1">_xll.SNL.Clients.Office.Excel.Functions.SPG($L25, "SP_PE_FWD",T$2)</f>
        <v>#NAME?</v>
      </c>
      <c r="U25" s="63" t="e" cm="1">
        <f t="array" aca="1" ref="U25" ca="1">_xll.SNL.Clients.Office.Excel.Functions.SPG($L25, "SP_PE_FWD",U$2)</f>
        <v>#NAME?</v>
      </c>
      <c r="V25" s="80" t="e" cm="1">
        <f t="array" aca="1" ref="V25" ca="1">_xll.SNL.Clients.Office.Excel.Functions.SPG($L25, $V$3,V$2)</f>
        <v>#NAME?</v>
      </c>
      <c r="W25" s="81" t="e" cm="1">
        <f t="array" aca="1" ref="W25" ca="1">_xll.SNL.Clients.Office.Excel.Functions.SPG($L25, $V$3,W$2)</f>
        <v>#NAME?</v>
      </c>
      <c r="X25" s="82" t="e" cm="1">
        <f t="array" aca="1" ref="X25" ca="1">_xll.SNL.Clients.Office.Excel.Functions.SPG($L25, $V$3,X$2)</f>
        <v>#NAME?</v>
      </c>
      <c r="Y25" s="69" t="e" cm="1">
        <f t="array" aca="1" ref="Y25" ca="1">IF((_xll.SNL.Clients.Office.Excel.Functions.SPG($L25,Y$3,Y$4,"Options: Curr=USD") / _xll.SNL.Clients.Office.Excel.Functions.SPG($L25,"SP_EBITDA_EST",Y$2,"Options: Curr=USD")) &lt; 0, "NM", (_xll.SNL.Clients.Office.Excel.Functions.SPG($L25,Y$3,Y$4,"Options: Curr=USD") / _xll.SNL.Clients.Office.Excel.Functions.SPG($L25,"SP_EBITDA_EST",Y$2,"Options: Curr=USD")))</f>
        <v>#NAME?</v>
      </c>
      <c r="Z25" s="70" t="e" cm="1">
        <f t="array" aca="1" ref="Z25" ca="1">_xll.SNL.Clients.Office.Excel.Functions.SPG($L25, Z$3,Z$4)</f>
        <v>#NAME?</v>
      </c>
      <c r="AA25" s="77" t="str">
        <f ca="1">IFERROR(0.001*AVERAGE(_xll.SNL.Clients.Office.Excel.Functions.SPG($L25,$AA$4,"Au",AA$2),_xll.SNL.Clients.Office.Excel.Functions.SPG($L25,$AA$3,"Au",AA$2)),"NA")</f>
        <v>NA</v>
      </c>
      <c r="AB25" s="72" t="str">
        <f ca="1">IFERROR(0.001*AVERAGE(_xll.SNL.Clients.Office.Excel.Functions.SPG($L25,$AA$4,"Au",AB$2),_xll.SNL.Clients.Office.Excel.Functions.SPG($L25,$AA$3,"Au",AB$2)),"NA")</f>
        <v>NA</v>
      </c>
      <c r="AC25" s="78" t="str">
        <f ca="1">IFERROR(0.001*AVERAGE(_xll.SNL.Clients.Office.Excel.Functions.SPG($L25,$AA$4,"Au",AC$2),_xll.SNL.Clients.Office.Excel.Functions.SPG($L25,$AA$3,"Au",AC$2)),"NA")</f>
        <v>NA</v>
      </c>
      <c r="AD25" s="72" t="e">
        <f ca="1" xml:space="preserve"> IF(ISNUMBER(SEARCH("na",_xll.SNL.Clients.Office.Excel.Functions.SPG($L25, $AD$4, AD$2))), 0,_xll.SNL.Clients.Office.Excel.Functions.SPG($L25, $AD$4, AD$2))</f>
        <v>#NAME?</v>
      </c>
      <c r="AE25" s="72" t="e">
        <f ca="1" xml:space="preserve"> IF(ISNUMBER(SEARCH("na",_xll.SNL.Clients.Office.Excel.Functions.SPG($L25, $AD$4, AE$2))), 0,_xll.SNL.Clients.Office.Excel.Functions.SPG($L25, $AD$4, AE$2))</f>
        <v>#NAME?</v>
      </c>
      <c r="AF25" s="72" t="e">
        <f ca="1" xml:space="preserve"> IF(ISNUMBER(SEARCH("na",_xll.SNL.Clients.Office.Excel.Functions.SPG($L25, $AD$4, AF$2))), 0,_xll.SNL.Clients.Office.Excel.Functions.SPG($L25, $AD$4, AF$2))</f>
        <v>#NAME?</v>
      </c>
      <c r="AG25" s="72" t="e">
        <f ca="1" xml:space="preserve"> IF(ISNUMBER(SEARCH("na",_xll.SNL.Clients.Office.Excel.Functions.SPG($L25, $AG$4, AG$2))), 0,_xll.SNL.Clients.Office.Excel.Functions.SPG($L25, $AG$4, AG$2))</f>
        <v>#NAME?</v>
      </c>
      <c r="AH25" s="72" t="e">
        <f ca="1" xml:space="preserve"> IF(ISNUMBER(SEARCH("na",_xll.SNL.Clients.Office.Excel.Functions.SPG($L25, $AG$4, AH$2))), 0,_xll.SNL.Clients.Office.Excel.Functions.SPG($L25, $AG$4, AH$2))</f>
        <v>#NAME?</v>
      </c>
      <c r="AI25" s="72" t="e">
        <f ca="1" xml:space="preserve"> IF(ISNUMBER(SEARCH("na",_xll.SNL.Clients.Office.Excel.Functions.SPG($L25, $AG$4, AI$2))), 0,_xll.SNL.Clients.Office.Excel.Functions.SPG($L25, $AG$4, AI$2))</f>
        <v>#NAME?</v>
      </c>
      <c r="AJ25" s="72" t="e">
        <f ca="1" xml:space="preserve"> IF(ISNUMBER(SEARCH("na",_xll.SNL.Clients.Office.Excel.Functions.SPG($L25, $AJ$4, AJ$2))), 0,_xll.SNL.Clients.Office.Excel.Functions.SPG($L25, $AJ$4, AJ$2))</f>
        <v>#NAME?</v>
      </c>
      <c r="AK25" s="72" t="e">
        <f ca="1" xml:space="preserve"> IF(ISNUMBER(SEARCH("na",_xll.SNL.Clients.Office.Excel.Functions.SPG($L25, $AJ$4, AK$2))), 0,_xll.SNL.Clients.Office.Excel.Functions.SPG($L25, $AJ$4, AK$2))</f>
        <v>#NAME?</v>
      </c>
      <c r="AL25" s="72" t="e">
        <f ca="1" xml:space="preserve"> IF(ISNUMBER(SEARCH("na",_xll.SNL.Clients.Office.Excel.Functions.SPG($L25, $AJ$4, AL$2))), 0,_xll.SNL.Clients.Office.Excel.Functions.SPG($L25, $AJ$4, AL$2))</f>
        <v>#NAME?</v>
      </c>
      <c r="AM25" s="72" t="e">
        <f t="shared" ref="AM25:AM47" ca="1" si="95">AD25+AG25*agprice/auprice+AJ25*cuprice/auprice</f>
        <v>#NAME?</v>
      </c>
      <c r="AN25" s="72" t="e">
        <f t="shared" ref="AN25:AN47" ca="1" si="96">AE25+AH25*agprice/auprice+AK25*cuprice/auprice</f>
        <v>#NAME?</v>
      </c>
      <c r="AO25" s="72" t="e">
        <f t="shared" ref="AO25:AO47" ca="1" si="97">AF25+AI25*agprice/auprice+AL25*cuprice/auprice</f>
        <v>#NAME?</v>
      </c>
      <c r="AP25" s="83" t="str">
        <f ca="1">IFERROR($H25/AM25*1000,"NA")</f>
        <v>NA</v>
      </c>
      <c r="AQ25" s="84" t="str">
        <f ca="1">IFERROR($H25/AN25*1000,"NA")</f>
        <v>NA</v>
      </c>
      <c r="AR25" s="85" t="str">
        <f t="shared" ca="1" si="43"/>
        <v>NA</v>
      </c>
      <c r="AS25" s="72">
        <f ca="1">IFERROR(_xll.SNL.Clients.Office.Excel.Functions.SPG($L25, $AS$3, AS$2,$AS$4)/1000,0)</f>
        <v>0</v>
      </c>
      <c r="AT25" s="72">
        <f ca="1">IFERROR(_xll.SNL.Clients.Office.Excel.Functions.SPG($L25, $AS$3, AT$2,$AS$4)/1000,0)</f>
        <v>0</v>
      </c>
      <c r="AU25" s="72">
        <f ca="1">IFERROR(_xll.SNL.Clients.Office.Excel.Functions.SPG($L25, $AV$3, AU$2,$AS$4)/1000,0)</f>
        <v>0</v>
      </c>
      <c r="AV25" s="72">
        <f ca="1">IFERROR(_xll.SNL.Clients.Office.Excel.Functions.SPG($L25, $AV$3, AV$2,$AS$4)/1000,0)</f>
        <v>0</v>
      </c>
      <c r="AW25" s="72">
        <f ca="1">IFERROR(_xll.SNL.Clients.Office.Excel.Functions.SPG($L25, $AV$3, AW$2,$AS$4)/1000,0)</f>
        <v>0</v>
      </c>
      <c r="AX25" s="72">
        <f ca="1">IFERROR(_xll.SNL.Clients.Office.Excel.Functions.SPG($L25, $AX$3, AX$2,$AS$4)/1000,0)</f>
        <v>0</v>
      </c>
      <c r="AY25" s="72">
        <f ca="1">IFERROR(_xll.SNL.Clients.Office.Excel.Functions.SPG($L25, $AX$3, AY$2,$AS$4)/1000,0)</f>
        <v>0</v>
      </c>
      <c r="AZ25" s="72">
        <f ca="1">IFERROR(_xll.SNL.Clients.Office.Excel.Functions.SPG($L25, $BA$3, AZ$2,$AS$4)/1000,0)</f>
        <v>0</v>
      </c>
      <c r="BA25" s="72">
        <f ca="1">IFERROR(_xll.SNL.Clients.Office.Excel.Functions.SPG($L25, $BA$3, BA$2,$AS$4)/1000,0)</f>
        <v>0</v>
      </c>
      <c r="BB25" s="72">
        <f ca="1">IFERROR(_xll.SNL.Clients.Office.Excel.Functions.SPG($L25, $BA$3, BB$2,$AS$4)/1000,0)</f>
        <v>0</v>
      </c>
      <c r="BC25" s="72">
        <f ca="1">IFERROR(_xll.SNL.Clients.Office.Excel.Functions.SPG($L25, $BC$3, BC$2,$AS$4)/1000,0)</f>
        <v>0</v>
      </c>
      <c r="BD25" s="72">
        <f ca="1">IFERROR(_xll.SNL.Clients.Office.Excel.Functions.SPG($L25, $BC$3, BD$2,$AS$4)/1000,0)</f>
        <v>0</v>
      </c>
      <c r="BE25" s="72">
        <f ca="1">IFERROR(_xll.SNL.Clients.Office.Excel.Functions.SPG($L25, $BF$3, BE$2,$AS$4)/1000,0)</f>
        <v>0</v>
      </c>
      <c r="BF25" s="72">
        <f ca="1">IFERROR(_xll.SNL.Clients.Office.Excel.Functions.SPG($L25, $BF$3, BF$2,$AS$4)/1000,0)</f>
        <v>0</v>
      </c>
      <c r="BG25" s="72">
        <f ca="1">IFERROR(_xll.SNL.Clients.Office.Excel.Functions.SPG($L25, $BF$3, BG$2,$AS$4)/1000,0)</f>
        <v>0</v>
      </c>
      <c r="BH25" s="72">
        <f t="shared" ref="BH25:BH47" ca="1" si="98">AS25+AT25*agprice/auprice+AU25*cuprice/auprice+AV25*znprice/auprice+AW25*pbprice/auprice</f>
        <v>0</v>
      </c>
      <c r="BI25" s="72">
        <f t="shared" ref="BI25:BI47" ca="1" si="99">AX25+AY25*agprice/auprice+AZ25*cuprice/auprice+BA25*znprice/auprice+BB25*pbprice/auprice+BH25</f>
        <v>0</v>
      </c>
      <c r="BJ25" s="72">
        <f t="shared" ref="BJ25:BJ47" ca="1" si="100">BC25+BD25*agprice/auprice+BE25*cuprice/auprice+BF25*znprice/auprice+BG25*pbprice/auprice+BH25</f>
        <v>0</v>
      </c>
      <c r="BK25" s="77" t="str">
        <f t="shared" ca="1" si="39"/>
        <v>NA</v>
      </c>
      <c r="BL25" s="72" t="str">
        <f t="shared" ca="1" si="39"/>
        <v>NA</v>
      </c>
      <c r="BM25" s="78" t="str">
        <f t="shared" ca="1" si="39"/>
        <v>NA</v>
      </c>
      <c r="BN25" s="72" t="e">
        <f ca="1">_xll.SNL.Clients.Office.Excel.Functions.SPG($L25, $BN$3, BN$2, "Au", "Options:Curr=USD")</f>
        <v>#NAME?</v>
      </c>
      <c r="BO25" s="72" t="e">
        <f ca="1">_xll.SNL.Clients.Office.Excel.Functions.SPG($L25, $BN$3, BO$2, "Au", "Options:Curr=USD")</f>
        <v>#NAME?</v>
      </c>
      <c r="BP25" s="72" t="e">
        <f ca="1">_xll.SNL.Clients.Office.Excel.Functions.SPG($L25, $BN$3, BP$2, "Au", "Options:Curr=USD")</f>
        <v>#NAME?</v>
      </c>
      <c r="BQ25" s="78" t="e">
        <f ca="1">_xll.SNL.Clients.Office.Excel.Functions.SPG($L25, $BN$3, BQ$2, "Au", "Options:Curr=USD")</f>
        <v>#NAME?</v>
      </c>
      <c r="BR25" s="72" t="str">
        <f ca="1">IFERROR(AVERAGE(_xll.SNL.Clients.Office.Excel.Functions.SPG($L25,$BR$4,"Au",BR$2, "Options:Curr=USD"),_xll.SNL.Clients.Office.Excel.Functions.SPG($L25,$BR$3,"Au",BR$2, "Options:Curr=USD")),"NA")</f>
        <v>NA</v>
      </c>
      <c r="BS25" s="72" t="str">
        <f ca="1">IFERROR(AVERAGE(_xll.SNL.Clients.Office.Excel.Functions.SPG($L25,$BR$4,"Au",BS$2, "Options:Curr=USD"),_xll.SNL.Clients.Office.Excel.Functions.SPG($L25,$BR$3,"Au",BS$2, "Options:Curr=USD")),"NA")</f>
        <v>NA</v>
      </c>
      <c r="BT25" s="78" t="str">
        <f ca="1">IFERROR(AVERAGE(_xll.SNL.Clients.Office.Excel.Functions.SPG($L25,$BR$4,"Au",BT$2, "Options:Curr=USD"),_xll.SNL.Clients.Office.Excel.Functions.SPG($L25,$BR$3,"Au",BT$2, "Options:Curr=USD")),"NA")</f>
        <v>NA</v>
      </c>
      <c r="BV25" s="36" t="s">
        <v>88</v>
      </c>
      <c r="BW25" s="36"/>
      <c r="BX25" s="36" t="s">
        <v>89</v>
      </c>
      <c r="BY25" s="36"/>
    </row>
    <row r="26" spans="1:77" ht="13.8" x14ac:dyDescent="0.25">
      <c r="A26" s="56" t="e">
        <f ca="1">_xll.SNL.Clients.Office.Excel.Functions.SPG($L26, A$3)</f>
        <v>#NAME?</v>
      </c>
      <c r="B26" s="56" t="e">
        <f ca="1">_xll.BDP($K26,B$3)</f>
        <v>#NAME?</v>
      </c>
      <c r="C26" s="56" t="e">
        <f ca="1">_xll.BDP($K26,C$3)</f>
        <v>#NAME?</v>
      </c>
      <c r="D26" s="56" t="e">
        <f ca="1">_xll.BDP($K26,D$3)</f>
        <v>#NAME?</v>
      </c>
      <c r="E26" s="57" t="s">
        <v>149</v>
      </c>
      <c r="F26" s="57" t="s">
        <v>107</v>
      </c>
      <c r="G26" s="57" t="s">
        <v>94</v>
      </c>
      <c r="H26" s="111" t="e">
        <f ca="1">_xll.SNL.Clients.Office.Excel.Functions.SPG($L26, "IQ_TEV", "Options: Curr=USD")</f>
        <v>#NAME?</v>
      </c>
      <c r="I26" s="111" t="e">
        <f ca="1">_xll.SNL.Clients.Office.Excel.Functions.SPG($L26, "SP_MARKETCAP", "Options: Curr=USD")</f>
        <v>#NAME?</v>
      </c>
      <c r="J26" s="59" t="s">
        <v>159</v>
      </c>
      <c r="K26" s="3" t="s">
        <v>160</v>
      </c>
      <c r="L26" s="3" t="s">
        <v>161</v>
      </c>
      <c r="M26" s="60" t="e" cm="1">
        <f t="array" aca="1" ref="M26" ca="1">_xll.SNL.Clients.Office.Excel.Functions.SPG($L26, $M$3)/100</f>
        <v>#NAME?</v>
      </c>
      <c r="N26" s="61" t="e" cm="1">
        <f t="array" aca="1" ref="N26" ca="1">_xll.SNL.Clients.Office.Excel.Functions.SPG($L26, "SP_PCFPS_FWD",N$2)</f>
        <v>#NAME?</v>
      </c>
      <c r="O26" s="62" t="e" cm="1">
        <f t="array" aca="1" ref="O26" ca="1">_xll.SNL.Clients.Office.Excel.Functions.SPG($L26, "SP_PCFPS_FWD",O$2)</f>
        <v>#NAME?</v>
      </c>
      <c r="P26" s="63" t="e" cm="1">
        <f t="array" aca="1" ref="P26" ca="1">_xll.SNL.Clients.Office.Excel.Functions.SPG($L26, "SP_PCFPS_FWD",P$2)</f>
        <v>#NAME?</v>
      </c>
      <c r="Q26" s="64" t="e">
        <f ca="1">_xll.SNL.Clients.Office.Excel.Functions.SPG($L26, "SP_FCF_EST",Q$2, "Options: Curr=USD")/1000/$I26</f>
        <v>#NAME?</v>
      </c>
      <c r="R26" s="64" t="e">
        <f ca="1">_xll.SNL.Clients.Office.Excel.Functions.SPG($L26, "SP_FCF_EST",R$2, "Options: Curr=USD")/1000/$I26</f>
        <v>#NAME?</v>
      </c>
      <c r="S26" s="64" t="e">
        <f ca="1">_xll.SNL.Clients.Office.Excel.Functions.SPG($L26, "SP_FCF_EST",S$2, "Options: Curr=USD")/1000/$I26</f>
        <v>#NAME?</v>
      </c>
      <c r="T26" s="61" t="e" cm="1">
        <f t="array" aca="1" ref="T26" ca="1">_xll.SNL.Clients.Office.Excel.Functions.SPG($L26, "SP_PE_FWD",T$2)</f>
        <v>#NAME?</v>
      </c>
      <c r="U26" s="63" t="e" cm="1">
        <f t="array" aca="1" ref="U26" ca="1">_xll.SNL.Clients.Office.Excel.Functions.SPG($L26, "SP_PE_FWD",U$2)</f>
        <v>#NAME?</v>
      </c>
      <c r="V26" s="80" t="e" cm="1">
        <f t="array" aca="1" ref="V26" ca="1">_xll.SNL.Clients.Office.Excel.Functions.SPG($L26, $V$3,V$2)</f>
        <v>#NAME?</v>
      </c>
      <c r="W26" s="81" t="e" cm="1">
        <f t="array" aca="1" ref="W26" ca="1">_xll.SNL.Clients.Office.Excel.Functions.SPG($L26, $V$3,W$2)</f>
        <v>#NAME?</v>
      </c>
      <c r="X26" s="82" t="e" cm="1">
        <f t="array" aca="1" ref="X26" ca="1">_xll.SNL.Clients.Office.Excel.Functions.SPG($L26, $V$3,X$2)</f>
        <v>#NAME?</v>
      </c>
      <c r="Y26" s="69" t="e" cm="1">
        <f t="array" aca="1" ref="Y26" ca="1">IF((_xll.SNL.Clients.Office.Excel.Functions.SPG($L26,Y$3,Y$4,"Options: Curr=USD") / _xll.SNL.Clients.Office.Excel.Functions.SPG($L26,"SP_EBITDA_EST",Y$2,"Options: Curr=USD")) &lt; 0, "NM", (_xll.SNL.Clients.Office.Excel.Functions.SPG($L26,Y$3,Y$4,"Options: Curr=USD") / _xll.SNL.Clients.Office.Excel.Functions.SPG($L26,"SP_EBITDA_EST",Y$2,"Options: Curr=USD")))</f>
        <v>#NAME?</v>
      </c>
      <c r="Z26" s="70" t="e" cm="1">
        <f t="array" aca="1" ref="Z26" ca="1">_xll.SNL.Clients.Office.Excel.Functions.SPG($L26, Z$3,Z$4)</f>
        <v>#NAME?</v>
      </c>
      <c r="AA26" s="77" t="str">
        <f ca="1">IFERROR(0.001*AVERAGE(_xll.SNL.Clients.Office.Excel.Functions.SPG($L26,$AA$4,"Au",AA$2),_xll.SNL.Clients.Office.Excel.Functions.SPG($L26,$AA$3,"Au",AA$2)),"NA")</f>
        <v>NA</v>
      </c>
      <c r="AB26" s="72" t="str">
        <f ca="1">IFERROR(0.001*AVERAGE(_xll.SNL.Clients.Office.Excel.Functions.SPG($L26,$AA$4,"Au",AB$2),_xll.SNL.Clients.Office.Excel.Functions.SPG($L26,$AA$3,"Au",AB$2)),"NA")</f>
        <v>NA</v>
      </c>
      <c r="AC26" s="78" t="str">
        <f ca="1">IFERROR(0.001*AVERAGE(_xll.SNL.Clients.Office.Excel.Functions.SPG($L26,$AA$4,"Au",AC$2),_xll.SNL.Clients.Office.Excel.Functions.SPG($L26,$AA$3,"Au",AC$2)),"NA")</f>
        <v>NA</v>
      </c>
      <c r="AD26" s="72" t="e">
        <f ca="1" xml:space="preserve"> IF(ISNUMBER(SEARCH("na",_xll.SNL.Clients.Office.Excel.Functions.SPG($L26, $AD$4, AD$2))), 0,_xll.SNL.Clients.Office.Excel.Functions.SPG($L26, $AD$4, AD$2))</f>
        <v>#NAME?</v>
      </c>
      <c r="AE26" s="72" t="e">
        <f ca="1" xml:space="preserve"> IF(ISNUMBER(SEARCH("na",_xll.SNL.Clients.Office.Excel.Functions.SPG($L26, $AD$4, AE$2))), 0,_xll.SNL.Clients.Office.Excel.Functions.SPG($L26, $AD$4, AE$2))</f>
        <v>#NAME?</v>
      </c>
      <c r="AF26" s="72" t="e">
        <f ca="1" xml:space="preserve"> IF(ISNUMBER(SEARCH("na",_xll.SNL.Clients.Office.Excel.Functions.SPG($L26, $AD$4, AF$2))), 0,_xll.SNL.Clients.Office.Excel.Functions.SPG($L26, $AD$4, AF$2))</f>
        <v>#NAME?</v>
      </c>
      <c r="AG26" s="72" t="e">
        <f ca="1" xml:space="preserve"> IF(ISNUMBER(SEARCH("na",_xll.SNL.Clients.Office.Excel.Functions.SPG($L26, $AG$4, AG$2))), 0,_xll.SNL.Clients.Office.Excel.Functions.SPG($L26, $AG$4, AG$2))</f>
        <v>#NAME?</v>
      </c>
      <c r="AH26" s="72" t="e">
        <f ca="1" xml:space="preserve"> IF(ISNUMBER(SEARCH("na",_xll.SNL.Clients.Office.Excel.Functions.SPG($L26, $AG$4, AH$2))), 0,_xll.SNL.Clients.Office.Excel.Functions.SPG($L26, $AG$4, AH$2))</f>
        <v>#NAME?</v>
      </c>
      <c r="AI26" s="72" t="e">
        <f ca="1" xml:space="preserve"> IF(ISNUMBER(SEARCH("na",_xll.SNL.Clients.Office.Excel.Functions.SPG($L26, $AG$4, AI$2))), 0,_xll.SNL.Clients.Office.Excel.Functions.SPG($L26, $AG$4, AI$2))</f>
        <v>#NAME?</v>
      </c>
      <c r="AJ26" s="72" t="e">
        <f ca="1" xml:space="preserve"> IF(ISNUMBER(SEARCH("na",_xll.SNL.Clients.Office.Excel.Functions.SPG($L26, $AJ$4, AJ$2))), 0,_xll.SNL.Clients.Office.Excel.Functions.SPG($L26, $AJ$4, AJ$2))</f>
        <v>#NAME?</v>
      </c>
      <c r="AK26" s="72" t="e">
        <f ca="1" xml:space="preserve"> IF(ISNUMBER(SEARCH("na",_xll.SNL.Clients.Office.Excel.Functions.SPG($L26, $AJ$4, AK$2))), 0,_xll.SNL.Clients.Office.Excel.Functions.SPG($L26, $AJ$4, AK$2))</f>
        <v>#NAME?</v>
      </c>
      <c r="AL26" s="72" t="e">
        <f ca="1" xml:space="preserve"> IF(ISNUMBER(SEARCH("na",_xll.SNL.Clients.Office.Excel.Functions.SPG($L26, $AJ$4, AL$2))), 0,_xll.SNL.Clients.Office.Excel.Functions.SPG($L26, $AJ$4, AL$2))</f>
        <v>#NAME?</v>
      </c>
      <c r="AM26" s="72" t="e">
        <f t="shared" ref="AM26:AM48" ca="1" si="101">AD26+AG26*agprice/auprice+AJ26*cuprice/auprice</f>
        <v>#NAME?</v>
      </c>
      <c r="AN26" s="72" t="e">
        <f t="shared" ref="AN26:AN48" ca="1" si="102">AE26+AH26*agprice/auprice+AK26*cuprice/auprice</f>
        <v>#NAME?</v>
      </c>
      <c r="AO26" s="72" t="e">
        <f t="shared" ref="AO26:AO48" ca="1" si="103">AF26+AI26*agprice/auprice+AL26*cuprice/auprice</f>
        <v>#NAME?</v>
      </c>
      <c r="AP26" s="83" t="str">
        <f t="shared" ref="AP26:AQ47" ca="1" si="104">IFERROR($H26/AM26*1000,"NA")</f>
        <v>NA</v>
      </c>
      <c r="AQ26" s="84" t="str">
        <f t="shared" ca="1" si="104"/>
        <v>NA</v>
      </c>
      <c r="AR26" s="85" t="str">
        <f t="shared" ca="1" si="43"/>
        <v>NA</v>
      </c>
      <c r="AS26" s="72">
        <f ca="1">IFERROR(_xll.SNL.Clients.Office.Excel.Functions.SPG($L26, $AS$3, AS$2,$AS$4)/1000,0)</f>
        <v>0</v>
      </c>
      <c r="AT26" s="72">
        <f ca="1">IFERROR(_xll.SNL.Clients.Office.Excel.Functions.SPG($L26, $AS$3, AT$2,$AS$4)/1000,0)</f>
        <v>0</v>
      </c>
      <c r="AU26" s="72">
        <f ca="1">IFERROR(_xll.SNL.Clients.Office.Excel.Functions.SPG($L26, $AV$3, AU$2,$AS$4)/1000,0)</f>
        <v>0</v>
      </c>
      <c r="AV26" s="72">
        <f ca="1">IFERROR(_xll.SNL.Clients.Office.Excel.Functions.SPG($L26, $AV$3, AV$2,$AS$4)/1000,0)</f>
        <v>0</v>
      </c>
      <c r="AW26" s="72">
        <f ca="1">IFERROR(_xll.SNL.Clients.Office.Excel.Functions.SPG($L26, $AV$3, AW$2,$AS$4)/1000,0)</f>
        <v>0</v>
      </c>
      <c r="AX26" s="72">
        <f ca="1">IFERROR(_xll.SNL.Clients.Office.Excel.Functions.SPG($L26, $AX$3, AX$2,$AS$4)/1000,0)</f>
        <v>0</v>
      </c>
      <c r="AY26" s="72">
        <f ca="1">IFERROR(_xll.SNL.Clients.Office.Excel.Functions.SPG($L26, $AX$3, AY$2,$AS$4)/1000,0)</f>
        <v>0</v>
      </c>
      <c r="AZ26" s="72">
        <f ca="1">IFERROR(_xll.SNL.Clients.Office.Excel.Functions.SPG($L26, $BA$3, AZ$2,$AS$4)/1000,0)</f>
        <v>0</v>
      </c>
      <c r="BA26" s="72">
        <f ca="1">IFERROR(_xll.SNL.Clients.Office.Excel.Functions.SPG($L26, $BA$3, BA$2,$AS$4)/1000,0)</f>
        <v>0</v>
      </c>
      <c r="BB26" s="72">
        <f ca="1">IFERROR(_xll.SNL.Clients.Office.Excel.Functions.SPG($L26, $BA$3, BB$2,$AS$4)/1000,0)</f>
        <v>0</v>
      </c>
      <c r="BC26" s="72">
        <f ca="1">IFERROR(_xll.SNL.Clients.Office.Excel.Functions.SPG($L26, $BC$3, BC$2,$AS$4)/1000,0)</f>
        <v>0</v>
      </c>
      <c r="BD26" s="72">
        <f ca="1">IFERROR(_xll.SNL.Clients.Office.Excel.Functions.SPG($L26, $BC$3, BD$2,$AS$4)/1000,0)</f>
        <v>0</v>
      </c>
      <c r="BE26" s="72">
        <f ca="1">IFERROR(_xll.SNL.Clients.Office.Excel.Functions.SPG($L26, $BF$3, BE$2,$AS$4)/1000,0)</f>
        <v>0</v>
      </c>
      <c r="BF26" s="72">
        <f ca="1">IFERROR(_xll.SNL.Clients.Office.Excel.Functions.SPG($L26, $BF$3, BF$2,$AS$4)/1000,0)</f>
        <v>0</v>
      </c>
      <c r="BG26" s="72">
        <f ca="1">IFERROR(_xll.SNL.Clients.Office.Excel.Functions.SPG($L26, $BF$3, BG$2,$AS$4)/1000,0)</f>
        <v>0</v>
      </c>
      <c r="BH26" s="72">
        <f t="shared" ref="BH26:BH48" ca="1" si="105">AS26+AT26*agprice/auprice+AU26*cuprice/auprice+AV26*znprice/auprice+AW26*pbprice/auprice</f>
        <v>0</v>
      </c>
      <c r="BI26" s="72">
        <f t="shared" ref="BI26:BI48" ca="1" si="106">AX26+AY26*agprice/auprice+AZ26*cuprice/auprice+BA26*znprice/auprice+BB26*pbprice/auprice+BH26</f>
        <v>0</v>
      </c>
      <c r="BJ26" s="72">
        <f t="shared" ref="BJ26:BJ48" ca="1" si="107">BC26+BD26*agprice/auprice+BE26*cuprice/auprice+BF26*znprice/auprice+BG26*pbprice/auprice+BH26</f>
        <v>0</v>
      </c>
      <c r="BK26" s="77" t="str">
        <f ca="1">IFERROR($H26*1000/BH26,"NA")</f>
        <v>NA</v>
      </c>
      <c r="BL26" s="72" t="str">
        <f t="shared" ca="1" si="39"/>
        <v>NA</v>
      </c>
      <c r="BM26" s="78" t="str">
        <f t="shared" ca="1" si="39"/>
        <v>NA</v>
      </c>
      <c r="BN26" s="72" t="e">
        <f ca="1">_xll.SNL.Clients.Office.Excel.Functions.SPG($L26, $BN$3, BN$2, "Au", "Options:Curr=USD")</f>
        <v>#NAME?</v>
      </c>
      <c r="BO26" s="72" t="e">
        <f ca="1">_xll.SNL.Clients.Office.Excel.Functions.SPG($L26, $BN$3, BO$2, "Au", "Options:Curr=USD")</f>
        <v>#NAME?</v>
      </c>
      <c r="BP26" s="72" t="e">
        <f ca="1">_xll.SNL.Clients.Office.Excel.Functions.SPG($L26, $BN$3, BP$2, "Au", "Options:Curr=USD")</f>
        <v>#NAME?</v>
      </c>
      <c r="BQ26" s="78" t="e">
        <f ca="1">_xll.SNL.Clients.Office.Excel.Functions.SPG($L26, $BN$3, BQ$2, "Au", "Options:Curr=USD")</f>
        <v>#NAME?</v>
      </c>
      <c r="BR26" s="72" t="str">
        <f ca="1">IFERROR(AVERAGE(_xll.SNL.Clients.Office.Excel.Functions.SPG($L26,$BR$4,"Au",BR$2, "Options:Curr=USD"),_xll.SNL.Clients.Office.Excel.Functions.SPG($L26,$BR$3,"Au",BR$2, "Options:Curr=USD")),"NA")</f>
        <v>NA</v>
      </c>
      <c r="BS26" s="72" t="str">
        <f ca="1">IFERROR(AVERAGE(_xll.SNL.Clients.Office.Excel.Functions.SPG($L26,$BR$4,"Au",BS$2, "Options:Curr=USD"),_xll.SNL.Clients.Office.Excel.Functions.SPG($L26,$BR$3,"Au",BS$2, "Options:Curr=USD")),"NA")</f>
        <v>NA</v>
      </c>
      <c r="BT26" s="78" t="str">
        <f ca="1">IFERROR(AVERAGE(_xll.SNL.Clients.Office.Excel.Functions.SPG($L26,$BR$4,"Au",BT$2, "Options:Curr=USD"),_xll.SNL.Clients.Office.Excel.Functions.SPG($L26,$BR$3,"Au",BT$2, "Options:Curr=USD")),"NA")</f>
        <v>NA</v>
      </c>
      <c r="BV26" s="36" t="s">
        <v>88</v>
      </c>
      <c r="BW26" s="36"/>
      <c r="BX26" s="36" t="s">
        <v>89</v>
      </c>
      <c r="BY26" s="36"/>
    </row>
    <row r="27" spans="1:77" ht="13.8" x14ac:dyDescent="0.25">
      <c r="A27" s="56" t="e">
        <f ca="1">_xll.SNL.Clients.Office.Excel.Functions.SPG($L27, A$3)</f>
        <v>#NAME?</v>
      </c>
      <c r="B27" s="56" t="e">
        <f ca="1">_xll.BDP($K27,B$3)</f>
        <v>#NAME?</v>
      </c>
      <c r="C27" s="56" t="e">
        <f ca="1">_xll.BDP($K27,C$3)</f>
        <v>#NAME?</v>
      </c>
      <c r="D27" s="56" t="e">
        <f ca="1">_xll.BDP($K27,D$3)</f>
        <v>#NAME?</v>
      </c>
      <c r="E27" s="57" t="s">
        <v>138</v>
      </c>
      <c r="F27" s="57" t="s">
        <v>162</v>
      </c>
      <c r="G27" s="57" t="s">
        <v>84</v>
      </c>
      <c r="H27" s="111" t="e">
        <f ca="1">_xll.SNL.Clients.Office.Excel.Functions.SPG($L27, "IQ_TEV", "Options: Curr=USD")</f>
        <v>#NAME?</v>
      </c>
      <c r="I27" s="111" t="e">
        <f ca="1">_xll.SNL.Clients.Office.Excel.Functions.SPG($L27, "SP_MARKETCAP", "Options: Curr=USD")</f>
        <v>#NAME?</v>
      </c>
      <c r="J27" s="59" t="s">
        <v>163</v>
      </c>
      <c r="K27" s="3" t="s">
        <v>164</v>
      </c>
      <c r="L27" s="3" t="s">
        <v>165</v>
      </c>
      <c r="M27" s="60" t="e" cm="1">
        <f t="array" aca="1" ref="M27" ca="1">_xll.SNL.Clients.Office.Excel.Functions.SPG($L27, $M$3)/100</f>
        <v>#NAME?</v>
      </c>
      <c r="N27" s="61" t="e" cm="1">
        <f t="array" aca="1" ref="N27" ca="1">_xll.SNL.Clients.Office.Excel.Functions.SPG($L27, "SP_PCFPS_FWD",N$2)</f>
        <v>#NAME?</v>
      </c>
      <c r="O27" s="62" t="e" cm="1">
        <f t="array" aca="1" ref="O27" ca="1">_xll.SNL.Clients.Office.Excel.Functions.SPG($L27, "SP_PCFPS_FWD",O$2)</f>
        <v>#NAME?</v>
      </c>
      <c r="P27" s="63" t="e" cm="1">
        <f t="array" aca="1" ref="P27" ca="1">_xll.SNL.Clients.Office.Excel.Functions.SPG($L27, "SP_PCFPS_FWD",P$2)</f>
        <v>#NAME?</v>
      </c>
      <c r="Q27" s="64" t="e">
        <f ca="1">_xll.SNL.Clients.Office.Excel.Functions.SPG($L27, "SP_FCF_EST",Q$2, "Options: Curr=USD")/1000/$I27</f>
        <v>#NAME?</v>
      </c>
      <c r="R27" s="64" t="e">
        <f ca="1">_xll.SNL.Clients.Office.Excel.Functions.SPG($L27, "SP_FCF_EST",R$2, "Options: Curr=USD")/1000/$I27</f>
        <v>#NAME?</v>
      </c>
      <c r="S27" s="64" t="e">
        <f ca="1">_xll.SNL.Clients.Office.Excel.Functions.SPG($L27, "SP_FCF_EST",S$2, "Options: Curr=USD")/1000/$I27</f>
        <v>#NAME?</v>
      </c>
      <c r="T27" s="61" t="e" cm="1">
        <f t="array" aca="1" ref="T27" ca="1">_xll.SNL.Clients.Office.Excel.Functions.SPG($L27, "SP_PE_FWD",T$2)</f>
        <v>#NAME?</v>
      </c>
      <c r="U27" s="63" t="e" cm="1">
        <f t="array" aca="1" ref="U27" ca="1">_xll.SNL.Clients.Office.Excel.Functions.SPG($L27, "SP_PE_FWD",U$2)</f>
        <v>#NAME?</v>
      </c>
      <c r="V27" s="80" t="e" cm="1">
        <f t="array" aca="1" ref="V27" ca="1">_xll.SNL.Clients.Office.Excel.Functions.SPG($L27, $V$3,V$2)</f>
        <v>#NAME?</v>
      </c>
      <c r="W27" s="81" t="e" cm="1">
        <f t="array" aca="1" ref="W27" ca="1">_xll.SNL.Clients.Office.Excel.Functions.SPG($L27, $V$3,W$2)</f>
        <v>#NAME?</v>
      </c>
      <c r="X27" s="82" t="e" cm="1">
        <f t="array" aca="1" ref="X27" ca="1">_xll.SNL.Clients.Office.Excel.Functions.SPG($L27, $V$3,X$2)</f>
        <v>#NAME?</v>
      </c>
      <c r="Y27" s="69" t="e" cm="1">
        <f t="array" aca="1" ref="Y27" ca="1">IF((_xll.SNL.Clients.Office.Excel.Functions.SPG($L27,Y$3,Y$4,"Options: Curr=USD") / _xll.SNL.Clients.Office.Excel.Functions.SPG($L27,"SP_EBITDA_EST",Y$2,"Options: Curr=USD")) &lt; 0, "NM", (_xll.SNL.Clients.Office.Excel.Functions.SPG($L27,Y$3,Y$4,"Options: Curr=USD") / _xll.SNL.Clients.Office.Excel.Functions.SPG($L27,"SP_EBITDA_EST",Y$2,"Options: Curr=USD")))</f>
        <v>#NAME?</v>
      </c>
      <c r="Z27" s="70" t="e" cm="1">
        <f t="array" aca="1" ref="Z27" ca="1">_xll.SNL.Clients.Office.Excel.Functions.SPG($L27, Z$3,Z$4)</f>
        <v>#NAME?</v>
      </c>
      <c r="AA27" s="77" t="str">
        <f ca="1">IFERROR(0.001*AVERAGE(_xll.SNL.Clients.Office.Excel.Functions.SPG($L27,$AA$4,"Au",AA$2),_xll.SNL.Clients.Office.Excel.Functions.SPG($L27,$AA$3,"Au",AA$2)),"NA")</f>
        <v>NA</v>
      </c>
      <c r="AB27" s="72" t="str">
        <f ca="1">IFERROR(0.001*AVERAGE(_xll.SNL.Clients.Office.Excel.Functions.SPG($L27,$AA$4,"Au",AB$2),_xll.SNL.Clients.Office.Excel.Functions.SPG($L27,$AA$3,"Au",AB$2)),"NA")</f>
        <v>NA</v>
      </c>
      <c r="AC27" s="78" t="str">
        <f ca="1">IFERROR(0.001*AVERAGE(_xll.SNL.Clients.Office.Excel.Functions.SPG($L27,$AA$4,"Au",AC$2),_xll.SNL.Clients.Office.Excel.Functions.SPG($L27,$AA$3,"Au",AC$2)),"NA")</f>
        <v>NA</v>
      </c>
      <c r="AD27" s="72" t="e">
        <f ca="1" xml:space="preserve"> IF(ISNUMBER(SEARCH("na",_xll.SNL.Clients.Office.Excel.Functions.SPG($L27, $AD$4, AD$2))), 0,_xll.SNL.Clients.Office.Excel.Functions.SPG($L27, $AD$4, AD$2))</f>
        <v>#NAME?</v>
      </c>
      <c r="AE27" s="72" t="e">
        <f ca="1" xml:space="preserve"> IF(ISNUMBER(SEARCH("na",_xll.SNL.Clients.Office.Excel.Functions.SPG($L27, $AD$4, AE$2))), 0,_xll.SNL.Clients.Office.Excel.Functions.SPG($L27, $AD$4, AE$2))</f>
        <v>#NAME?</v>
      </c>
      <c r="AF27" s="72" t="e">
        <f ca="1" xml:space="preserve"> IF(ISNUMBER(SEARCH("na",_xll.SNL.Clients.Office.Excel.Functions.SPG($L27, $AD$4, AF$2))), 0,_xll.SNL.Clients.Office.Excel.Functions.SPG($L27, $AD$4, AF$2))</f>
        <v>#NAME?</v>
      </c>
      <c r="AG27" s="72" t="e">
        <f ca="1" xml:space="preserve"> IF(ISNUMBER(SEARCH("na",_xll.SNL.Clients.Office.Excel.Functions.SPG($L27, $AG$4, AG$2))), 0,_xll.SNL.Clients.Office.Excel.Functions.SPG($L27, $AG$4, AG$2))</f>
        <v>#NAME?</v>
      </c>
      <c r="AH27" s="72" t="e">
        <f ca="1" xml:space="preserve"> IF(ISNUMBER(SEARCH("na",_xll.SNL.Clients.Office.Excel.Functions.SPG($L27, $AG$4, AH$2))), 0,_xll.SNL.Clients.Office.Excel.Functions.SPG($L27, $AG$4, AH$2))</f>
        <v>#NAME?</v>
      </c>
      <c r="AI27" s="72" t="e">
        <f ca="1" xml:space="preserve"> IF(ISNUMBER(SEARCH("na",_xll.SNL.Clients.Office.Excel.Functions.SPG($L27, $AG$4, AI$2))), 0,_xll.SNL.Clients.Office.Excel.Functions.SPG($L27, $AG$4, AI$2))</f>
        <v>#NAME?</v>
      </c>
      <c r="AJ27" s="72" t="e">
        <f ca="1" xml:space="preserve"> IF(ISNUMBER(SEARCH("na",_xll.SNL.Clients.Office.Excel.Functions.SPG($L27, $AJ$4, AJ$2))), 0,_xll.SNL.Clients.Office.Excel.Functions.SPG($L27, $AJ$4, AJ$2))</f>
        <v>#NAME?</v>
      </c>
      <c r="AK27" s="72" t="e">
        <f ca="1" xml:space="preserve"> IF(ISNUMBER(SEARCH("na",_xll.SNL.Clients.Office.Excel.Functions.SPG($L27, $AJ$4, AK$2))), 0,_xll.SNL.Clients.Office.Excel.Functions.SPG($L27, $AJ$4, AK$2))</f>
        <v>#NAME?</v>
      </c>
      <c r="AL27" s="72" t="e">
        <f ca="1" xml:space="preserve"> IF(ISNUMBER(SEARCH("na",_xll.SNL.Clients.Office.Excel.Functions.SPG($L27, $AJ$4, AL$2))), 0,_xll.SNL.Clients.Office.Excel.Functions.SPG($L27, $AJ$4, AL$2))</f>
        <v>#NAME?</v>
      </c>
      <c r="AM27" s="72" t="e">
        <f t="shared" ref="AM27:AM49" ca="1" si="108">AD27+AG27*agprice/auprice+AJ27*cuprice/auprice</f>
        <v>#NAME?</v>
      </c>
      <c r="AN27" s="72" t="e">
        <f t="shared" ref="AN27:AN49" ca="1" si="109">AE27+AH27*agprice/auprice+AK27*cuprice/auprice</f>
        <v>#NAME?</v>
      </c>
      <c r="AO27" s="72" t="e">
        <f t="shared" ref="AO27:AO49" ca="1" si="110">AF27+AI27*agprice/auprice+AL27*cuprice/auprice</f>
        <v>#NAME?</v>
      </c>
      <c r="AP27" s="83" t="str">
        <f t="shared" ca="1" si="104"/>
        <v>NA</v>
      </c>
      <c r="AQ27" s="84" t="str">
        <f t="shared" ca="1" si="104"/>
        <v>NA</v>
      </c>
      <c r="AR27" s="85" t="str">
        <f t="shared" ca="1" si="43"/>
        <v>NA</v>
      </c>
      <c r="AS27" s="72">
        <f ca="1">IFERROR(_xll.SNL.Clients.Office.Excel.Functions.SPG($L27, $AS$3, AS$2,$AS$4)/1000,0)</f>
        <v>0</v>
      </c>
      <c r="AT27" s="72">
        <f ca="1">IFERROR(_xll.SNL.Clients.Office.Excel.Functions.SPG($L27, $AS$3, AT$2,$AS$4)/1000,0)</f>
        <v>0</v>
      </c>
      <c r="AU27" s="72">
        <f ca="1">IFERROR(_xll.SNL.Clients.Office.Excel.Functions.SPG($L27, $AV$3, AU$2,$AS$4)/1000,0)</f>
        <v>0</v>
      </c>
      <c r="AV27" s="72">
        <f ca="1">IFERROR(_xll.SNL.Clients.Office.Excel.Functions.SPG($L27, $AV$3, AV$2,$AS$4)/1000,0)</f>
        <v>0</v>
      </c>
      <c r="AW27" s="72">
        <f ca="1">IFERROR(_xll.SNL.Clients.Office.Excel.Functions.SPG($L27, $AV$3, AW$2,$AS$4)/1000,0)</f>
        <v>0</v>
      </c>
      <c r="AX27" s="72">
        <f ca="1">IFERROR(_xll.SNL.Clients.Office.Excel.Functions.SPG($L27, $AX$3, AX$2,$AS$4)/1000,0)</f>
        <v>0</v>
      </c>
      <c r="AY27" s="72">
        <f ca="1">IFERROR(_xll.SNL.Clients.Office.Excel.Functions.SPG($L27, $AX$3, AY$2,$AS$4)/1000,0)</f>
        <v>0</v>
      </c>
      <c r="AZ27" s="72">
        <f ca="1">IFERROR(_xll.SNL.Clients.Office.Excel.Functions.SPG($L27, $BA$3, AZ$2,$AS$4)/1000,0)</f>
        <v>0</v>
      </c>
      <c r="BA27" s="72">
        <f ca="1">IFERROR(_xll.SNL.Clients.Office.Excel.Functions.SPG($L27, $BA$3, BA$2,$AS$4)/1000,0)</f>
        <v>0</v>
      </c>
      <c r="BB27" s="72">
        <f ca="1">IFERROR(_xll.SNL.Clients.Office.Excel.Functions.SPG($L27, $BA$3, BB$2,$AS$4)/1000,0)</f>
        <v>0</v>
      </c>
      <c r="BC27" s="72">
        <f ca="1">IFERROR(_xll.SNL.Clients.Office.Excel.Functions.SPG($L27, $BC$3, BC$2,$AS$4)/1000,0)</f>
        <v>0</v>
      </c>
      <c r="BD27" s="72">
        <f ca="1">IFERROR(_xll.SNL.Clients.Office.Excel.Functions.SPG($L27, $BC$3, BD$2,$AS$4)/1000,0)</f>
        <v>0</v>
      </c>
      <c r="BE27" s="72">
        <f ca="1">IFERROR(_xll.SNL.Clients.Office.Excel.Functions.SPG($L27, $BF$3, BE$2,$AS$4)/1000,0)</f>
        <v>0</v>
      </c>
      <c r="BF27" s="72">
        <f ca="1">IFERROR(_xll.SNL.Clients.Office.Excel.Functions.SPG($L27, $BF$3, BF$2,$AS$4)/1000,0)</f>
        <v>0</v>
      </c>
      <c r="BG27" s="72">
        <f ca="1">IFERROR(_xll.SNL.Clients.Office.Excel.Functions.SPG($L27, $BF$3, BG$2,$AS$4)/1000,0)</f>
        <v>0</v>
      </c>
      <c r="BH27" s="72">
        <f t="shared" ref="BH27:BH49" ca="1" si="111">AS27+AT27*agprice/auprice+AU27*cuprice/auprice+AV27*znprice/auprice+AW27*pbprice/auprice</f>
        <v>0</v>
      </c>
      <c r="BI27" s="72">
        <f t="shared" ref="BI27:BI49" ca="1" si="112">AX27+AY27*agprice/auprice+AZ27*cuprice/auprice+BA27*znprice/auprice+BB27*pbprice/auprice+BH27</f>
        <v>0</v>
      </c>
      <c r="BJ27" s="72">
        <f t="shared" ref="BJ27:BJ49" ca="1" si="113">BC27+BD27*agprice/auprice+BE27*cuprice/auprice+BF27*znprice/auprice+BG27*pbprice/auprice+BH27</f>
        <v>0</v>
      </c>
      <c r="BK27" s="77" t="str">
        <f t="shared" ref="BK27:BM37" ca="1" si="114">IFERROR($H27*1000/BH27,"NA")</f>
        <v>NA</v>
      </c>
      <c r="BL27" s="72" t="str">
        <f t="shared" ca="1" si="39"/>
        <v>NA</v>
      </c>
      <c r="BM27" s="78" t="str">
        <f t="shared" ca="1" si="39"/>
        <v>NA</v>
      </c>
      <c r="BN27" s="72" t="e">
        <f ca="1">_xll.SNL.Clients.Office.Excel.Functions.SPG($L27, $BN$3, BN$2, "Au", "Options:Curr=USD")</f>
        <v>#NAME?</v>
      </c>
      <c r="BO27" s="72" t="e">
        <f ca="1">_xll.SNL.Clients.Office.Excel.Functions.SPG($L27, $BN$3, BO$2, "Au", "Options:Curr=USD")</f>
        <v>#NAME?</v>
      </c>
      <c r="BP27" s="72" t="e">
        <f ca="1">_xll.SNL.Clients.Office.Excel.Functions.SPG($L27, $BN$3, BP$2, "Au", "Options:Curr=USD")</f>
        <v>#NAME?</v>
      </c>
      <c r="BQ27" s="78" t="e">
        <f ca="1">_xll.SNL.Clients.Office.Excel.Functions.SPG($L27, $BN$3, BQ$2, "Au", "Options:Curr=USD")</f>
        <v>#NAME?</v>
      </c>
      <c r="BR27" s="72" t="str">
        <f ca="1">IFERROR(AVERAGE(_xll.SNL.Clients.Office.Excel.Functions.SPG($L27,$BR$4,"Au",BR$2, "Options:Curr=USD"),_xll.SNL.Clients.Office.Excel.Functions.SPG($L27,$BR$3,"Au",BR$2, "Options:Curr=USD")),"NA")</f>
        <v>NA</v>
      </c>
      <c r="BS27" s="72" t="str">
        <f ca="1">IFERROR(AVERAGE(_xll.SNL.Clients.Office.Excel.Functions.SPG($L27,$BR$4,"Au",BS$2, "Options:Curr=USD"),_xll.SNL.Clients.Office.Excel.Functions.SPG($L27,$BR$3,"Au",BS$2, "Options:Curr=USD")),"NA")</f>
        <v>NA</v>
      </c>
      <c r="BT27" s="78" t="str">
        <f ca="1">IFERROR(AVERAGE(_xll.SNL.Clients.Office.Excel.Functions.SPG($L27,$BR$4,"Au",BT$2, "Options:Curr=USD"),_xll.SNL.Clients.Office.Excel.Functions.SPG($L27,$BR$3,"Au",BT$2, "Options:Curr=USD")),"NA")</f>
        <v>NA</v>
      </c>
      <c r="BV27" s="36" t="s">
        <v>88</v>
      </c>
      <c r="BW27" s="36"/>
      <c r="BX27" s="36" t="s">
        <v>89</v>
      </c>
      <c r="BY27" s="36"/>
    </row>
    <row r="28" spans="1:77" ht="13.8" x14ac:dyDescent="0.25">
      <c r="A28" s="56" t="e">
        <f ca="1">_xll.SNL.Clients.Office.Excel.Functions.SPG($L28, A$3)</f>
        <v>#NAME?</v>
      </c>
      <c r="B28" s="56" t="e">
        <f ca="1">_xll.BDP($K28,B$3)</f>
        <v>#NAME?</v>
      </c>
      <c r="C28" s="56" t="e">
        <f ca="1">_xll.BDP($K28,C$3)</f>
        <v>#NAME?</v>
      </c>
      <c r="D28" s="56" t="e">
        <f ca="1">_xll.BDP($K28,D$3)</f>
        <v>#NAME?</v>
      </c>
      <c r="E28" s="57" t="s">
        <v>99</v>
      </c>
      <c r="F28" s="57" t="s">
        <v>83</v>
      </c>
      <c r="G28" s="57" t="s">
        <v>84</v>
      </c>
      <c r="H28" s="111" t="e">
        <f ca="1">_xll.SNL.Clients.Office.Excel.Functions.SPG($L28, "IQ_TEV", "Options: Curr=USD")</f>
        <v>#NAME?</v>
      </c>
      <c r="I28" s="111" t="e">
        <f ca="1">_xll.SNL.Clients.Office.Excel.Functions.SPG($L28, "SP_MARKETCAP", "Options: Curr=USD")</f>
        <v>#NAME?</v>
      </c>
      <c r="J28" s="59" t="s">
        <v>166</v>
      </c>
      <c r="K28" s="3" t="s">
        <v>167</v>
      </c>
      <c r="L28" s="3" t="s">
        <v>168</v>
      </c>
      <c r="M28" s="60" t="e" cm="1">
        <f t="array" aca="1" ref="M28" ca="1">_xll.SNL.Clients.Office.Excel.Functions.SPG($L28, $M$3)/100</f>
        <v>#NAME?</v>
      </c>
      <c r="N28" s="61" t="e" cm="1">
        <f t="array" aca="1" ref="N28" ca="1">_xll.SNL.Clients.Office.Excel.Functions.SPG($L28, "SP_PCFPS_FWD",N$2)</f>
        <v>#NAME?</v>
      </c>
      <c r="O28" s="62" t="e" cm="1">
        <f t="array" aca="1" ref="O28" ca="1">_xll.SNL.Clients.Office.Excel.Functions.SPG($L28, "SP_PCFPS_FWD",O$2)</f>
        <v>#NAME?</v>
      </c>
      <c r="P28" s="63" t="e" cm="1">
        <f t="array" aca="1" ref="P28" ca="1">_xll.SNL.Clients.Office.Excel.Functions.SPG($L28, "SP_PCFPS_FWD",P$2)</f>
        <v>#NAME?</v>
      </c>
      <c r="Q28" s="64" t="e">
        <f ca="1">_xll.SNL.Clients.Office.Excel.Functions.SPG($L28, "SP_FCF_EST",Q$2, "Options: Curr=USD")/1000/$I28</f>
        <v>#NAME?</v>
      </c>
      <c r="R28" s="64" t="e">
        <f ca="1">_xll.SNL.Clients.Office.Excel.Functions.SPG($L28, "SP_FCF_EST",R$2, "Options: Curr=USD")/1000/$I28</f>
        <v>#NAME?</v>
      </c>
      <c r="S28" s="64" t="e">
        <f ca="1">_xll.SNL.Clients.Office.Excel.Functions.SPG($L28, "SP_FCF_EST",S$2, "Options: Curr=USD")/1000/$I28</f>
        <v>#NAME?</v>
      </c>
      <c r="T28" s="61" t="e" cm="1">
        <f t="array" aca="1" ref="T28" ca="1">_xll.SNL.Clients.Office.Excel.Functions.SPG($L28, "SP_PE_FWD",T$2)</f>
        <v>#NAME?</v>
      </c>
      <c r="U28" s="63" t="e" cm="1">
        <f t="array" aca="1" ref="U28" ca="1">_xll.SNL.Clients.Office.Excel.Functions.SPG($L28, "SP_PE_FWD",U$2)</f>
        <v>#NAME?</v>
      </c>
      <c r="V28" s="80" t="e" cm="1">
        <f t="array" aca="1" ref="V28" ca="1">_xll.SNL.Clients.Office.Excel.Functions.SPG($L28, $V$3,V$2)</f>
        <v>#NAME?</v>
      </c>
      <c r="W28" s="81" t="e" cm="1">
        <f t="array" aca="1" ref="W28" ca="1">_xll.SNL.Clients.Office.Excel.Functions.SPG($L28, $V$3,W$2)</f>
        <v>#NAME?</v>
      </c>
      <c r="X28" s="82" t="e" cm="1">
        <f t="array" aca="1" ref="X28" ca="1">_xll.SNL.Clients.Office.Excel.Functions.SPG($L28, $V$3,X$2)</f>
        <v>#NAME?</v>
      </c>
      <c r="Y28" s="69" t="e" cm="1">
        <f t="array" aca="1" ref="Y28" ca="1">IF((_xll.SNL.Clients.Office.Excel.Functions.SPG($L28,Y$3,Y$4,"Options: Curr=USD") / _xll.SNL.Clients.Office.Excel.Functions.SPG($L28,"SP_EBITDA_EST",Y$2,"Options: Curr=USD")) &lt; 0, "NM", (_xll.SNL.Clients.Office.Excel.Functions.SPG($L28,Y$3,Y$4,"Options: Curr=USD") / _xll.SNL.Clients.Office.Excel.Functions.SPG($L28,"SP_EBITDA_EST",Y$2,"Options: Curr=USD")))</f>
        <v>#NAME?</v>
      </c>
      <c r="Z28" s="70" t="e" cm="1">
        <f t="array" aca="1" ref="Z28" ca="1">_xll.SNL.Clients.Office.Excel.Functions.SPG($L28, Z$3,Z$4)</f>
        <v>#NAME?</v>
      </c>
      <c r="AA28" s="77" t="str">
        <f ca="1">IFERROR(0.001*AVERAGE(_xll.SNL.Clients.Office.Excel.Functions.SPG($L28,$AA$4,"Au",AA$2),_xll.SNL.Clients.Office.Excel.Functions.SPG($L28,$AA$3,"Au",AA$2)),"NA")</f>
        <v>NA</v>
      </c>
      <c r="AB28" s="72" t="str">
        <f ca="1">IFERROR(0.001*AVERAGE(_xll.SNL.Clients.Office.Excel.Functions.SPG($L28,$AA$4,"Au",AB$2),_xll.SNL.Clients.Office.Excel.Functions.SPG($L28,$AA$3,"Au",AB$2)),"NA")</f>
        <v>NA</v>
      </c>
      <c r="AC28" s="78" t="str">
        <f ca="1">IFERROR(0.001*AVERAGE(_xll.SNL.Clients.Office.Excel.Functions.SPG($L28,$AA$4,"Au",AC$2),_xll.SNL.Clients.Office.Excel.Functions.SPG($L28,$AA$3,"Au",AC$2)),"NA")</f>
        <v>NA</v>
      </c>
      <c r="AD28" s="72" t="e">
        <f ca="1" xml:space="preserve"> IF(ISNUMBER(SEARCH("na",_xll.SNL.Clients.Office.Excel.Functions.SPG($L28, $AD$4, AD$2))), 0,_xll.SNL.Clients.Office.Excel.Functions.SPG($L28, $AD$4, AD$2))</f>
        <v>#NAME?</v>
      </c>
      <c r="AE28" s="72" t="e">
        <f ca="1" xml:space="preserve"> IF(ISNUMBER(SEARCH("na",_xll.SNL.Clients.Office.Excel.Functions.SPG($L28, $AD$4, AE$2))), 0,_xll.SNL.Clients.Office.Excel.Functions.SPG($L28, $AD$4, AE$2))</f>
        <v>#NAME?</v>
      </c>
      <c r="AF28" s="72" t="e">
        <f ca="1" xml:space="preserve"> IF(ISNUMBER(SEARCH("na",_xll.SNL.Clients.Office.Excel.Functions.SPG($L28, $AD$4, AF$2))), 0,_xll.SNL.Clients.Office.Excel.Functions.SPG($L28, $AD$4, AF$2))</f>
        <v>#NAME?</v>
      </c>
      <c r="AG28" s="72" t="e">
        <f ca="1" xml:space="preserve"> IF(ISNUMBER(SEARCH("na",_xll.SNL.Clients.Office.Excel.Functions.SPG($L28, $AG$4, AG$2))), 0,_xll.SNL.Clients.Office.Excel.Functions.SPG($L28, $AG$4, AG$2))</f>
        <v>#NAME?</v>
      </c>
      <c r="AH28" s="72" t="e">
        <f ca="1" xml:space="preserve"> IF(ISNUMBER(SEARCH("na",_xll.SNL.Clients.Office.Excel.Functions.SPG($L28, $AG$4, AH$2))), 0,_xll.SNL.Clients.Office.Excel.Functions.SPG($L28, $AG$4, AH$2))</f>
        <v>#NAME?</v>
      </c>
      <c r="AI28" s="72" t="e">
        <f ca="1" xml:space="preserve"> IF(ISNUMBER(SEARCH("na",_xll.SNL.Clients.Office.Excel.Functions.SPG($L28, $AG$4, AI$2))), 0,_xll.SNL.Clients.Office.Excel.Functions.SPG($L28, $AG$4, AI$2))</f>
        <v>#NAME?</v>
      </c>
      <c r="AJ28" s="72" t="e">
        <f ca="1" xml:space="preserve"> IF(ISNUMBER(SEARCH("na",_xll.SNL.Clients.Office.Excel.Functions.SPG($L28, $AJ$4, AJ$2))), 0,_xll.SNL.Clients.Office.Excel.Functions.SPG($L28, $AJ$4, AJ$2))</f>
        <v>#NAME?</v>
      </c>
      <c r="AK28" s="72" t="e">
        <f ca="1" xml:space="preserve"> IF(ISNUMBER(SEARCH("na",_xll.SNL.Clients.Office.Excel.Functions.SPG($L28, $AJ$4, AK$2))), 0,_xll.SNL.Clients.Office.Excel.Functions.SPG($L28, $AJ$4, AK$2))</f>
        <v>#NAME?</v>
      </c>
      <c r="AL28" s="72" t="e">
        <f ca="1" xml:space="preserve"> IF(ISNUMBER(SEARCH("na",_xll.SNL.Clients.Office.Excel.Functions.SPG($L28, $AJ$4, AL$2))), 0,_xll.SNL.Clients.Office.Excel.Functions.SPG($L28, $AJ$4, AL$2))</f>
        <v>#NAME?</v>
      </c>
      <c r="AM28" s="72" t="e">
        <f t="shared" ref="AM28:AM50" ca="1" si="115">AD28+AG28*agprice/auprice+AJ28*cuprice/auprice</f>
        <v>#NAME?</v>
      </c>
      <c r="AN28" s="72" t="e">
        <f t="shared" ref="AN28:AN50" ca="1" si="116">AE28+AH28*agprice/auprice+AK28*cuprice/auprice</f>
        <v>#NAME?</v>
      </c>
      <c r="AO28" s="72" t="e">
        <f t="shared" ref="AO28:AO50" ca="1" si="117">AF28+AI28*agprice/auprice+AL28*cuprice/auprice</f>
        <v>#NAME?</v>
      </c>
      <c r="AP28" s="83" t="str">
        <f t="shared" ca="1" si="104"/>
        <v>NA</v>
      </c>
      <c r="AQ28" s="84" t="str">
        <f t="shared" ca="1" si="104"/>
        <v>NA</v>
      </c>
      <c r="AR28" s="85" t="str">
        <f t="shared" ca="1" si="43"/>
        <v>NA</v>
      </c>
      <c r="AS28" s="72">
        <f ca="1">IFERROR(_xll.SNL.Clients.Office.Excel.Functions.SPG($L28, $AS$3, AS$2,$AS$4)/1000,0)</f>
        <v>0</v>
      </c>
      <c r="AT28" s="72">
        <f ca="1">IFERROR(_xll.SNL.Clients.Office.Excel.Functions.SPG($L28, $AS$3, AT$2,$AS$4)/1000,0)</f>
        <v>0</v>
      </c>
      <c r="AU28" s="72">
        <f ca="1">IFERROR(_xll.SNL.Clients.Office.Excel.Functions.SPG($L28, $AV$3, AU$2,$AS$4)/1000,0)</f>
        <v>0</v>
      </c>
      <c r="AV28" s="72">
        <f ca="1">IFERROR(_xll.SNL.Clients.Office.Excel.Functions.SPG($L28, $AV$3, AV$2,$AS$4)/1000,0)</f>
        <v>0</v>
      </c>
      <c r="AW28" s="72">
        <f ca="1">IFERROR(_xll.SNL.Clients.Office.Excel.Functions.SPG($L28, $AV$3, AW$2,$AS$4)/1000,0)</f>
        <v>0</v>
      </c>
      <c r="AX28" s="72">
        <f ca="1">IFERROR(_xll.SNL.Clients.Office.Excel.Functions.SPG($L28, $AX$3, AX$2,$AS$4)/1000,0)</f>
        <v>0</v>
      </c>
      <c r="AY28" s="72">
        <f ca="1">IFERROR(_xll.SNL.Clients.Office.Excel.Functions.SPG($L28, $AX$3, AY$2,$AS$4)/1000,0)</f>
        <v>0</v>
      </c>
      <c r="AZ28" s="72">
        <f ca="1">IFERROR(_xll.SNL.Clients.Office.Excel.Functions.SPG($L28, $BA$3, AZ$2,$AS$4)/1000,0)</f>
        <v>0</v>
      </c>
      <c r="BA28" s="72">
        <f ca="1">IFERROR(_xll.SNL.Clients.Office.Excel.Functions.SPG($L28, $BA$3, BA$2,$AS$4)/1000,0)</f>
        <v>0</v>
      </c>
      <c r="BB28" s="72">
        <f ca="1">IFERROR(_xll.SNL.Clients.Office.Excel.Functions.SPG($L28, $BA$3, BB$2,$AS$4)/1000,0)</f>
        <v>0</v>
      </c>
      <c r="BC28" s="72">
        <f ca="1">IFERROR(_xll.SNL.Clients.Office.Excel.Functions.SPG($L28, $BC$3, BC$2,$AS$4)/1000,0)</f>
        <v>0</v>
      </c>
      <c r="BD28" s="72">
        <f ca="1">IFERROR(_xll.SNL.Clients.Office.Excel.Functions.SPG($L28, $BC$3, BD$2,$AS$4)/1000,0)</f>
        <v>0</v>
      </c>
      <c r="BE28" s="72">
        <f ca="1">IFERROR(_xll.SNL.Clients.Office.Excel.Functions.SPG($L28, $BF$3, BE$2,$AS$4)/1000,0)</f>
        <v>0</v>
      </c>
      <c r="BF28" s="72">
        <f ca="1">IFERROR(_xll.SNL.Clients.Office.Excel.Functions.SPG($L28, $BF$3, BF$2,$AS$4)/1000,0)</f>
        <v>0</v>
      </c>
      <c r="BG28" s="72">
        <f ca="1">IFERROR(_xll.SNL.Clients.Office.Excel.Functions.SPG($L28, $BF$3, BG$2,$AS$4)/1000,0)</f>
        <v>0</v>
      </c>
      <c r="BH28" s="72">
        <f t="shared" ref="BH28:BH50" ca="1" si="118">AS28+AT28*agprice/auprice+AU28*cuprice/auprice+AV28*znprice/auprice+AW28*pbprice/auprice</f>
        <v>0</v>
      </c>
      <c r="BI28" s="72">
        <f t="shared" ref="BI28:BI50" ca="1" si="119">AX28+AY28*agprice/auprice+AZ28*cuprice/auprice+BA28*znprice/auprice+BB28*pbprice/auprice+BH28</f>
        <v>0</v>
      </c>
      <c r="BJ28" s="72">
        <f t="shared" ref="BJ28:BJ50" ca="1" si="120">BC28+BD28*agprice/auprice+BE28*cuprice/auprice+BF28*znprice/auprice+BG28*pbprice/auprice+BH28</f>
        <v>0</v>
      </c>
      <c r="BK28" s="77" t="str">
        <f t="shared" ca="1" si="114"/>
        <v>NA</v>
      </c>
      <c r="BL28" s="72" t="str">
        <f t="shared" ca="1" si="39"/>
        <v>NA</v>
      </c>
      <c r="BM28" s="78" t="str">
        <f t="shared" ca="1" si="39"/>
        <v>NA</v>
      </c>
      <c r="BN28" s="72" t="e">
        <f ca="1">_xll.SNL.Clients.Office.Excel.Functions.SPG($L28, $BN$3, BN$2, "Au", "Options:Curr=USD")</f>
        <v>#NAME?</v>
      </c>
      <c r="BO28" s="72" t="e">
        <f ca="1">_xll.SNL.Clients.Office.Excel.Functions.SPG($L28, $BN$3, BO$2, "Au", "Options:Curr=USD")</f>
        <v>#NAME?</v>
      </c>
      <c r="BP28" s="72" t="e">
        <f ca="1">_xll.SNL.Clients.Office.Excel.Functions.SPG($L28, $BN$3, BP$2, "Au", "Options:Curr=USD")</f>
        <v>#NAME?</v>
      </c>
      <c r="BQ28" s="78" t="e">
        <f ca="1">_xll.SNL.Clients.Office.Excel.Functions.SPG($L28, $BN$3, BQ$2, "Au", "Options:Curr=USD")</f>
        <v>#NAME?</v>
      </c>
      <c r="BR28" s="72" t="str">
        <f ca="1">IFERROR(AVERAGE(_xll.SNL.Clients.Office.Excel.Functions.SPG($L28,$BR$4,"Au",BR$2, "Options:Curr=USD"),_xll.SNL.Clients.Office.Excel.Functions.SPG($L28,$BR$3,"Au",BR$2, "Options:Curr=USD")),"NA")</f>
        <v>NA</v>
      </c>
      <c r="BS28" s="72" t="str">
        <f ca="1">IFERROR(AVERAGE(_xll.SNL.Clients.Office.Excel.Functions.SPG($L28,$BR$4,"Au",BS$2, "Options:Curr=USD"),_xll.SNL.Clients.Office.Excel.Functions.SPG($L28,$BR$3,"Au",BS$2, "Options:Curr=USD")),"NA")</f>
        <v>NA</v>
      </c>
      <c r="BT28" s="78" t="str">
        <f ca="1">IFERROR(AVERAGE(_xll.SNL.Clients.Office.Excel.Functions.SPG($L28,$BR$4,"Au",BT$2, "Options:Curr=USD"),_xll.SNL.Clients.Office.Excel.Functions.SPG($L28,$BR$3,"Au",BT$2, "Options:Curr=USD")),"NA")</f>
        <v>NA</v>
      </c>
      <c r="BV28" s="112" t="s">
        <v>169</v>
      </c>
      <c r="BW28" s="112"/>
      <c r="BX28" s="36" t="s">
        <v>89</v>
      </c>
      <c r="BY28" s="36"/>
    </row>
    <row r="29" spans="1:77" ht="13.8" x14ac:dyDescent="0.25">
      <c r="A29" s="56" t="e">
        <f ca="1">_xll.SNL.Clients.Office.Excel.Functions.SPG($L29, A$3)</f>
        <v>#NAME?</v>
      </c>
      <c r="B29" s="56" t="e">
        <f ca="1">_xll.BDP($K29,B$3)</f>
        <v>#NAME?</v>
      </c>
      <c r="C29" s="56" t="e">
        <f ca="1">_xll.BDP($K29,C$3)</f>
        <v>#NAME?</v>
      </c>
      <c r="D29" s="56" t="e">
        <f ca="1">_xll.BDP($K29,D$3)</f>
        <v>#NAME?</v>
      </c>
      <c r="E29" s="57" t="s">
        <v>145</v>
      </c>
      <c r="F29" s="57" t="s">
        <v>83</v>
      </c>
      <c r="G29" s="57" t="s">
        <v>84</v>
      </c>
      <c r="H29" s="111" t="e">
        <f ca="1">_xll.SNL.Clients.Office.Excel.Functions.SPG($L29, "IQ_TEV", "Options: Curr=USD")</f>
        <v>#NAME?</v>
      </c>
      <c r="I29" s="111" t="e">
        <f ca="1">_xll.SNL.Clients.Office.Excel.Functions.SPG($L29, "SP_MARKETCAP", "Options: Curr=USD")</f>
        <v>#NAME?</v>
      </c>
      <c r="J29" s="59" t="s">
        <v>170</v>
      </c>
      <c r="K29" s="3" t="s">
        <v>171</v>
      </c>
      <c r="L29" s="3" t="s">
        <v>172</v>
      </c>
      <c r="M29" s="60" t="e" cm="1">
        <f t="array" aca="1" ref="M29" ca="1">_xll.SNL.Clients.Office.Excel.Functions.SPG($L29, $M$3)/100</f>
        <v>#NAME?</v>
      </c>
      <c r="N29" s="61" t="e" cm="1">
        <f t="array" aca="1" ref="N29" ca="1">_xll.SNL.Clients.Office.Excel.Functions.SPG($L29, "SP_PCFPS_FWD",N$2)</f>
        <v>#NAME?</v>
      </c>
      <c r="O29" s="62" t="e" cm="1">
        <f t="array" aca="1" ref="O29" ca="1">_xll.SNL.Clients.Office.Excel.Functions.SPG($L29, "SP_PCFPS_FWD",O$2)</f>
        <v>#NAME?</v>
      </c>
      <c r="P29" s="63" t="e" cm="1">
        <f t="array" aca="1" ref="P29" ca="1">_xll.SNL.Clients.Office.Excel.Functions.SPG($L29, "SP_PCFPS_FWD",P$2)</f>
        <v>#NAME?</v>
      </c>
      <c r="Q29" s="64" t="e">
        <f ca="1">_xll.SNL.Clients.Office.Excel.Functions.SPG($L29, "SP_FCF_EST",Q$2, "Options: Curr=USD")/1000/$I29</f>
        <v>#NAME?</v>
      </c>
      <c r="R29" s="64" t="e">
        <f ca="1">_xll.SNL.Clients.Office.Excel.Functions.SPG($L29, "SP_FCF_EST",R$2, "Options: Curr=USD")/1000/$I29</f>
        <v>#NAME?</v>
      </c>
      <c r="S29" s="64" t="e">
        <f ca="1">_xll.SNL.Clients.Office.Excel.Functions.SPG($L29, "SP_FCF_EST",S$2, "Options: Curr=USD")/1000/$I29</f>
        <v>#NAME?</v>
      </c>
      <c r="T29" s="61" t="e" cm="1">
        <f t="array" aca="1" ref="T29" ca="1">_xll.SNL.Clients.Office.Excel.Functions.SPG($L29, "SP_PE_FWD",T$2)</f>
        <v>#NAME?</v>
      </c>
      <c r="U29" s="63" t="e" cm="1">
        <f t="array" aca="1" ref="U29" ca="1">_xll.SNL.Clients.Office.Excel.Functions.SPG($L29, "SP_PE_FWD",U$2)</f>
        <v>#NAME?</v>
      </c>
      <c r="V29" s="80" t="e" cm="1">
        <f t="array" aca="1" ref="V29" ca="1">_xll.SNL.Clients.Office.Excel.Functions.SPG($L29, $V$3,V$2)</f>
        <v>#NAME?</v>
      </c>
      <c r="W29" s="81" t="e" cm="1">
        <f t="array" aca="1" ref="W29" ca="1">_xll.SNL.Clients.Office.Excel.Functions.SPG($L29, $V$3,W$2)</f>
        <v>#NAME?</v>
      </c>
      <c r="X29" s="82" t="e" cm="1">
        <f t="array" aca="1" ref="X29" ca="1">_xll.SNL.Clients.Office.Excel.Functions.SPG($L29, $V$3,X$2)</f>
        <v>#NAME?</v>
      </c>
      <c r="Y29" s="69" t="e" cm="1">
        <f t="array" aca="1" ref="Y29" ca="1">IF((_xll.SNL.Clients.Office.Excel.Functions.SPG($L29,Y$3,Y$4,"Options: Curr=USD") / _xll.SNL.Clients.Office.Excel.Functions.SPG($L29,"SP_EBITDA_EST",Y$2,"Options: Curr=USD")) &lt; 0, "NM", (_xll.SNL.Clients.Office.Excel.Functions.SPG($L29,Y$3,Y$4,"Options: Curr=USD") / _xll.SNL.Clients.Office.Excel.Functions.SPG($L29,"SP_EBITDA_EST",Y$2,"Options: Curr=USD")))</f>
        <v>#NAME?</v>
      </c>
      <c r="Z29" s="70" t="e" cm="1">
        <f t="array" aca="1" ref="Z29" ca="1">_xll.SNL.Clients.Office.Excel.Functions.SPG($L29, Z$3,Z$4)</f>
        <v>#NAME?</v>
      </c>
      <c r="AA29" s="77" t="str">
        <f ca="1">IFERROR(0.001*AVERAGE(_xll.SNL.Clients.Office.Excel.Functions.SPG($L29,$AA$4,"Au",AA$2),_xll.SNL.Clients.Office.Excel.Functions.SPG($L29,$AA$3,"Au",AA$2)),"NA")</f>
        <v>NA</v>
      </c>
      <c r="AB29" s="72" t="str">
        <f ca="1">IFERROR(0.001*AVERAGE(_xll.SNL.Clients.Office.Excel.Functions.SPG($L29,$AA$4,"Au",AB$2),_xll.SNL.Clients.Office.Excel.Functions.SPG($L29,$AA$3,"Au",AB$2)),"NA")</f>
        <v>NA</v>
      </c>
      <c r="AC29" s="78" t="str">
        <f ca="1">IFERROR(0.001*AVERAGE(_xll.SNL.Clients.Office.Excel.Functions.SPG($L29,$AA$4,"Au",AC$2),_xll.SNL.Clients.Office.Excel.Functions.SPG($L29,$AA$3,"Au",AC$2)),"NA")</f>
        <v>NA</v>
      </c>
      <c r="AD29" s="72" t="e">
        <f ca="1" xml:space="preserve"> IF(ISNUMBER(SEARCH("na",_xll.SNL.Clients.Office.Excel.Functions.SPG($L29, $AD$4, AD$2))), 0,_xll.SNL.Clients.Office.Excel.Functions.SPG($L29, $AD$4, AD$2))</f>
        <v>#NAME?</v>
      </c>
      <c r="AE29" s="72" t="e">
        <f ca="1" xml:space="preserve"> IF(ISNUMBER(SEARCH("na",_xll.SNL.Clients.Office.Excel.Functions.SPG($L29, $AD$4, AE$2))), 0,_xll.SNL.Clients.Office.Excel.Functions.SPG($L29, $AD$4, AE$2))</f>
        <v>#NAME?</v>
      </c>
      <c r="AF29" s="72" t="e">
        <f ca="1" xml:space="preserve"> IF(ISNUMBER(SEARCH("na",_xll.SNL.Clients.Office.Excel.Functions.SPG($L29, $AD$4, AF$2))), 0,_xll.SNL.Clients.Office.Excel.Functions.SPG($L29, $AD$4, AF$2))</f>
        <v>#NAME?</v>
      </c>
      <c r="AG29" s="72" t="e">
        <f ca="1" xml:space="preserve"> IF(ISNUMBER(SEARCH("na",_xll.SNL.Clients.Office.Excel.Functions.SPG($L29, $AG$4, AG$2))), 0,_xll.SNL.Clients.Office.Excel.Functions.SPG($L29, $AG$4, AG$2))</f>
        <v>#NAME?</v>
      </c>
      <c r="AH29" s="72" t="e">
        <f ca="1" xml:space="preserve"> IF(ISNUMBER(SEARCH("na",_xll.SNL.Clients.Office.Excel.Functions.SPG($L29, $AG$4, AH$2))), 0,_xll.SNL.Clients.Office.Excel.Functions.SPG($L29, $AG$4, AH$2))</f>
        <v>#NAME?</v>
      </c>
      <c r="AI29" s="72" t="e">
        <f ca="1" xml:space="preserve"> IF(ISNUMBER(SEARCH("na",_xll.SNL.Clients.Office.Excel.Functions.SPG($L29, $AG$4, AI$2))), 0,_xll.SNL.Clients.Office.Excel.Functions.SPG($L29, $AG$4, AI$2))</f>
        <v>#NAME?</v>
      </c>
      <c r="AJ29" s="72" t="e">
        <f ca="1" xml:space="preserve"> IF(ISNUMBER(SEARCH("na",_xll.SNL.Clients.Office.Excel.Functions.SPG($L29, $AJ$4, AJ$2))), 0,_xll.SNL.Clients.Office.Excel.Functions.SPG($L29, $AJ$4, AJ$2))</f>
        <v>#NAME?</v>
      </c>
      <c r="AK29" s="72" t="e">
        <f ca="1" xml:space="preserve"> IF(ISNUMBER(SEARCH("na",_xll.SNL.Clients.Office.Excel.Functions.SPG($L29, $AJ$4, AK$2))), 0,_xll.SNL.Clients.Office.Excel.Functions.SPG($L29, $AJ$4, AK$2))</f>
        <v>#NAME?</v>
      </c>
      <c r="AL29" s="72" t="e">
        <f ca="1" xml:space="preserve"> IF(ISNUMBER(SEARCH("na",_xll.SNL.Clients.Office.Excel.Functions.SPG($L29, $AJ$4, AL$2))), 0,_xll.SNL.Clients.Office.Excel.Functions.SPG($L29, $AJ$4, AL$2))</f>
        <v>#NAME?</v>
      </c>
      <c r="AM29" s="72" t="e">
        <f t="shared" ref="AM29:AM51" ca="1" si="121">AD29+AG29*agprice/auprice+AJ29*cuprice/auprice</f>
        <v>#NAME?</v>
      </c>
      <c r="AN29" s="72" t="e">
        <f t="shared" ref="AN29:AN51" ca="1" si="122">AE29+AH29*agprice/auprice+AK29*cuprice/auprice</f>
        <v>#NAME?</v>
      </c>
      <c r="AO29" s="72" t="e">
        <f t="shared" ref="AO29:AO51" ca="1" si="123">AF29+AI29*agprice/auprice+AL29*cuprice/auprice</f>
        <v>#NAME?</v>
      </c>
      <c r="AP29" s="83" t="str">
        <f t="shared" ca="1" si="104"/>
        <v>NA</v>
      </c>
      <c r="AQ29" s="84" t="str">
        <f t="shared" ca="1" si="104"/>
        <v>NA</v>
      </c>
      <c r="AR29" s="85" t="str">
        <f t="shared" ca="1" si="43"/>
        <v>NA</v>
      </c>
      <c r="AS29" s="72">
        <f ca="1">IFERROR(_xll.SNL.Clients.Office.Excel.Functions.SPG($L29, $AS$3, AS$2,$AS$4)/1000,0)</f>
        <v>0</v>
      </c>
      <c r="AT29" s="72">
        <f ca="1">IFERROR(_xll.SNL.Clients.Office.Excel.Functions.SPG($L29, $AS$3, AT$2,$AS$4)/1000,0)</f>
        <v>0</v>
      </c>
      <c r="AU29" s="72">
        <f ca="1">IFERROR(_xll.SNL.Clients.Office.Excel.Functions.SPG($L29, $AV$3, AU$2,$AS$4)/1000,0)</f>
        <v>0</v>
      </c>
      <c r="AV29" s="72">
        <f ca="1">IFERROR(_xll.SNL.Clients.Office.Excel.Functions.SPG($L29, $AV$3, AV$2,$AS$4)/1000,0)</f>
        <v>0</v>
      </c>
      <c r="AW29" s="72">
        <f ca="1">IFERROR(_xll.SNL.Clients.Office.Excel.Functions.SPG($L29, $AV$3, AW$2,$AS$4)/1000,0)</f>
        <v>0</v>
      </c>
      <c r="AX29" s="72">
        <f ca="1">IFERROR(_xll.SNL.Clients.Office.Excel.Functions.SPG($L29, $AX$3, AX$2,$AS$4)/1000,0)</f>
        <v>0</v>
      </c>
      <c r="AY29" s="72">
        <f ca="1">IFERROR(_xll.SNL.Clients.Office.Excel.Functions.SPG($L29, $AX$3, AY$2,$AS$4)/1000,0)</f>
        <v>0</v>
      </c>
      <c r="AZ29" s="72">
        <f ca="1">IFERROR(_xll.SNL.Clients.Office.Excel.Functions.SPG($L29, $BA$3, AZ$2,$AS$4)/1000,0)</f>
        <v>0</v>
      </c>
      <c r="BA29" s="72">
        <f ca="1">IFERROR(_xll.SNL.Clients.Office.Excel.Functions.SPG($L29, $BA$3, BA$2,$AS$4)/1000,0)</f>
        <v>0</v>
      </c>
      <c r="BB29" s="72">
        <f ca="1">IFERROR(_xll.SNL.Clients.Office.Excel.Functions.SPG($L29, $BA$3, BB$2,$AS$4)/1000,0)</f>
        <v>0</v>
      </c>
      <c r="BC29" s="72">
        <f ca="1">IFERROR(_xll.SNL.Clients.Office.Excel.Functions.SPG($L29, $BC$3, BC$2,$AS$4)/1000,0)</f>
        <v>0</v>
      </c>
      <c r="BD29" s="72">
        <f ca="1">IFERROR(_xll.SNL.Clients.Office.Excel.Functions.SPG($L29, $BC$3, BD$2,$AS$4)/1000,0)</f>
        <v>0</v>
      </c>
      <c r="BE29" s="72">
        <f ca="1">IFERROR(_xll.SNL.Clients.Office.Excel.Functions.SPG($L29, $BF$3, BE$2,$AS$4)/1000,0)</f>
        <v>0</v>
      </c>
      <c r="BF29" s="72">
        <f ca="1">IFERROR(_xll.SNL.Clients.Office.Excel.Functions.SPG($L29, $BF$3, BF$2,$AS$4)/1000,0)</f>
        <v>0</v>
      </c>
      <c r="BG29" s="72">
        <f ca="1">IFERROR(_xll.SNL.Clients.Office.Excel.Functions.SPG($L29, $BF$3, BG$2,$AS$4)/1000,0)</f>
        <v>0</v>
      </c>
      <c r="BH29" s="72">
        <f t="shared" ref="BH29:BH51" ca="1" si="124">AS29+AT29*agprice/auprice+AU29*cuprice/auprice+AV29*znprice/auprice+AW29*pbprice/auprice</f>
        <v>0</v>
      </c>
      <c r="BI29" s="72">
        <f t="shared" ref="BI29:BI51" ca="1" si="125">AX29+AY29*agprice/auprice+AZ29*cuprice/auprice+BA29*znprice/auprice+BB29*pbprice/auprice+BH29</f>
        <v>0</v>
      </c>
      <c r="BJ29" s="72">
        <f t="shared" ref="BJ29:BJ51" ca="1" si="126">BC29+BD29*agprice/auprice+BE29*cuprice/auprice+BF29*znprice/auprice+BG29*pbprice/auprice+BH29</f>
        <v>0</v>
      </c>
      <c r="BK29" s="77" t="str">
        <f t="shared" ca="1" si="114"/>
        <v>NA</v>
      </c>
      <c r="BL29" s="72" t="str">
        <f t="shared" ca="1" si="39"/>
        <v>NA</v>
      </c>
      <c r="BM29" s="78" t="str">
        <f t="shared" ca="1" si="39"/>
        <v>NA</v>
      </c>
      <c r="BN29" s="72" t="e">
        <f ca="1">_xll.SNL.Clients.Office.Excel.Functions.SPG($L29, $BN$3, BN$2, "Au", "Options:Curr=USD")</f>
        <v>#NAME?</v>
      </c>
      <c r="BO29" s="72" t="e">
        <f ca="1">_xll.SNL.Clients.Office.Excel.Functions.SPG($L29, $BN$3, BO$2, "Au", "Options:Curr=USD")</f>
        <v>#NAME?</v>
      </c>
      <c r="BP29" s="72" t="e">
        <f ca="1">_xll.SNL.Clients.Office.Excel.Functions.SPG($L29, $BN$3, BP$2, "Au", "Options:Curr=USD")</f>
        <v>#NAME?</v>
      </c>
      <c r="BQ29" s="78" t="e">
        <f ca="1">_xll.SNL.Clients.Office.Excel.Functions.SPG($L29, $BN$3, BQ$2, "Au", "Options:Curr=USD")</f>
        <v>#NAME?</v>
      </c>
      <c r="BR29" s="72" t="str">
        <f ca="1">IFERROR(AVERAGE(_xll.SNL.Clients.Office.Excel.Functions.SPG($L29,$BR$4,"Au",BR$2, "Options:Curr=USD"),_xll.SNL.Clients.Office.Excel.Functions.SPG($L29,$BR$3,"Au",BR$2, "Options:Curr=USD")),"NA")</f>
        <v>NA</v>
      </c>
      <c r="BS29" s="72" t="str">
        <f ca="1">IFERROR(AVERAGE(_xll.SNL.Clients.Office.Excel.Functions.SPG($L29,$BR$4,"Au",BS$2, "Options:Curr=USD"),_xll.SNL.Clients.Office.Excel.Functions.SPG($L29,$BR$3,"Au",BS$2, "Options:Curr=USD")),"NA")</f>
        <v>NA</v>
      </c>
      <c r="BT29" s="78" t="str">
        <f ca="1">IFERROR(AVERAGE(_xll.SNL.Clients.Office.Excel.Functions.SPG($L29,$BR$4,"Au",BT$2, "Options:Curr=USD"),_xll.SNL.Clients.Office.Excel.Functions.SPG($L29,$BR$3,"Au",BT$2, "Options:Curr=USD")),"NA")</f>
        <v>NA</v>
      </c>
      <c r="BV29" s="36" t="s">
        <v>88</v>
      </c>
      <c r="BW29" s="36"/>
      <c r="BX29" s="36" t="s">
        <v>89</v>
      </c>
      <c r="BY29" s="36"/>
    </row>
    <row r="30" spans="1:77" ht="13.8" x14ac:dyDescent="0.25">
      <c r="A30" s="56" t="e">
        <f ca="1">_xll.SNL.Clients.Office.Excel.Functions.SPG($L30, A$3)</f>
        <v>#NAME?</v>
      </c>
      <c r="B30" s="56" t="e">
        <f ca="1">_xll.BDP($K30,B$3)</f>
        <v>#NAME?</v>
      </c>
      <c r="C30" s="56" t="e">
        <f ca="1">_xll.BDP($K30,C$3)</f>
        <v>#NAME?</v>
      </c>
      <c r="D30" s="56" t="e">
        <f ca="1">_xll.BDP($K30,D$3)</f>
        <v>#NAME?</v>
      </c>
      <c r="E30" s="57" t="s">
        <v>112</v>
      </c>
      <c r="F30" s="57" t="s">
        <v>83</v>
      </c>
      <c r="G30" s="57" t="s">
        <v>84</v>
      </c>
      <c r="H30" s="111" t="e">
        <f ca="1">_xll.SNL.Clients.Office.Excel.Functions.SPG($L30, "IQ_TEV", "Options: Curr=USD")</f>
        <v>#NAME?</v>
      </c>
      <c r="I30" s="111" t="e">
        <f ca="1">_xll.SNL.Clients.Office.Excel.Functions.SPG($L30, "SP_MARKETCAP", "Options: Curr=USD")</f>
        <v>#NAME?</v>
      </c>
      <c r="J30" s="59" t="s">
        <v>173</v>
      </c>
      <c r="K30" s="3" t="s">
        <v>174</v>
      </c>
      <c r="L30" s="3" t="s">
        <v>175</v>
      </c>
      <c r="M30" s="60" t="e" cm="1">
        <f t="array" aca="1" ref="M30" ca="1">_xll.SNL.Clients.Office.Excel.Functions.SPG($L30, $M$3)/100</f>
        <v>#NAME?</v>
      </c>
      <c r="N30" s="61" t="e" cm="1">
        <f t="array" aca="1" ref="N30" ca="1">_xll.SNL.Clients.Office.Excel.Functions.SPG($L30, "SP_PCFPS_FWD",N$2)</f>
        <v>#NAME?</v>
      </c>
      <c r="O30" s="62" t="e" cm="1">
        <f t="array" aca="1" ref="O30" ca="1">_xll.SNL.Clients.Office.Excel.Functions.SPG($L30, "SP_PCFPS_FWD",O$2)</f>
        <v>#NAME?</v>
      </c>
      <c r="P30" s="63" t="e" cm="1">
        <f t="array" aca="1" ref="P30" ca="1">_xll.SNL.Clients.Office.Excel.Functions.SPG($L30, "SP_PCFPS_FWD",P$2)</f>
        <v>#NAME?</v>
      </c>
      <c r="Q30" s="64" t="e">
        <f ca="1">_xll.SNL.Clients.Office.Excel.Functions.SPG($L30, "SP_FCF_EST",Q$2, "Options: Curr=USD")/1000/$I30</f>
        <v>#NAME?</v>
      </c>
      <c r="R30" s="64" t="e">
        <f ca="1">_xll.SNL.Clients.Office.Excel.Functions.SPG($L30, "SP_FCF_EST",R$2, "Options: Curr=USD")/1000/$I30</f>
        <v>#NAME?</v>
      </c>
      <c r="S30" s="64" t="e">
        <f ca="1">_xll.SNL.Clients.Office.Excel.Functions.SPG($L30, "SP_FCF_EST",S$2, "Options: Curr=USD")/1000/$I30</f>
        <v>#NAME?</v>
      </c>
      <c r="T30" s="61" t="e" cm="1">
        <f t="array" aca="1" ref="T30" ca="1">_xll.SNL.Clients.Office.Excel.Functions.SPG($L30, "SP_PE_FWD",T$2)</f>
        <v>#NAME?</v>
      </c>
      <c r="U30" s="63" t="e" cm="1">
        <f t="array" aca="1" ref="U30" ca="1">_xll.SNL.Clients.Office.Excel.Functions.SPG($L30, "SP_PE_FWD",U$2)</f>
        <v>#NAME?</v>
      </c>
      <c r="V30" s="80" t="e" cm="1">
        <f t="array" aca="1" ref="V30" ca="1">_xll.SNL.Clients.Office.Excel.Functions.SPG($L30, $V$3,V$2)</f>
        <v>#NAME?</v>
      </c>
      <c r="W30" s="81" t="e" cm="1">
        <f t="array" aca="1" ref="W30" ca="1">_xll.SNL.Clients.Office.Excel.Functions.SPG($L30, $V$3,W$2)</f>
        <v>#NAME?</v>
      </c>
      <c r="X30" s="82" t="e" cm="1">
        <f t="array" aca="1" ref="X30" ca="1">_xll.SNL.Clients.Office.Excel.Functions.SPG($L30, $V$3,X$2)</f>
        <v>#NAME?</v>
      </c>
      <c r="Y30" s="69" t="e" cm="1">
        <f t="array" aca="1" ref="Y30" ca="1">IF((_xll.SNL.Clients.Office.Excel.Functions.SPG($L30,Y$3,Y$4,"Options: Curr=USD") / _xll.SNL.Clients.Office.Excel.Functions.SPG($L30,"SP_EBITDA_EST",Y$2,"Options: Curr=USD")) &lt; 0, "NM", (_xll.SNL.Clients.Office.Excel.Functions.SPG($L30,Y$3,Y$4,"Options: Curr=USD") / _xll.SNL.Clients.Office.Excel.Functions.SPG($L30,"SP_EBITDA_EST",Y$2,"Options: Curr=USD")))</f>
        <v>#NAME?</v>
      </c>
      <c r="Z30" s="70" t="e" cm="1">
        <f t="array" aca="1" ref="Z30" ca="1">_xll.SNL.Clients.Office.Excel.Functions.SPG($L30, Z$3,Z$4)</f>
        <v>#NAME?</v>
      </c>
      <c r="AA30" s="77" t="str">
        <f ca="1">IFERROR(0.001*AVERAGE(_xll.SNL.Clients.Office.Excel.Functions.SPG($L30,$AA$4,"Au",AA$2),_xll.SNL.Clients.Office.Excel.Functions.SPG($L30,$AA$3,"Au",AA$2)),"NA")</f>
        <v>NA</v>
      </c>
      <c r="AB30" s="72" t="str">
        <f ca="1">IFERROR(0.001*AVERAGE(_xll.SNL.Clients.Office.Excel.Functions.SPG($L30,$AA$4,"Au",AB$2),_xll.SNL.Clients.Office.Excel.Functions.SPG($L30,$AA$3,"Au",AB$2)),"NA")</f>
        <v>NA</v>
      </c>
      <c r="AC30" s="78" t="str">
        <f ca="1">IFERROR(0.001*AVERAGE(_xll.SNL.Clients.Office.Excel.Functions.SPG($L30,$AA$4,"Au",AC$2),_xll.SNL.Clients.Office.Excel.Functions.SPG($L30,$AA$3,"Au",AC$2)),"NA")</f>
        <v>NA</v>
      </c>
      <c r="AD30" s="72" t="e">
        <f ca="1" xml:space="preserve"> IF(ISNUMBER(SEARCH("na",_xll.SNL.Clients.Office.Excel.Functions.SPG($L30, $AD$4, AD$2))), 0,_xll.SNL.Clients.Office.Excel.Functions.SPG($L30, $AD$4, AD$2))</f>
        <v>#NAME?</v>
      </c>
      <c r="AE30" s="72" t="e">
        <f ca="1" xml:space="preserve"> IF(ISNUMBER(SEARCH("na",_xll.SNL.Clients.Office.Excel.Functions.SPG($L30, $AD$4, AE$2))), 0,_xll.SNL.Clients.Office.Excel.Functions.SPG($L30, $AD$4, AE$2))</f>
        <v>#NAME?</v>
      </c>
      <c r="AF30" s="72" t="e">
        <f ca="1" xml:space="preserve"> IF(ISNUMBER(SEARCH("na",_xll.SNL.Clients.Office.Excel.Functions.SPG($L30, $AD$4, AF$2))), 0,_xll.SNL.Clients.Office.Excel.Functions.SPG($L30, $AD$4, AF$2))</f>
        <v>#NAME?</v>
      </c>
      <c r="AG30" s="72" t="e">
        <f ca="1" xml:space="preserve"> IF(ISNUMBER(SEARCH("na",_xll.SNL.Clients.Office.Excel.Functions.SPG($L30, $AG$4, AG$2))), 0,_xll.SNL.Clients.Office.Excel.Functions.SPG($L30, $AG$4, AG$2))</f>
        <v>#NAME?</v>
      </c>
      <c r="AH30" s="72" t="e">
        <f ca="1" xml:space="preserve"> IF(ISNUMBER(SEARCH("na",_xll.SNL.Clients.Office.Excel.Functions.SPG($L30, $AG$4, AH$2))), 0,_xll.SNL.Clients.Office.Excel.Functions.SPG($L30, $AG$4, AH$2))</f>
        <v>#NAME?</v>
      </c>
      <c r="AI30" s="72" t="e">
        <f ca="1" xml:space="preserve"> IF(ISNUMBER(SEARCH("na",_xll.SNL.Clients.Office.Excel.Functions.SPG($L30, $AG$4, AI$2))), 0,_xll.SNL.Clients.Office.Excel.Functions.SPG($L30, $AG$4, AI$2))</f>
        <v>#NAME?</v>
      </c>
      <c r="AJ30" s="72" t="e">
        <f ca="1" xml:space="preserve"> IF(ISNUMBER(SEARCH("na",_xll.SNL.Clients.Office.Excel.Functions.SPG($L30, $AJ$4, AJ$2))), 0,_xll.SNL.Clients.Office.Excel.Functions.SPG($L30, $AJ$4, AJ$2))</f>
        <v>#NAME?</v>
      </c>
      <c r="AK30" s="72" t="e">
        <f ca="1" xml:space="preserve"> IF(ISNUMBER(SEARCH("na",_xll.SNL.Clients.Office.Excel.Functions.SPG($L30, $AJ$4, AK$2))), 0,_xll.SNL.Clients.Office.Excel.Functions.SPG($L30, $AJ$4, AK$2))</f>
        <v>#NAME?</v>
      </c>
      <c r="AL30" s="72" t="e">
        <f ca="1" xml:space="preserve"> IF(ISNUMBER(SEARCH("na",_xll.SNL.Clients.Office.Excel.Functions.SPG($L30, $AJ$4, AL$2))), 0,_xll.SNL.Clients.Office.Excel.Functions.SPG($L30, $AJ$4, AL$2))</f>
        <v>#NAME?</v>
      </c>
      <c r="AM30" s="72" t="e">
        <f t="shared" ref="AM30:AM52" ca="1" si="127">AD30+AG30*agprice/auprice+AJ30*cuprice/auprice</f>
        <v>#NAME?</v>
      </c>
      <c r="AN30" s="72" t="e">
        <f t="shared" ref="AN30:AN52" ca="1" si="128">AE30+AH30*agprice/auprice+AK30*cuprice/auprice</f>
        <v>#NAME?</v>
      </c>
      <c r="AO30" s="72" t="e">
        <f t="shared" ref="AO30:AO52" ca="1" si="129">AF30+AI30*agprice/auprice+AL30*cuprice/auprice</f>
        <v>#NAME?</v>
      </c>
      <c r="AP30" s="83" t="str">
        <f t="shared" ca="1" si="104"/>
        <v>NA</v>
      </c>
      <c r="AQ30" s="84" t="str">
        <f t="shared" ca="1" si="104"/>
        <v>NA</v>
      </c>
      <c r="AR30" s="85" t="str">
        <f t="shared" ca="1" si="43"/>
        <v>NA</v>
      </c>
      <c r="AS30" s="72">
        <f ca="1">IFERROR(_xll.SNL.Clients.Office.Excel.Functions.SPG($L30, $AS$3, AS$2,$AS$4)/1000,0)</f>
        <v>0</v>
      </c>
      <c r="AT30" s="72">
        <f ca="1">IFERROR(_xll.SNL.Clients.Office.Excel.Functions.SPG($L30, $AS$3, AT$2,$AS$4)/1000,0)</f>
        <v>0</v>
      </c>
      <c r="AU30" s="72">
        <f ca="1">IFERROR(_xll.SNL.Clients.Office.Excel.Functions.SPG($L30, $AV$3, AU$2,$AS$4)/1000,0)</f>
        <v>0</v>
      </c>
      <c r="AV30" s="72">
        <f ca="1">IFERROR(_xll.SNL.Clients.Office.Excel.Functions.SPG($L30, $AV$3, AV$2,$AS$4)/1000,0)</f>
        <v>0</v>
      </c>
      <c r="AW30" s="72">
        <f ca="1">IFERROR(_xll.SNL.Clients.Office.Excel.Functions.SPG($L30, $AV$3, AW$2,$AS$4)/1000,0)</f>
        <v>0</v>
      </c>
      <c r="AX30" s="72">
        <f ca="1">IFERROR(_xll.SNL.Clients.Office.Excel.Functions.SPG($L30, $AX$3, AX$2,$AS$4)/1000,0)</f>
        <v>0</v>
      </c>
      <c r="AY30" s="72">
        <f ca="1">IFERROR(_xll.SNL.Clients.Office.Excel.Functions.SPG($L30, $AX$3, AY$2,$AS$4)/1000,0)</f>
        <v>0</v>
      </c>
      <c r="AZ30" s="72">
        <f ca="1">IFERROR(_xll.SNL.Clients.Office.Excel.Functions.SPG($L30, $BA$3, AZ$2,$AS$4)/1000,0)</f>
        <v>0</v>
      </c>
      <c r="BA30" s="72">
        <f ca="1">IFERROR(_xll.SNL.Clients.Office.Excel.Functions.SPG($L30, $BA$3, BA$2,$AS$4)/1000,0)</f>
        <v>0</v>
      </c>
      <c r="BB30" s="72">
        <f ca="1">IFERROR(_xll.SNL.Clients.Office.Excel.Functions.SPG($L30, $BA$3, BB$2,$AS$4)/1000,0)</f>
        <v>0</v>
      </c>
      <c r="BC30" s="72">
        <f ca="1">IFERROR(_xll.SNL.Clients.Office.Excel.Functions.SPG($L30, $BC$3, BC$2,$AS$4)/1000,0)</f>
        <v>0</v>
      </c>
      <c r="BD30" s="72">
        <f ca="1">IFERROR(_xll.SNL.Clients.Office.Excel.Functions.SPG($L30, $BC$3, BD$2,$AS$4)/1000,0)</f>
        <v>0</v>
      </c>
      <c r="BE30" s="72">
        <f ca="1">IFERROR(_xll.SNL.Clients.Office.Excel.Functions.SPG($L30, $BF$3, BE$2,$AS$4)/1000,0)</f>
        <v>0</v>
      </c>
      <c r="BF30" s="72">
        <f ca="1">IFERROR(_xll.SNL.Clients.Office.Excel.Functions.SPG($L30, $BF$3, BF$2,$AS$4)/1000,0)</f>
        <v>0</v>
      </c>
      <c r="BG30" s="72">
        <f ca="1">IFERROR(_xll.SNL.Clients.Office.Excel.Functions.SPG($L30, $BF$3, BG$2,$AS$4)/1000,0)</f>
        <v>0</v>
      </c>
      <c r="BH30" s="72">
        <f t="shared" ref="BH30:BH52" ca="1" si="130">AS30+AT30*agprice/auprice+AU30*cuprice/auprice+AV30*znprice/auprice+AW30*pbprice/auprice</f>
        <v>0</v>
      </c>
      <c r="BI30" s="72">
        <f t="shared" ref="BI30:BI52" ca="1" si="131">AX30+AY30*agprice/auprice+AZ30*cuprice/auprice+BA30*znprice/auprice+BB30*pbprice/auprice+BH30</f>
        <v>0</v>
      </c>
      <c r="BJ30" s="72">
        <f t="shared" ref="BJ30:BJ52" ca="1" si="132">BC30+BD30*agprice/auprice+BE30*cuprice/auprice+BF30*znprice/auprice+BG30*pbprice/auprice+BH30</f>
        <v>0</v>
      </c>
      <c r="BK30" s="77" t="str">
        <f t="shared" ca="1" si="114"/>
        <v>NA</v>
      </c>
      <c r="BL30" s="72" t="str">
        <f t="shared" ca="1" si="39"/>
        <v>NA</v>
      </c>
      <c r="BM30" s="78" t="str">
        <f t="shared" ca="1" si="39"/>
        <v>NA</v>
      </c>
      <c r="BN30" s="72" t="e">
        <f ca="1">_xll.SNL.Clients.Office.Excel.Functions.SPG($L30, $BN$3, BN$2, "Au", "Options:Curr=USD")</f>
        <v>#NAME?</v>
      </c>
      <c r="BO30" s="72" t="e">
        <f ca="1">_xll.SNL.Clients.Office.Excel.Functions.SPG($L30, $BN$3, BO$2, "Au", "Options:Curr=USD")</f>
        <v>#NAME?</v>
      </c>
      <c r="BP30" s="72" t="e">
        <f ca="1">_xll.SNL.Clients.Office.Excel.Functions.SPG($L30, $BN$3, BP$2, "Au", "Options:Curr=USD")</f>
        <v>#NAME?</v>
      </c>
      <c r="BQ30" s="78" t="e">
        <f ca="1">_xll.SNL.Clients.Office.Excel.Functions.SPG($L30, $BN$3, BQ$2, "Au", "Options:Curr=USD")</f>
        <v>#NAME?</v>
      </c>
      <c r="BR30" s="72" t="str">
        <f ca="1">IFERROR(AVERAGE(_xll.SNL.Clients.Office.Excel.Functions.SPG($L30,$BR$4,"Au",BR$2, "Options:Curr=USD"),_xll.SNL.Clients.Office.Excel.Functions.SPG($L30,$BR$3,"Au",BR$2, "Options:Curr=USD")),"NA")</f>
        <v>NA</v>
      </c>
      <c r="BS30" s="72" t="str">
        <f ca="1">IFERROR(AVERAGE(_xll.SNL.Clients.Office.Excel.Functions.SPG($L30,$BR$4,"Au",BS$2, "Options:Curr=USD"),_xll.SNL.Clients.Office.Excel.Functions.SPG($L30,$BR$3,"Au",BS$2, "Options:Curr=USD")),"NA")</f>
        <v>NA</v>
      </c>
      <c r="BT30" s="78" t="str">
        <f ca="1">IFERROR(AVERAGE(_xll.SNL.Clients.Office.Excel.Functions.SPG($L30,$BR$4,"Au",BT$2, "Options:Curr=USD"),_xll.SNL.Clients.Office.Excel.Functions.SPG($L30,$BR$3,"Au",BT$2, "Options:Curr=USD")),"NA")</f>
        <v>NA</v>
      </c>
      <c r="BV30" s="112" t="s">
        <v>169</v>
      </c>
      <c r="BW30" s="112"/>
      <c r="BX30" s="36" t="s">
        <v>89</v>
      </c>
      <c r="BY30" s="36"/>
    </row>
    <row r="31" spans="1:77" ht="13.8" x14ac:dyDescent="0.25">
      <c r="A31" s="56" t="e">
        <f ca="1">_xll.SNL.Clients.Office.Excel.Functions.SPG($L31, A$3)</f>
        <v>#NAME?</v>
      </c>
      <c r="B31" s="56" t="e">
        <f ca="1">_xll.BDP($K31,B$3)</f>
        <v>#NAME?</v>
      </c>
      <c r="C31" s="56" t="e">
        <f ca="1">_xll.BDP($K31,C$3)</f>
        <v>#NAME?</v>
      </c>
      <c r="D31" s="56" t="e">
        <f ca="1">_xll.BDP($K31,D$3)</f>
        <v>#NAME?</v>
      </c>
      <c r="E31" s="57" t="s">
        <v>94</v>
      </c>
      <c r="F31" s="57" t="s">
        <v>83</v>
      </c>
      <c r="G31" s="57" t="s">
        <v>84</v>
      </c>
      <c r="H31" s="111" t="e">
        <f ca="1">_xll.SNL.Clients.Office.Excel.Functions.SPG($L31, "IQ_TEV", "Options: Curr=USD")</f>
        <v>#NAME?</v>
      </c>
      <c r="I31" s="111" t="e">
        <f ca="1">_xll.SNL.Clients.Office.Excel.Functions.SPG($L31, "SP_MARKETCAP", "Options: Curr=USD")</f>
        <v>#NAME?</v>
      </c>
      <c r="J31" s="59" t="s">
        <v>176</v>
      </c>
      <c r="K31" s="3" t="s">
        <v>177</v>
      </c>
      <c r="L31" s="3" t="s">
        <v>178</v>
      </c>
      <c r="M31" s="60" t="e" cm="1">
        <f t="array" aca="1" ref="M31" ca="1">_xll.SNL.Clients.Office.Excel.Functions.SPG($L31, $M$3)/100</f>
        <v>#NAME?</v>
      </c>
      <c r="N31" s="61" t="e" cm="1">
        <f t="array" aca="1" ref="N31" ca="1">_xll.SNL.Clients.Office.Excel.Functions.SPG($L31, "SP_PCFPS_FWD",N$2)</f>
        <v>#NAME?</v>
      </c>
      <c r="O31" s="62" t="e" cm="1">
        <f t="array" aca="1" ref="O31" ca="1">_xll.SNL.Clients.Office.Excel.Functions.SPG($L31, "SP_PCFPS_FWD",O$2)</f>
        <v>#NAME?</v>
      </c>
      <c r="P31" s="63" t="e" cm="1">
        <f t="array" aca="1" ref="P31" ca="1">_xll.SNL.Clients.Office.Excel.Functions.SPG($L31, "SP_PCFPS_FWD",P$2)</f>
        <v>#NAME?</v>
      </c>
      <c r="Q31" s="64" t="e">
        <f ca="1">_xll.SNL.Clients.Office.Excel.Functions.SPG($L31, "SP_FCF_EST",Q$2, "Options: Curr=USD")/1000/$I31</f>
        <v>#NAME?</v>
      </c>
      <c r="R31" s="64" t="e">
        <f ca="1">_xll.SNL.Clients.Office.Excel.Functions.SPG($L31, "SP_FCF_EST",R$2, "Options: Curr=USD")/1000/$I31</f>
        <v>#NAME?</v>
      </c>
      <c r="S31" s="64" t="e">
        <f ca="1">_xll.SNL.Clients.Office.Excel.Functions.SPG($L31, "SP_FCF_EST",S$2, "Options: Curr=USD")/1000/$I31</f>
        <v>#NAME?</v>
      </c>
      <c r="T31" s="61" t="e" cm="1">
        <f t="array" aca="1" ref="T31" ca="1">_xll.SNL.Clients.Office.Excel.Functions.SPG($L31, "SP_PE_FWD",T$2)</f>
        <v>#NAME?</v>
      </c>
      <c r="U31" s="63" t="e" cm="1">
        <f t="array" aca="1" ref="U31" ca="1">_xll.SNL.Clients.Office.Excel.Functions.SPG($L31, "SP_PE_FWD",U$2)</f>
        <v>#NAME?</v>
      </c>
      <c r="V31" s="80" t="e" cm="1">
        <f t="array" aca="1" ref="V31" ca="1">_xll.SNL.Clients.Office.Excel.Functions.SPG($L31, $V$3,V$2)</f>
        <v>#NAME?</v>
      </c>
      <c r="W31" s="81" t="e" cm="1">
        <f t="array" aca="1" ref="W31" ca="1">_xll.SNL.Clients.Office.Excel.Functions.SPG($L31, $V$3,W$2)</f>
        <v>#NAME?</v>
      </c>
      <c r="X31" s="82" t="e" cm="1">
        <f t="array" aca="1" ref="X31" ca="1">_xll.SNL.Clients.Office.Excel.Functions.SPG($L31, $V$3,X$2)</f>
        <v>#NAME?</v>
      </c>
      <c r="Y31" s="69" t="e" cm="1">
        <f t="array" aca="1" ref="Y31" ca="1">IF((_xll.SNL.Clients.Office.Excel.Functions.SPG($L31,Y$3,Y$4,"Options: Curr=USD") / _xll.SNL.Clients.Office.Excel.Functions.SPG($L31,"SP_EBITDA_EST",Y$2,"Options: Curr=USD")) &lt; 0, "NM", (_xll.SNL.Clients.Office.Excel.Functions.SPG($L31,Y$3,Y$4,"Options: Curr=USD") / _xll.SNL.Clients.Office.Excel.Functions.SPG($L31,"SP_EBITDA_EST",Y$2,"Options: Curr=USD")))</f>
        <v>#NAME?</v>
      </c>
      <c r="Z31" s="70" t="e" cm="1">
        <f t="array" aca="1" ref="Z31" ca="1">_xll.SNL.Clients.Office.Excel.Functions.SPG($L31, Z$3,Z$4)</f>
        <v>#NAME?</v>
      </c>
      <c r="AA31" s="77" t="str">
        <f ca="1">IFERROR(0.001*AVERAGE(_xll.SNL.Clients.Office.Excel.Functions.SPG($L31,$AA$4,"Au",AA$2),_xll.SNL.Clients.Office.Excel.Functions.SPG($L31,$AA$3,"Au",AA$2)),"NA")</f>
        <v>NA</v>
      </c>
      <c r="AB31" s="72" t="str">
        <f ca="1">IFERROR(0.001*AVERAGE(_xll.SNL.Clients.Office.Excel.Functions.SPG($L31,$AA$4,"Au",AB$2),_xll.SNL.Clients.Office.Excel.Functions.SPG($L31,$AA$3,"Au",AB$2)),"NA")</f>
        <v>NA</v>
      </c>
      <c r="AC31" s="78" t="str">
        <f ca="1">IFERROR(0.001*AVERAGE(_xll.SNL.Clients.Office.Excel.Functions.SPG($L31,$AA$4,"Au",AC$2),_xll.SNL.Clients.Office.Excel.Functions.SPG($L31,$AA$3,"Au",AC$2)),"NA")</f>
        <v>NA</v>
      </c>
      <c r="AD31" s="72" t="e">
        <f ca="1" xml:space="preserve"> IF(ISNUMBER(SEARCH("na",_xll.SNL.Clients.Office.Excel.Functions.SPG($L31, $AD$4, AD$2))), 0,_xll.SNL.Clients.Office.Excel.Functions.SPG($L31, $AD$4, AD$2))</f>
        <v>#NAME?</v>
      </c>
      <c r="AE31" s="72" t="e">
        <f ca="1" xml:space="preserve"> IF(ISNUMBER(SEARCH("na",_xll.SNL.Clients.Office.Excel.Functions.SPG($L31, $AD$4, AE$2))), 0,_xll.SNL.Clients.Office.Excel.Functions.SPG($L31, $AD$4, AE$2))</f>
        <v>#NAME?</v>
      </c>
      <c r="AF31" s="72" t="e">
        <f ca="1" xml:space="preserve"> IF(ISNUMBER(SEARCH("na",_xll.SNL.Clients.Office.Excel.Functions.SPG($L31, $AD$4, AF$2))), 0,_xll.SNL.Clients.Office.Excel.Functions.SPG($L31, $AD$4, AF$2))</f>
        <v>#NAME?</v>
      </c>
      <c r="AG31" s="72" t="e">
        <f ca="1" xml:space="preserve"> IF(ISNUMBER(SEARCH("na",_xll.SNL.Clients.Office.Excel.Functions.SPG($L31, $AG$4, AG$2))), 0,_xll.SNL.Clients.Office.Excel.Functions.SPG($L31, $AG$4, AG$2))</f>
        <v>#NAME?</v>
      </c>
      <c r="AH31" s="72" t="e">
        <f ca="1" xml:space="preserve"> IF(ISNUMBER(SEARCH("na",_xll.SNL.Clients.Office.Excel.Functions.SPG($L31, $AG$4, AH$2))), 0,_xll.SNL.Clients.Office.Excel.Functions.SPG($L31, $AG$4, AH$2))</f>
        <v>#NAME?</v>
      </c>
      <c r="AI31" s="72" t="e">
        <f ca="1" xml:space="preserve"> IF(ISNUMBER(SEARCH("na",_xll.SNL.Clients.Office.Excel.Functions.SPG($L31, $AG$4, AI$2))), 0,_xll.SNL.Clients.Office.Excel.Functions.SPG($L31, $AG$4, AI$2))</f>
        <v>#NAME?</v>
      </c>
      <c r="AJ31" s="72" t="e">
        <f ca="1" xml:space="preserve"> IF(ISNUMBER(SEARCH("na",_xll.SNL.Clients.Office.Excel.Functions.SPG($L31, $AJ$4, AJ$2))), 0,_xll.SNL.Clients.Office.Excel.Functions.SPG($L31, $AJ$4, AJ$2))</f>
        <v>#NAME?</v>
      </c>
      <c r="AK31" s="72" t="e">
        <f ca="1" xml:space="preserve"> IF(ISNUMBER(SEARCH("na",_xll.SNL.Clients.Office.Excel.Functions.SPG($L31, $AJ$4, AK$2))), 0,_xll.SNL.Clients.Office.Excel.Functions.SPG($L31, $AJ$4, AK$2))</f>
        <v>#NAME?</v>
      </c>
      <c r="AL31" s="72" t="e">
        <f ca="1" xml:space="preserve"> IF(ISNUMBER(SEARCH("na",_xll.SNL.Clients.Office.Excel.Functions.SPG($L31, $AJ$4, AL$2))), 0,_xll.SNL.Clients.Office.Excel.Functions.SPG($L31, $AJ$4, AL$2))</f>
        <v>#NAME?</v>
      </c>
      <c r="AM31" s="72" t="e">
        <f t="shared" ref="AM31:AM53" ca="1" si="133">AD31+AG31*agprice/auprice+AJ31*cuprice/auprice</f>
        <v>#NAME?</v>
      </c>
      <c r="AN31" s="72" t="e">
        <f t="shared" ref="AN31:AN53" ca="1" si="134">AE31+AH31*agprice/auprice+AK31*cuprice/auprice</f>
        <v>#NAME?</v>
      </c>
      <c r="AO31" s="72" t="e">
        <f t="shared" ref="AO31:AO53" ca="1" si="135">AF31+AI31*agprice/auprice+AL31*cuprice/auprice</f>
        <v>#NAME?</v>
      </c>
      <c r="AP31" s="83" t="str">
        <f t="shared" ca="1" si="104"/>
        <v>NA</v>
      </c>
      <c r="AQ31" s="84" t="str">
        <f t="shared" ca="1" si="104"/>
        <v>NA</v>
      </c>
      <c r="AR31" s="85" t="str">
        <f t="shared" ca="1" si="43"/>
        <v>NA</v>
      </c>
      <c r="AS31" s="72">
        <f ca="1">IFERROR(_xll.SNL.Clients.Office.Excel.Functions.SPG($L31, $AS$3, AS$2,$AS$4)/1000,0)</f>
        <v>0</v>
      </c>
      <c r="AT31" s="72">
        <f ca="1">IFERROR(_xll.SNL.Clients.Office.Excel.Functions.SPG($L31, $AS$3, AT$2,$AS$4)/1000,0)</f>
        <v>0</v>
      </c>
      <c r="AU31" s="72">
        <f ca="1">IFERROR(_xll.SNL.Clients.Office.Excel.Functions.SPG($L31, $AV$3, AU$2,$AS$4)/1000,0)</f>
        <v>0</v>
      </c>
      <c r="AV31" s="72">
        <f ca="1">IFERROR(_xll.SNL.Clients.Office.Excel.Functions.SPG($L31, $AV$3, AV$2,$AS$4)/1000,0)</f>
        <v>0</v>
      </c>
      <c r="AW31" s="72">
        <f ca="1">IFERROR(_xll.SNL.Clients.Office.Excel.Functions.SPG($L31, $AV$3, AW$2,$AS$4)/1000,0)</f>
        <v>0</v>
      </c>
      <c r="AX31" s="72">
        <f ca="1">IFERROR(_xll.SNL.Clients.Office.Excel.Functions.SPG($L31, $AX$3, AX$2,$AS$4)/1000,0)</f>
        <v>0</v>
      </c>
      <c r="AY31" s="72">
        <f ca="1">IFERROR(_xll.SNL.Clients.Office.Excel.Functions.SPG($L31, $AX$3, AY$2,$AS$4)/1000,0)</f>
        <v>0</v>
      </c>
      <c r="AZ31" s="72">
        <f ca="1">IFERROR(_xll.SNL.Clients.Office.Excel.Functions.SPG($L31, $BA$3, AZ$2,$AS$4)/1000,0)</f>
        <v>0</v>
      </c>
      <c r="BA31" s="72">
        <f ca="1">IFERROR(_xll.SNL.Clients.Office.Excel.Functions.SPG($L31, $BA$3, BA$2,$AS$4)/1000,0)</f>
        <v>0</v>
      </c>
      <c r="BB31" s="72">
        <f ca="1">IFERROR(_xll.SNL.Clients.Office.Excel.Functions.SPG($L31, $BA$3, BB$2,$AS$4)/1000,0)</f>
        <v>0</v>
      </c>
      <c r="BC31" s="72">
        <f ca="1">IFERROR(_xll.SNL.Clients.Office.Excel.Functions.SPG($L31, $BC$3, BC$2,$AS$4)/1000,0)</f>
        <v>0</v>
      </c>
      <c r="BD31" s="72">
        <f ca="1">IFERROR(_xll.SNL.Clients.Office.Excel.Functions.SPG($L31, $BC$3, BD$2,$AS$4)/1000,0)</f>
        <v>0</v>
      </c>
      <c r="BE31" s="72">
        <f ca="1">IFERROR(_xll.SNL.Clients.Office.Excel.Functions.SPG($L31, $BF$3, BE$2,$AS$4)/1000,0)</f>
        <v>0</v>
      </c>
      <c r="BF31" s="72">
        <f ca="1">IFERROR(_xll.SNL.Clients.Office.Excel.Functions.SPG($L31, $BF$3, BF$2,$AS$4)/1000,0)</f>
        <v>0</v>
      </c>
      <c r="BG31" s="72">
        <f ca="1">IFERROR(_xll.SNL.Clients.Office.Excel.Functions.SPG($L31, $BF$3, BG$2,$AS$4)/1000,0)</f>
        <v>0</v>
      </c>
      <c r="BH31" s="72">
        <f t="shared" ref="BH31:BH53" ca="1" si="136">AS31+AT31*agprice/auprice+AU31*cuprice/auprice+AV31*znprice/auprice+AW31*pbprice/auprice</f>
        <v>0</v>
      </c>
      <c r="BI31" s="72">
        <f t="shared" ref="BI31:BI53" ca="1" si="137">AX31+AY31*agprice/auprice+AZ31*cuprice/auprice+BA31*znprice/auprice+BB31*pbprice/auprice+BH31</f>
        <v>0</v>
      </c>
      <c r="BJ31" s="72">
        <f t="shared" ref="BJ31:BJ53" ca="1" si="138">BC31+BD31*agprice/auprice+BE31*cuprice/auprice+BF31*znprice/auprice+BG31*pbprice/auprice+BH31</f>
        <v>0</v>
      </c>
      <c r="BK31" s="77" t="str">
        <f t="shared" ca="1" si="114"/>
        <v>NA</v>
      </c>
      <c r="BL31" s="72" t="str">
        <f t="shared" ca="1" si="114"/>
        <v>NA</v>
      </c>
      <c r="BM31" s="78" t="str">
        <f t="shared" ca="1" si="114"/>
        <v>NA</v>
      </c>
      <c r="BN31" s="72" t="e">
        <f ca="1">_xll.SNL.Clients.Office.Excel.Functions.SPG($L31, $BN$3, BN$2, "Au", "Options:Curr=USD")</f>
        <v>#NAME?</v>
      </c>
      <c r="BO31" s="72" t="e">
        <f ca="1">_xll.SNL.Clients.Office.Excel.Functions.SPG($L31, $BN$3, BO$2, "Au", "Options:Curr=USD")</f>
        <v>#NAME?</v>
      </c>
      <c r="BP31" s="72" t="e">
        <f ca="1">_xll.SNL.Clients.Office.Excel.Functions.SPG($L31, $BN$3, BP$2, "Au", "Options:Curr=USD")</f>
        <v>#NAME?</v>
      </c>
      <c r="BQ31" s="78" t="e">
        <f ca="1">_xll.SNL.Clients.Office.Excel.Functions.SPG($L31, $BN$3, BQ$2, "Au", "Options:Curr=USD")</f>
        <v>#NAME?</v>
      </c>
      <c r="BR31" s="72" t="str">
        <f ca="1">IFERROR(AVERAGE(_xll.SNL.Clients.Office.Excel.Functions.SPG($L31,$BR$4,"Au",BR$2, "Options:Curr=USD"),_xll.SNL.Clients.Office.Excel.Functions.SPG($L31,$BR$3,"Au",BR$2, "Options:Curr=USD")),"NA")</f>
        <v>NA</v>
      </c>
      <c r="BS31" s="72" t="str">
        <f ca="1">IFERROR(AVERAGE(_xll.SNL.Clients.Office.Excel.Functions.SPG($L31,$BR$4,"Au",BS$2, "Options:Curr=USD"),_xll.SNL.Clients.Office.Excel.Functions.SPG($L31,$BR$3,"Au",BS$2, "Options:Curr=USD")),"NA")</f>
        <v>NA</v>
      </c>
      <c r="BT31" s="78" t="str">
        <f ca="1">IFERROR(AVERAGE(_xll.SNL.Clients.Office.Excel.Functions.SPG($L31,$BR$4,"Au",BT$2, "Options:Curr=USD"),_xll.SNL.Clients.Office.Excel.Functions.SPG($L31,$BR$3,"Au",BT$2, "Options:Curr=USD")),"NA")</f>
        <v>NA</v>
      </c>
      <c r="BV31" s="36" t="s">
        <v>88</v>
      </c>
      <c r="BW31" s="36"/>
      <c r="BX31" s="36" t="s">
        <v>89</v>
      </c>
      <c r="BY31" s="36"/>
    </row>
    <row r="32" spans="1:77" ht="13.8" x14ac:dyDescent="0.25">
      <c r="A32" s="56" t="e">
        <f ca="1">_xll.SNL.Clients.Office.Excel.Functions.SPG($L32, A$3)</f>
        <v>#NAME?</v>
      </c>
      <c r="B32" s="56" t="e">
        <f ca="1">_xll.BDP($K32,B$3)</f>
        <v>#NAME?</v>
      </c>
      <c r="C32" s="56" t="e">
        <f ca="1">_xll.BDP($K32,C$3)</f>
        <v>#NAME?</v>
      </c>
      <c r="D32" s="56" t="e">
        <f ca="1">_xll.BDP($K32,D$3)</f>
        <v>#NAME?</v>
      </c>
      <c r="E32" s="57" t="s">
        <v>94</v>
      </c>
      <c r="F32" s="57" t="s">
        <v>83</v>
      </c>
      <c r="G32" s="57" t="s">
        <v>84</v>
      </c>
      <c r="H32" s="111" t="e">
        <f ca="1">_xll.SNL.Clients.Office.Excel.Functions.SPG($L32, "IQ_TEV", "Options: Curr=USD")</f>
        <v>#NAME?</v>
      </c>
      <c r="I32" s="111" t="e">
        <f ca="1">_xll.SNL.Clients.Office.Excel.Functions.SPG($L32, "SP_MARKETCAP", "Options: Curr=USD")</f>
        <v>#NAME?</v>
      </c>
      <c r="J32" s="59" t="s">
        <v>179</v>
      </c>
      <c r="K32" s="3" t="s">
        <v>180</v>
      </c>
      <c r="L32" s="3" t="s">
        <v>181</v>
      </c>
      <c r="M32" s="60" t="e" cm="1">
        <f t="array" aca="1" ref="M32" ca="1">_xll.SNL.Clients.Office.Excel.Functions.SPG($L32, $M$3)/100</f>
        <v>#NAME?</v>
      </c>
      <c r="N32" s="61" t="e" cm="1">
        <f t="array" aca="1" ref="N32" ca="1">_xll.SNL.Clients.Office.Excel.Functions.SPG($L32, "SP_PCFPS_FWD",N$2)</f>
        <v>#NAME?</v>
      </c>
      <c r="O32" s="62" t="e" cm="1">
        <f t="array" aca="1" ref="O32" ca="1">_xll.SNL.Clients.Office.Excel.Functions.SPG($L32, "SP_PCFPS_FWD",O$2)</f>
        <v>#NAME?</v>
      </c>
      <c r="P32" s="63" t="e" cm="1">
        <f t="array" aca="1" ref="P32" ca="1">_xll.SNL.Clients.Office.Excel.Functions.SPG($L32, "SP_PCFPS_FWD",P$2)</f>
        <v>#NAME?</v>
      </c>
      <c r="Q32" s="64" t="e">
        <f ca="1">_xll.SNL.Clients.Office.Excel.Functions.SPG($L32, "SP_FCF_EST",Q$2, "Options: Curr=USD")/1000/$I32</f>
        <v>#NAME?</v>
      </c>
      <c r="R32" s="64" t="e">
        <f ca="1">_xll.SNL.Clients.Office.Excel.Functions.SPG($L32, "SP_FCF_EST",R$2, "Options: Curr=USD")/1000/$I32</f>
        <v>#NAME?</v>
      </c>
      <c r="S32" s="64" t="e">
        <f ca="1">_xll.SNL.Clients.Office.Excel.Functions.SPG($L32, "SP_FCF_EST",S$2, "Options: Curr=USD")/1000/$I32</f>
        <v>#NAME?</v>
      </c>
      <c r="T32" s="61" t="e" cm="1">
        <f t="array" aca="1" ref="T32" ca="1">_xll.SNL.Clients.Office.Excel.Functions.SPG($L32, "SP_PE_FWD",T$2)</f>
        <v>#NAME?</v>
      </c>
      <c r="U32" s="63" t="e" cm="1">
        <f t="array" aca="1" ref="U32" ca="1">_xll.SNL.Clients.Office.Excel.Functions.SPG($L32, "SP_PE_FWD",U$2)</f>
        <v>#NAME?</v>
      </c>
      <c r="V32" s="80" t="e" cm="1">
        <f t="array" aca="1" ref="V32" ca="1">_xll.SNL.Clients.Office.Excel.Functions.SPG($L32, $V$3,V$2)</f>
        <v>#NAME?</v>
      </c>
      <c r="W32" s="81" t="e" cm="1">
        <f t="array" aca="1" ref="W32" ca="1">_xll.SNL.Clients.Office.Excel.Functions.SPG($L32, $V$3,W$2)</f>
        <v>#NAME?</v>
      </c>
      <c r="X32" s="82" t="e" cm="1">
        <f t="array" aca="1" ref="X32" ca="1">_xll.SNL.Clients.Office.Excel.Functions.SPG($L32, $V$3,X$2)</f>
        <v>#NAME?</v>
      </c>
      <c r="Y32" s="69" t="e" cm="1">
        <f t="array" aca="1" ref="Y32" ca="1">IF((_xll.SNL.Clients.Office.Excel.Functions.SPG($L32,Y$3,Y$4,"Options: Curr=USD") / _xll.SNL.Clients.Office.Excel.Functions.SPG($L32,"SP_EBITDA_EST",Y$2,"Options: Curr=USD")) &lt; 0, "NM", (_xll.SNL.Clients.Office.Excel.Functions.SPG($L32,Y$3,Y$4,"Options: Curr=USD") / _xll.SNL.Clients.Office.Excel.Functions.SPG($L32,"SP_EBITDA_EST",Y$2,"Options: Curr=USD")))</f>
        <v>#NAME?</v>
      </c>
      <c r="Z32" s="70" t="e" cm="1">
        <f t="array" aca="1" ref="Z32" ca="1">_xll.SNL.Clients.Office.Excel.Functions.SPG($L32, Z$3,Z$4)</f>
        <v>#NAME?</v>
      </c>
      <c r="AA32" s="77" t="str">
        <f ca="1">IFERROR(0.001*AVERAGE(_xll.SNL.Clients.Office.Excel.Functions.SPG($L32,$AA$4,"Au",AA$2),_xll.SNL.Clients.Office.Excel.Functions.SPG($L32,$AA$3,"Au",AA$2)),"NA")</f>
        <v>NA</v>
      </c>
      <c r="AB32" s="72" t="str">
        <f ca="1">IFERROR(0.001*AVERAGE(_xll.SNL.Clients.Office.Excel.Functions.SPG($L32,$AA$4,"Au",AB$2),_xll.SNL.Clients.Office.Excel.Functions.SPG($L32,$AA$3,"Au",AB$2)),"NA")</f>
        <v>NA</v>
      </c>
      <c r="AC32" s="78" t="str">
        <f ca="1">IFERROR(0.001*AVERAGE(_xll.SNL.Clients.Office.Excel.Functions.SPG($L32,$AA$4,"Au",AC$2),_xll.SNL.Clients.Office.Excel.Functions.SPG($L32,$AA$3,"Au",AC$2)),"NA")</f>
        <v>NA</v>
      </c>
      <c r="AD32" s="72" t="e">
        <f ca="1" xml:space="preserve"> IF(ISNUMBER(SEARCH("na",_xll.SNL.Clients.Office.Excel.Functions.SPG($L32, $AD$4, AD$2))), 0,_xll.SNL.Clients.Office.Excel.Functions.SPG($L32, $AD$4, AD$2))</f>
        <v>#NAME?</v>
      </c>
      <c r="AE32" s="72" t="e">
        <f ca="1" xml:space="preserve"> IF(ISNUMBER(SEARCH("na",_xll.SNL.Clients.Office.Excel.Functions.SPG($L32, $AD$4, AE$2))), 0,_xll.SNL.Clients.Office.Excel.Functions.SPG($L32, $AD$4, AE$2))</f>
        <v>#NAME?</v>
      </c>
      <c r="AF32" s="72" t="e">
        <f ca="1" xml:space="preserve"> IF(ISNUMBER(SEARCH("na",_xll.SNL.Clients.Office.Excel.Functions.SPG($L32, $AD$4, AF$2))), 0,_xll.SNL.Clients.Office.Excel.Functions.SPG($L32, $AD$4, AF$2))</f>
        <v>#NAME?</v>
      </c>
      <c r="AG32" s="72" t="e">
        <f ca="1" xml:space="preserve"> IF(ISNUMBER(SEARCH("na",_xll.SNL.Clients.Office.Excel.Functions.SPG($L32, $AG$4, AG$2))), 0,_xll.SNL.Clients.Office.Excel.Functions.SPG($L32, $AG$4, AG$2))</f>
        <v>#NAME?</v>
      </c>
      <c r="AH32" s="72" t="e">
        <f ca="1" xml:space="preserve"> IF(ISNUMBER(SEARCH("na",_xll.SNL.Clients.Office.Excel.Functions.SPG($L32, $AG$4, AH$2))), 0,_xll.SNL.Clients.Office.Excel.Functions.SPG($L32, $AG$4, AH$2))</f>
        <v>#NAME?</v>
      </c>
      <c r="AI32" s="72" t="e">
        <f ca="1" xml:space="preserve"> IF(ISNUMBER(SEARCH("na",_xll.SNL.Clients.Office.Excel.Functions.SPG($L32, $AG$4, AI$2))), 0,_xll.SNL.Clients.Office.Excel.Functions.SPG($L32, $AG$4, AI$2))</f>
        <v>#NAME?</v>
      </c>
      <c r="AJ32" s="72" t="e">
        <f ca="1" xml:space="preserve"> IF(ISNUMBER(SEARCH("na",_xll.SNL.Clients.Office.Excel.Functions.SPG($L32, $AJ$4, AJ$2))), 0,_xll.SNL.Clients.Office.Excel.Functions.SPG($L32, $AJ$4, AJ$2))</f>
        <v>#NAME?</v>
      </c>
      <c r="AK32" s="72" t="e">
        <f ca="1" xml:space="preserve"> IF(ISNUMBER(SEARCH("na",_xll.SNL.Clients.Office.Excel.Functions.SPG($L32, $AJ$4, AK$2))), 0,_xll.SNL.Clients.Office.Excel.Functions.SPG($L32, $AJ$4, AK$2))</f>
        <v>#NAME?</v>
      </c>
      <c r="AL32" s="72" t="e">
        <f ca="1" xml:space="preserve"> IF(ISNUMBER(SEARCH("na",_xll.SNL.Clients.Office.Excel.Functions.SPG($L32, $AJ$4, AL$2))), 0,_xll.SNL.Clients.Office.Excel.Functions.SPG($L32, $AJ$4, AL$2))</f>
        <v>#NAME?</v>
      </c>
      <c r="AM32" s="72" t="e">
        <f t="shared" ref="AM32:AM54" ca="1" si="139">AD32+AG32*agprice/auprice+AJ32*cuprice/auprice</f>
        <v>#NAME?</v>
      </c>
      <c r="AN32" s="72" t="e">
        <f t="shared" ref="AN32:AN54" ca="1" si="140">AE32+AH32*agprice/auprice+AK32*cuprice/auprice</f>
        <v>#NAME?</v>
      </c>
      <c r="AO32" s="72" t="e">
        <f t="shared" ref="AO32:AO54" ca="1" si="141">AF32+AI32*agprice/auprice+AL32*cuprice/auprice</f>
        <v>#NAME?</v>
      </c>
      <c r="AP32" s="83" t="str">
        <f t="shared" ca="1" si="104"/>
        <v>NA</v>
      </c>
      <c r="AQ32" s="84" t="str">
        <f t="shared" ca="1" si="104"/>
        <v>NA</v>
      </c>
      <c r="AR32" s="85" t="str">
        <f t="shared" ca="1" si="43"/>
        <v>NA</v>
      </c>
      <c r="AS32" s="72">
        <f ca="1">IFERROR(_xll.SNL.Clients.Office.Excel.Functions.SPG($L32, $AS$3, AS$2,$AS$4)/1000,0)</f>
        <v>0</v>
      </c>
      <c r="AT32" s="72">
        <f ca="1">IFERROR(_xll.SNL.Clients.Office.Excel.Functions.SPG($L32, $AS$3, AT$2,$AS$4)/1000,0)</f>
        <v>0</v>
      </c>
      <c r="AU32" s="72">
        <f ca="1">IFERROR(_xll.SNL.Clients.Office.Excel.Functions.SPG($L32, $AV$3, AU$2,$AS$4)/1000,0)</f>
        <v>0</v>
      </c>
      <c r="AV32" s="72">
        <f ca="1">IFERROR(_xll.SNL.Clients.Office.Excel.Functions.SPG($L32, $AV$3, AV$2,$AS$4)/1000,0)</f>
        <v>0</v>
      </c>
      <c r="AW32" s="72">
        <f ca="1">IFERROR(_xll.SNL.Clients.Office.Excel.Functions.SPG($L32, $AV$3, AW$2,$AS$4)/1000,0)</f>
        <v>0</v>
      </c>
      <c r="AX32" s="72">
        <f ca="1">IFERROR(_xll.SNL.Clients.Office.Excel.Functions.SPG($L32, $AX$3, AX$2,$AS$4)/1000,0)</f>
        <v>0</v>
      </c>
      <c r="AY32" s="72">
        <f ca="1">IFERROR(_xll.SNL.Clients.Office.Excel.Functions.SPG($L32, $AX$3, AY$2,$AS$4)/1000,0)</f>
        <v>0</v>
      </c>
      <c r="AZ32" s="72">
        <f ca="1">IFERROR(_xll.SNL.Clients.Office.Excel.Functions.SPG($L32, $BA$3, AZ$2,$AS$4)/1000,0)</f>
        <v>0</v>
      </c>
      <c r="BA32" s="72">
        <f ca="1">IFERROR(_xll.SNL.Clients.Office.Excel.Functions.SPG($L32, $BA$3, BA$2,$AS$4)/1000,0)</f>
        <v>0</v>
      </c>
      <c r="BB32" s="72">
        <f ca="1">IFERROR(_xll.SNL.Clients.Office.Excel.Functions.SPG($L32, $BA$3, BB$2,$AS$4)/1000,0)</f>
        <v>0</v>
      </c>
      <c r="BC32" s="72">
        <f ca="1">IFERROR(_xll.SNL.Clients.Office.Excel.Functions.SPG($L32, $BC$3, BC$2,$AS$4)/1000,0)</f>
        <v>0</v>
      </c>
      <c r="BD32" s="72">
        <f ca="1">IFERROR(_xll.SNL.Clients.Office.Excel.Functions.SPG($L32, $BC$3, BD$2,$AS$4)/1000,0)</f>
        <v>0</v>
      </c>
      <c r="BE32" s="72">
        <f ca="1">IFERROR(_xll.SNL.Clients.Office.Excel.Functions.SPG($L32, $BF$3, BE$2,$AS$4)/1000,0)</f>
        <v>0</v>
      </c>
      <c r="BF32" s="72">
        <f ca="1">IFERROR(_xll.SNL.Clients.Office.Excel.Functions.SPG($L32, $BF$3, BF$2,$AS$4)/1000,0)</f>
        <v>0</v>
      </c>
      <c r="BG32" s="72">
        <f ca="1">IFERROR(_xll.SNL.Clients.Office.Excel.Functions.SPG($L32, $BF$3, BG$2,$AS$4)/1000,0)</f>
        <v>0</v>
      </c>
      <c r="BH32" s="72">
        <f t="shared" ref="BH32:BH54" ca="1" si="142">AS32+AT32*agprice/auprice+AU32*cuprice/auprice+AV32*znprice/auprice+AW32*pbprice/auprice</f>
        <v>0</v>
      </c>
      <c r="BI32" s="72">
        <f t="shared" ref="BI32:BI54" ca="1" si="143">AX32+AY32*agprice/auprice+AZ32*cuprice/auprice+BA32*znprice/auprice+BB32*pbprice/auprice+BH32</f>
        <v>0</v>
      </c>
      <c r="BJ32" s="72">
        <f t="shared" ref="BJ32:BJ54" ca="1" si="144">BC32+BD32*agprice/auprice+BE32*cuprice/auprice+BF32*znprice/auprice+BG32*pbprice/auprice+BH32</f>
        <v>0</v>
      </c>
      <c r="BK32" s="77" t="str">
        <f t="shared" ca="1" si="114"/>
        <v>NA</v>
      </c>
      <c r="BL32" s="72" t="str">
        <f t="shared" ca="1" si="114"/>
        <v>NA</v>
      </c>
      <c r="BM32" s="78" t="str">
        <f t="shared" ca="1" si="114"/>
        <v>NA</v>
      </c>
      <c r="BN32" s="72" t="e">
        <f ca="1">_xll.SNL.Clients.Office.Excel.Functions.SPG($L32, $BN$3, BN$2, "Au", "Options:Curr=USD")</f>
        <v>#NAME?</v>
      </c>
      <c r="BO32" s="72" t="e">
        <f ca="1">_xll.SNL.Clients.Office.Excel.Functions.SPG($L32, $BN$3, BO$2, "Au", "Options:Curr=USD")</f>
        <v>#NAME?</v>
      </c>
      <c r="BP32" s="72" t="e">
        <f ca="1">_xll.SNL.Clients.Office.Excel.Functions.SPG($L32, $BN$3, BP$2, "Au", "Options:Curr=USD")</f>
        <v>#NAME?</v>
      </c>
      <c r="BQ32" s="78" t="e">
        <f ca="1">_xll.SNL.Clients.Office.Excel.Functions.SPG($L32, $BN$3, BQ$2, "Au", "Options:Curr=USD")</f>
        <v>#NAME?</v>
      </c>
      <c r="BR32" s="72" t="str">
        <f ca="1">IFERROR(AVERAGE(_xll.SNL.Clients.Office.Excel.Functions.SPG($L32,$BR$4,"Au",BR$2, "Options:Curr=USD"),_xll.SNL.Clients.Office.Excel.Functions.SPG($L32,$BR$3,"Au",BR$2, "Options:Curr=USD")),"NA")</f>
        <v>NA</v>
      </c>
      <c r="BS32" s="72" t="str">
        <f ca="1">IFERROR(AVERAGE(_xll.SNL.Clients.Office.Excel.Functions.SPG($L32,$BR$4,"Au",BS$2, "Options:Curr=USD"),_xll.SNL.Clients.Office.Excel.Functions.SPG($L32,$BR$3,"Au",BS$2, "Options:Curr=USD")),"NA")</f>
        <v>NA</v>
      </c>
      <c r="BT32" s="78" t="str">
        <f ca="1">IFERROR(AVERAGE(_xll.SNL.Clients.Office.Excel.Functions.SPG($L32,$BR$4,"Au",BT$2, "Options:Curr=USD"),_xll.SNL.Clients.Office.Excel.Functions.SPG($L32,$BR$3,"Au",BT$2, "Options:Curr=USD")),"NA")</f>
        <v>NA</v>
      </c>
      <c r="BV32" s="36" t="s">
        <v>88</v>
      </c>
      <c r="BW32" s="36"/>
      <c r="BX32" s="36" t="s">
        <v>89</v>
      </c>
      <c r="BY32" s="36"/>
    </row>
    <row r="33" spans="1:77" ht="13.8" x14ac:dyDescent="0.25">
      <c r="A33" s="56" t="e">
        <f ca="1">_xll.SNL.Clients.Office.Excel.Functions.SPG($L33, A$3)</f>
        <v>#NAME?</v>
      </c>
      <c r="B33" s="56" t="e">
        <f ca="1">_xll.BDP($K33,B$3)</f>
        <v>#NAME?</v>
      </c>
      <c r="C33" s="56" t="e">
        <f ca="1">_xll.BDP($K33,C$3)</f>
        <v>#NAME?</v>
      </c>
      <c r="D33" s="56" t="e">
        <f ca="1">_xll.BDP($K33,D$3)</f>
        <v>#NAME?</v>
      </c>
      <c r="E33" s="57" t="s">
        <v>182</v>
      </c>
      <c r="F33" s="57" t="s">
        <v>107</v>
      </c>
      <c r="G33" s="57" t="s">
        <v>112</v>
      </c>
      <c r="H33" s="111" t="e">
        <f ca="1">_xll.SNL.Clients.Office.Excel.Functions.SPG($L33, "IQ_TEV", "Options: Curr=USD")</f>
        <v>#NAME?</v>
      </c>
      <c r="I33" s="111" t="e">
        <f ca="1">_xll.SNL.Clients.Office.Excel.Functions.SPG($L33, "SP_MARKETCAP", "Options: Curr=USD")</f>
        <v>#NAME?</v>
      </c>
      <c r="J33" s="59" t="s">
        <v>183</v>
      </c>
      <c r="K33" s="3" t="s">
        <v>184</v>
      </c>
      <c r="L33" s="3" t="s">
        <v>185</v>
      </c>
      <c r="M33" s="60" t="e" cm="1">
        <f t="array" aca="1" ref="M33" ca="1">_xll.SNL.Clients.Office.Excel.Functions.SPG($L33, $M$3)/100</f>
        <v>#NAME?</v>
      </c>
      <c r="N33" s="61" t="e" cm="1">
        <f t="array" aca="1" ref="N33" ca="1">_xll.SNL.Clients.Office.Excel.Functions.SPG($L33, "SP_PCFPS_FWD",N$2)</f>
        <v>#NAME?</v>
      </c>
      <c r="O33" s="62" t="e" cm="1">
        <f t="array" aca="1" ref="O33" ca="1">_xll.SNL.Clients.Office.Excel.Functions.SPG($L33, "SP_PCFPS_FWD",O$2)</f>
        <v>#NAME?</v>
      </c>
      <c r="P33" s="63" t="e" cm="1">
        <f t="array" aca="1" ref="P33" ca="1">_xll.SNL.Clients.Office.Excel.Functions.SPG($L33, "SP_PCFPS_FWD",P$2)</f>
        <v>#NAME?</v>
      </c>
      <c r="Q33" s="64" t="e">
        <f ca="1">_xll.SNL.Clients.Office.Excel.Functions.SPG($L33, "SP_FCF_EST",Q$2, "Options: Curr=USD")/1000/$I33</f>
        <v>#NAME?</v>
      </c>
      <c r="R33" s="64" t="e">
        <f ca="1">_xll.SNL.Clients.Office.Excel.Functions.SPG($L33, "SP_FCF_EST",R$2, "Options: Curr=USD")/1000/$I33</f>
        <v>#NAME?</v>
      </c>
      <c r="S33" s="64" t="e">
        <f ca="1">_xll.SNL.Clients.Office.Excel.Functions.SPG($L33, "SP_FCF_EST",S$2, "Options: Curr=USD")/1000/$I33</f>
        <v>#NAME?</v>
      </c>
      <c r="T33" s="61" t="e" cm="1">
        <f t="array" aca="1" ref="T33" ca="1">_xll.SNL.Clients.Office.Excel.Functions.SPG($L33, "SP_PE_FWD",T$2)</f>
        <v>#NAME?</v>
      </c>
      <c r="U33" s="63" t="e" cm="1">
        <f t="array" aca="1" ref="U33" ca="1">_xll.SNL.Clients.Office.Excel.Functions.SPG($L33, "SP_PE_FWD",U$2)</f>
        <v>#NAME?</v>
      </c>
      <c r="V33" s="80" t="e" cm="1">
        <f t="array" aca="1" ref="V33" ca="1">_xll.SNL.Clients.Office.Excel.Functions.SPG($L33, $V$3,V$2)</f>
        <v>#NAME?</v>
      </c>
      <c r="W33" s="81" t="e" cm="1">
        <f t="array" aca="1" ref="W33" ca="1">_xll.SNL.Clients.Office.Excel.Functions.SPG($L33, $V$3,W$2)</f>
        <v>#NAME?</v>
      </c>
      <c r="X33" s="82" t="e" cm="1">
        <f t="array" aca="1" ref="X33" ca="1">_xll.SNL.Clients.Office.Excel.Functions.SPG($L33, $V$3,X$2)</f>
        <v>#NAME?</v>
      </c>
      <c r="Y33" s="69" t="e" cm="1">
        <f t="array" aca="1" ref="Y33" ca="1">IF((_xll.SNL.Clients.Office.Excel.Functions.SPG($L33,Y$3,Y$4,"Options: Curr=USD") / _xll.SNL.Clients.Office.Excel.Functions.SPG($L33,"SP_EBITDA_EST",Y$2,"Options: Curr=USD")) &lt; 0, "NM", (_xll.SNL.Clients.Office.Excel.Functions.SPG($L33,Y$3,Y$4,"Options: Curr=USD") / _xll.SNL.Clients.Office.Excel.Functions.SPG($L33,"SP_EBITDA_EST",Y$2,"Options: Curr=USD")))</f>
        <v>#NAME?</v>
      </c>
      <c r="Z33" s="70" t="e" cm="1">
        <f t="array" aca="1" ref="Z33" ca="1">_xll.SNL.Clients.Office.Excel.Functions.SPG($L33, Z$3,Z$4)</f>
        <v>#NAME?</v>
      </c>
      <c r="AA33" s="77" t="str">
        <f ca="1">IFERROR(0.001*AVERAGE(_xll.SNL.Clients.Office.Excel.Functions.SPG($L33,$AA$4,"Au",AA$2),_xll.SNL.Clients.Office.Excel.Functions.SPG($L33,$AA$3,"Au",AA$2)),"NA")</f>
        <v>NA</v>
      </c>
      <c r="AB33" s="72" t="str">
        <f ca="1">IFERROR(0.001*AVERAGE(_xll.SNL.Clients.Office.Excel.Functions.SPG($L33,$AA$4,"Au",AB$2),_xll.SNL.Clients.Office.Excel.Functions.SPG($L33,$AA$3,"Au",AB$2)),"NA")</f>
        <v>NA</v>
      </c>
      <c r="AC33" s="78" t="str">
        <f ca="1">IFERROR(0.001*AVERAGE(_xll.SNL.Clients.Office.Excel.Functions.SPG($L33,$AA$4,"Au",AC$2),_xll.SNL.Clients.Office.Excel.Functions.SPG($L33,$AA$3,"Au",AC$2)),"NA")</f>
        <v>NA</v>
      </c>
      <c r="AD33" s="72" t="e">
        <f ca="1" xml:space="preserve"> IF(ISNUMBER(SEARCH("na",_xll.SNL.Clients.Office.Excel.Functions.SPG($L33, $AD$4, AD$2))), 0,_xll.SNL.Clients.Office.Excel.Functions.SPG($L33, $AD$4, AD$2))</f>
        <v>#NAME?</v>
      </c>
      <c r="AE33" s="72" t="e">
        <f ca="1" xml:space="preserve"> IF(ISNUMBER(SEARCH("na",_xll.SNL.Clients.Office.Excel.Functions.SPG($L33, $AD$4, AE$2))), 0,_xll.SNL.Clients.Office.Excel.Functions.SPG($L33, $AD$4, AE$2))</f>
        <v>#NAME?</v>
      </c>
      <c r="AF33" s="72" t="e">
        <f ca="1" xml:space="preserve"> IF(ISNUMBER(SEARCH("na",_xll.SNL.Clients.Office.Excel.Functions.SPG($L33, $AD$4, AF$2))), 0,_xll.SNL.Clients.Office.Excel.Functions.SPG($L33, $AD$4, AF$2))</f>
        <v>#NAME?</v>
      </c>
      <c r="AG33" s="72" t="e">
        <f ca="1" xml:space="preserve"> IF(ISNUMBER(SEARCH("na",_xll.SNL.Clients.Office.Excel.Functions.SPG($L33, $AG$4, AG$2))), 0,_xll.SNL.Clients.Office.Excel.Functions.SPG($L33, $AG$4, AG$2))</f>
        <v>#NAME?</v>
      </c>
      <c r="AH33" s="72" t="e">
        <f ca="1" xml:space="preserve"> IF(ISNUMBER(SEARCH("na",_xll.SNL.Clients.Office.Excel.Functions.SPG($L33, $AG$4, AH$2))), 0,_xll.SNL.Clients.Office.Excel.Functions.SPG($L33, $AG$4, AH$2))</f>
        <v>#NAME?</v>
      </c>
      <c r="AI33" s="72" t="e">
        <f ca="1" xml:space="preserve"> IF(ISNUMBER(SEARCH("na",_xll.SNL.Clients.Office.Excel.Functions.SPG($L33, $AG$4, AI$2))), 0,_xll.SNL.Clients.Office.Excel.Functions.SPG($L33, $AG$4, AI$2))</f>
        <v>#NAME?</v>
      </c>
      <c r="AJ33" s="72" t="e">
        <f ca="1" xml:space="preserve"> IF(ISNUMBER(SEARCH("na",_xll.SNL.Clients.Office.Excel.Functions.SPG($L33, $AJ$4, AJ$2))), 0,_xll.SNL.Clients.Office.Excel.Functions.SPG($L33, $AJ$4, AJ$2))</f>
        <v>#NAME?</v>
      </c>
      <c r="AK33" s="72" t="e">
        <f ca="1" xml:space="preserve"> IF(ISNUMBER(SEARCH("na",_xll.SNL.Clients.Office.Excel.Functions.SPG($L33, $AJ$4, AK$2))), 0,_xll.SNL.Clients.Office.Excel.Functions.SPG($L33, $AJ$4, AK$2))</f>
        <v>#NAME?</v>
      </c>
      <c r="AL33" s="72" t="e">
        <f ca="1" xml:space="preserve"> IF(ISNUMBER(SEARCH("na",_xll.SNL.Clients.Office.Excel.Functions.SPG($L33, $AJ$4, AL$2))), 0,_xll.SNL.Clients.Office.Excel.Functions.SPG($L33, $AJ$4, AL$2))</f>
        <v>#NAME?</v>
      </c>
      <c r="AM33" s="72" t="e">
        <f t="shared" ref="AM33:AM55" ca="1" si="145">AD33+AG33*agprice/auprice+AJ33*cuprice/auprice</f>
        <v>#NAME?</v>
      </c>
      <c r="AN33" s="72" t="e">
        <f t="shared" ref="AN33:AN55" ca="1" si="146">AE33+AH33*agprice/auprice+AK33*cuprice/auprice</f>
        <v>#NAME?</v>
      </c>
      <c r="AO33" s="72" t="e">
        <f t="shared" ref="AO33:AO55" ca="1" si="147">AF33+AI33*agprice/auprice+AL33*cuprice/auprice</f>
        <v>#NAME?</v>
      </c>
      <c r="AP33" s="83" t="str">
        <f t="shared" ca="1" si="104"/>
        <v>NA</v>
      </c>
      <c r="AQ33" s="84" t="str">
        <f t="shared" ca="1" si="104"/>
        <v>NA</v>
      </c>
      <c r="AR33" s="85" t="str">
        <f t="shared" ca="1" si="43"/>
        <v>NA</v>
      </c>
      <c r="AS33" s="72">
        <f ca="1">IFERROR(_xll.SNL.Clients.Office.Excel.Functions.SPG($L33, $AS$3, AS$2,$AS$4)/1000,0)</f>
        <v>0</v>
      </c>
      <c r="AT33" s="72">
        <f ca="1">IFERROR(_xll.SNL.Clients.Office.Excel.Functions.SPG($L33, $AS$3, AT$2,$AS$4)/1000,0)</f>
        <v>0</v>
      </c>
      <c r="AU33" s="72">
        <f ca="1">IFERROR(_xll.SNL.Clients.Office.Excel.Functions.SPG($L33, $AV$3, AU$2,$AS$4)/1000,0)</f>
        <v>0</v>
      </c>
      <c r="AV33" s="72">
        <f ca="1">IFERROR(_xll.SNL.Clients.Office.Excel.Functions.SPG($L33, $AV$3, AV$2,$AS$4)/1000,0)</f>
        <v>0</v>
      </c>
      <c r="AW33" s="72">
        <f ca="1">IFERROR(_xll.SNL.Clients.Office.Excel.Functions.SPG($L33, $AV$3, AW$2,$AS$4)/1000,0)</f>
        <v>0</v>
      </c>
      <c r="AX33" s="72">
        <f ca="1">IFERROR(_xll.SNL.Clients.Office.Excel.Functions.SPG($L33, $AX$3, AX$2,$AS$4)/1000,0)</f>
        <v>0</v>
      </c>
      <c r="AY33" s="72">
        <f ca="1">IFERROR(_xll.SNL.Clients.Office.Excel.Functions.SPG($L33, $AX$3, AY$2,$AS$4)/1000,0)</f>
        <v>0</v>
      </c>
      <c r="AZ33" s="72">
        <f ca="1">IFERROR(_xll.SNL.Clients.Office.Excel.Functions.SPG($L33, $BA$3, AZ$2,$AS$4)/1000,0)</f>
        <v>0</v>
      </c>
      <c r="BA33" s="72">
        <f ca="1">IFERROR(_xll.SNL.Clients.Office.Excel.Functions.SPG($L33, $BA$3, BA$2,$AS$4)/1000,0)</f>
        <v>0</v>
      </c>
      <c r="BB33" s="72">
        <f ca="1">IFERROR(_xll.SNL.Clients.Office.Excel.Functions.SPG($L33, $BA$3, BB$2,$AS$4)/1000,0)</f>
        <v>0</v>
      </c>
      <c r="BC33" s="72">
        <f ca="1">IFERROR(_xll.SNL.Clients.Office.Excel.Functions.SPG($L33, $BC$3, BC$2,$AS$4)/1000,0)</f>
        <v>0</v>
      </c>
      <c r="BD33" s="72">
        <f ca="1">IFERROR(_xll.SNL.Clients.Office.Excel.Functions.SPG($L33, $BC$3, BD$2,$AS$4)/1000,0)</f>
        <v>0</v>
      </c>
      <c r="BE33" s="72">
        <f ca="1">IFERROR(_xll.SNL.Clients.Office.Excel.Functions.SPG($L33, $BF$3, BE$2,$AS$4)/1000,0)</f>
        <v>0</v>
      </c>
      <c r="BF33" s="72">
        <f ca="1">IFERROR(_xll.SNL.Clients.Office.Excel.Functions.SPG($L33, $BF$3, BF$2,$AS$4)/1000,0)</f>
        <v>0</v>
      </c>
      <c r="BG33" s="72">
        <f ca="1">IFERROR(_xll.SNL.Clients.Office.Excel.Functions.SPG($L33, $BF$3, BG$2,$AS$4)/1000,0)</f>
        <v>0</v>
      </c>
      <c r="BH33" s="72">
        <f t="shared" ref="BH33:BH55" ca="1" si="148">AS33+AT33*agprice/auprice+AU33*cuprice/auprice+AV33*znprice/auprice+AW33*pbprice/auprice</f>
        <v>0</v>
      </c>
      <c r="BI33" s="72">
        <f t="shared" ref="BI33:BI55" ca="1" si="149">AX33+AY33*agprice/auprice+AZ33*cuprice/auprice+BA33*znprice/auprice+BB33*pbprice/auprice+BH33</f>
        <v>0</v>
      </c>
      <c r="BJ33" s="72">
        <f t="shared" ref="BJ33:BJ55" ca="1" si="150">BC33+BD33*agprice/auprice+BE33*cuprice/auprice+BF33*znprice/auprice+BG33*pbprice/auprice+BH33</f>
        <v>0</v>
      </c>
      <c r="BK33" s="77" t="str">
        <f t="shared" ca="1" si="114"/>
        <v>NA</v>
      </c>
      <c r="BL33" s="72" t="str">
        <f t="shared" ca="1" si="114"/>
        <v>NA</v>
      </c>
      <c r="BM33" s="78" t="str">
        <f t="shared" ca="1" si="114"/>
        <v>NA</v>
      </c>
      <c r="BN33" s="72" t="e">
        <f ca="1">_xll.SNL.Clients.Office.Excel.Functions.SPG($L33, $BN$3, BN$2, "Au", "Options:Curr=USD")</f>
        <v>#NAME?</v>
      </c>
      <c r="BO33" s="72" t="e">
        <f ca="1">_xll.SNL.Clients.Office.Excel.Functions.SPG($L33, $BN$3, BO$2, "Au", "Options:Curr=USD")</f>
        <v>#NAME?</v>
      </c>
      <c r="BP33" s="72" t="e">
        <f ca="1">_xll.SNL.Clients.Office.Excel.Functions.SPG($L33, $BN$3, BP$2, "Au", "Options:Curr=USD")</f>
        <v>#NAME?</v>
      </c>
      <c r="BQ33" s="78" t="e">
        <f ca="1">_xll.SNL.Clients.Office.Excel.Functions.SPG($L33, $BN$3, BQ$2, "Au", "Options:Curr=USD")</f>
        <v>#NAME?</v>
      </c>
      <c r="BR33" s="72" t="str">
        <f ca="1">IFERROR(AVERAGE(_xll.SNL.Clients.Office.Excel.Functions.SPG($L33,$BR$4,"Au",BR$2, "Options:Curr=USD"),_xll.SNL.Clients.Office.Excel.Functions.SPG($L33,$BR$3,"Au",BR$2, "Options:Curr=USD")),"NA")</f>
        <v>NA</v>
      </c>
      <c r="BS33" s="72" t="str">
        <f ca="1">IFERROR(AVERAGE(_xll.SNL.Clients.Office.Excel.Functions.SPG($L33,$BR$4,"Au",BS$2, "Options:Curr=USD"),_xll.SNL.Clients.Office.Excel.Functions.SPG($L33,$BR$3,"Au",BS$2, "Options:Curr=USD")),"NA")</f>
        <v>NA</v>
      </c>
      <c r="BT33" s="78" t="str">
        <f ca="1">IFERROR(AVERAGE(_xll.SNL.Clients.Office.Excel.Functions.SPG($L33,$BR$4,"Au",BT$2, "Options:Curr=USD"),_xll.SNL.Clients.Office.Excel.Functions.SPG($L33,$BR$3,"Au",BT$2, "Options:Curr=USD")),"NA")</f>
        <v>NA</v>
      </c>
      <c r="BV33" s="36" t="s">
        <v>88</v>
      </c>
      <c r="BW33" s="36"/>
      <c r="BX33" s="36" t="s">
        <v>89</v>
      </c>
      <c r="BY33" s="36"/>
    </row>
    <row r="34" spans="1:77" ht="13.8" x14ac:dyDescent="0.25">
      <c r="A34" s="56" t="e">
        <f ca="1">_xll.SNL.Clients.Office.Excel.Functions.SPG($L34, A$3)</f>
        <v>#NAME?</v>
      </c>
      <c r="B34" s="56" t="e">
        <f ca="1">_xll.BDP($K34,B$3)</f>
        <v>#NAME?</v>
      </c>
      <c r="C34" s="56" t="e">
        <f ca="1">_xll.BDP($K34,C$3)</f>
        <v>#NAME?</v>
      </c>
      <c r="D34" s="56" t="e">
        <f ca="1">_xll.BDP($K34,D$3)</f>
        <v>#NAME?</v>
      </c>
      <c r="E34" s="57" t="s">
        <v>98</v>
      </c>
      <c r="F34" s="57" t="s">
        <v>107</v>
      </c>
      <c r="G34" s="57" t="s">
        <v>84</v>
      </c>
      <c r="H34" s="111" t="e">
        <f ca="1">_xll.SNL.Clients.Office.Excel.Functions.SPG($L34, "IQ_TEV", "Options: Curr=USD")</f>
        <v>#NAME?</v>
      </c>
      <c r="I34" s="111" t="e">
        <f ca="1">_xll.SNL.Clients.Office.Excel.Functions.SPG($L34, "SP_MARKETCAP", "Options: Curr=USD")</f>
        <v>#NAME?</v>
      </c>
      <c r="J34" s="59" t="s">
        <v>186</v>
      </c>
      <c r="K34" s="3" t="s">
        <v>187</v>
      </c>
      <c r="L34" s="3" t="s">
        <v>188</v>
      </c>
      <c r="M34" s="60" t="e" cm="1">
        <f t="array" aca="1" ref="M34" ca="1">_xll.SNL.Clients.Office.Excel.Functions.SPG($L34, $M$3)/100</f>
        <v>#NAME?</v>
      </c>
      <c r="N34" s="61" t="e" cm="1">
        <f t="array" aca="1" ref="N34" ca="1">_xll.SNL.Clients.Office.Excel.Functions.SPG($L34, "SP_PCFPS_FWD",N$2)</f>
        <v>#NAME?</v>
      </c>
      <c r="O34" s="62" t="e" cm="1">
        <f t="array" aca="1" ref="O34" ca="1">_xll.SNL.Clients.Office.Excel.Functions.SPG($L34, "SP_PCFPS_FWD",O$2)</f>
        <v>#NAME?</v>
      </c>
      <c r="P34" s="63" t="e" cm="1">
        <f t="array" aca="1" ref="P34" ca="1">_xll.SNL.Clients.Office.Excel.Functions.SPG($L34, "SP_PCFPS_FWD",P$2)</f>
        <v>#NAME?</v>
      </c>
      <c r="Q34" s="64" t="e">
        <f ca="1">_xll.SNL.Clients.Office.Excel.Functions.SPG($L34, "SP_FCF_EST",Q$2, "Options: Curr=USD")/1000/$I34</f>
        <v>#NAME?</v>
      </c>
      <c r="R34" s="64" t="e">
        <f ca="1">_xll.SNL.Clients.Office.Excel.Functions.SPG($L34, "SP_FCF_EST",R$2, "Options: Curr=USD")/1000/$I34</f>
        <v>#NAME?</v>
      </c>
      <c r="S34" s="64" t="e">
        <f ca="1">_xll.SNL.Clients.Office.Excel.Functions.SPG($L34, "SP_FCF_EST",S$2, "Options: Curr=USD")/1000/$I34</f>
        <v>#NAME?</v>
      </c>
      <c r="T34" s="61" t="e" cm="1">
        <f t="array" aca="1" ref="T34" ca="1">_xll.SNL.Clients.Office.Excel.Functions.SPG($L34, "SP_PE_FWD",T$2)</f>
        <v>#NAME?</v>
      </c>
      <c r="U34" s="63" t="e" cm="1">
        <f t="array" aca="1" ref="U34" ca="1">_xll.SNL.Clients.Office.Excel.Functions.SPG($L34, "SP_PE_FWD",U$2)</f>
        <v>#NAME?</v>
      </c>
      <c r="V34" s="80" t="e" cm="1">
        <f t="array" aca="1" ref="V34" ca="1">_xll.SNL.Clients.Office.Excel.Functions.SPG($L34, $V$3,V$2)</f>
        <v>#NAME?</v>
      </c>
      <c r="W34" s="81" t="e" cm="1">
        <f t="array" aca="1" ref="W34" ca="1">_xll.SNL.Clients.Office.Excel.Functions.SPG($L34, $V$3,W$2)</f>
        <v>#NAME?</v>
      </c>
      <c r="X34" s="82" t="e" cm="1">
        <f t="array" aca="1" ref="X34" ca="1">_xll.SNL.Clients.Office.Excel.Functions.SPG($L34, $V$3,X$2)</f>
        <v>#NAME?</v>
      </c>
      <c r="Y34" s="69" t="e" cm="1">
        <f t="array" aca="1" ref="Y34" ca="1">IF((_xll.SNL.Clients.Office.Excel.Functions.SPG($L34,Y$3,Y$4,"Options: Curr=USD") / _xll.SNL.Clients.Office.Excel.Functions.SPG($L34,"SP_EBITDA_EST",Y$2,"Options: Curr=USD")) &lt; 0, "NM", (_xll.SNL.Clients.Office.Excel.Functions.SPG($L34,Y$3,Y$4,"Options: Curr=USD") / _xll.SNL.Clients.Office.Excel.Functions.SPG($L34,"SP_EBITDA_EST",Y$2,"Options: Curr=USD")))</f>
        <v>#NAME?</v>
      </c>
      <c r="Z34" s="70" t="e" cm="1">
        <f t="array" aca="1" ref="Z34" ca="1">_xll.SNL.Clients.Office.Excel.Functions.SPG($L34, Z$3,Z$4)</f>
        <v>#NAME?</v>
      </c>
      <c r="AA34" s="77" t="str">
        <f ca="1">IFERROR(0.001*AVERAGE(_xll.SNL.Clients.Office.Excel.Functions.SPG($L34,$AA$4,"Au",AA$2),_xll.SNL.Clients.Office.Excel.Functions.SPG($L34,$AA$3,"Au",AA$2)),"NA")</f>
        <v>NA</v>
      </c>
      <c r="AB34" s="72" t="str">
        <f ca="1">IFERROR(0.001*AVERAGE(_xll.SNL.Clients.Office.Excel.Functions.SPG($L34,$AA$4,"Au",AB$2),_xll.SNL.Clients.Office.Excel.Functions.SPG($L34,$AA$3,"Au",AB$2)),"NA")</f>
        <v>NA</v>
      </c>
      <c r="AC34" s="78" t="str">
        <f ca="1">IFERROR(0.001*AVERAGE(_xll.SNL.Clients.Office.Excel.Functions.SPG($L34,$AA$4,"Au",AC$2),_xll.SNL.Clients.Office.Excel.Functions.SPG($L34,$AA$3,"Au",AC$2)),"NA")</f>
        <v>NA</v>
      </c>
      <c r="AD34" s="72" t="e">
        <f ca="1" xml:space="preserve"> IF(ISNUMBER(SEARCH("na",_xll.SNL.Clients.Office.Excel.Functions.SPG($L34, $AD$4, AD$2))), 0,_xll.SNL.Clients.Office.Excel.Functions.SPG($L34, $AD$4, AD$2))</f>
        <v>#NAME?</v>
      </c>
      <c r="AE34" s="72" t="e">
        <f ca="1" xml:space="preserve"> IF(ISNUMBER(SEARCH("na",_xll.SNL.Clients.Office.Excel.Functions.SPG($L34, $AD$4, AE$2))), 0,_xll.SNL.Clients.Office.Excel.Functions.SPG($L34, $AD$4, AE$2))</f>
        <v>#NAME?</v>
      </c>
      <c r="AF34" s="72" t="e">
        <f ca="1" xml:space="preserve"> IF(ISNUMBER(SEARCH("na",_xll.SNL.Clients.Office.Excel.Functions.SPG($L34, $AD$4, AF$2))), 0,_xll.SNL.Clients.Office.Excel.Functions.SPG($L34, $AD$4, AF$2))</f>
        <v>#NAME?</v>
      </c>
      <c r="AG34" s="72" t="e">
        <f ca="1" xml:space="preserve"> IF(ISNUMBER(SEARCH("na",_xll.SNL.Clients.Office.Excel.Functions.SPG($L34, $AG$4, AG$2))), 0,_xll.SNL.Clients.Office.Excel.Functions.SPG($L34, $AG$4, AG$2))</f>
        <v>#NAME?</v>
      </c>
      <c r="AH34" s="72" t="e">
        <f ca="1" xml:space="preserve"> IF(ISNUMBER(SEARCH("na",_xll.SNL.Clients.Office.Excel.Functions.SPG($L34, $AG$4, AH$2))), 0,_xll.SNL.Clients.Office.Excel.Functions.SPG($L34, $AG$4, AH$2))</f>
        <v>#NAME?</v>
      </c>
      <c r="AI34" s="72" t="e">
        <f ca="1" xml:space="preserve"> IF(ISNUMBER(SEARCH("na",_xll.SNL.Clients.Office.Excel.Functions.SPG($L34, $AG$4, AI$2))), 0,_xll.SNL.Clients.Office.Excel.Functions.SPG($L34, $AG$4, AI$2))</f>
        <v>#NAME?</v>
      </c>
      <c r="AJ34" s="72" t="e">
        <f ca="1" xml:space="preserve"> IF(ISNUMBER(SEARCH("na",_xll.SNL.Clients.Office.Excel.Functions.SPG($L34, $AJ$4, AJ$2))), 0,_xll.SNL.Clients.Office.Excel.Functions.SPG($L34, $AJ$4, AJ$2))</f>
        <v>#NAME?</v>
      </c>
      <c r="AK34" s="72" t="e">
        <f ca="1" xml:space="preserve"> IF(ISNUMBER(SEARCH("na",_xll.SNL.Clients.Office.Excel.Functions.SPG($L34, $AJ$4, AK$2))), 0,_xll.SNL.Clients.Office.Excel.Functions.SPG($L34, $AJ$4, AK$2))</f>
        <v>#NAME?</v>
      </c>
      <c r="AL34" s="72" t="e">
        <f ca="1" xml:space="preserve"> IF(ISNUMBER(SEARCH("na",_xll.SNL.Clients.Office.Excel.Functions.SPG($L34, $AJ$4, AL$2))), 0,_xll.SNL.Clients.Office.Excel.Functions.SPG($L34, $AJ$4, AL$2))</f>
        <v>#NAME?</v>
      </c>
      <c r="AM34" s="72" t="e">
        <f t="shared" ref="AM34:AM56" ca="1" si="151">AD34+AG34*agprice/auprice+AJ34*cuprice/auprice</f>
        <v>#NAME?</v>
      </c>
      <c r="AN34" s="72" t="e">
        <f t="shared" ref="AN34:AN56" ca="1" si="152">AE34+AH34*agprice/auprice+AK34*cuprice/auprice</f>
        <v>#NAME?</v>
      </c>
      <c r="AO34" s="72" t="e">
        <f t="shared" ref="AO34:AO56" ca="1" si="153">AF34+AI34*agprice/auprice+AL34*cuprice/auprice</f>
        <v>#NAME?</v>
      </c>
      <c r="AP34" s="83" t="str">
        <f t="shared" ca="1" si="104"/>
        <v>NA</v>
      </c>
      <c r="AQ34" s="84" t="str">
        <f t="shared" ca="1" si="104"/>
        <v>NA</v>
      </c>
      <c r="AR34" s="85" t="str">
        <f t="shared" ca="1" si="43"/>
        <v>NA</v>
      </c>
      <c r="AS34" s="72">
        <f ca="1">IFERROR(_xll.SNL.Clients.Office.Excel.Functions.SPG($L34, $AS$3, AS$2,$AS$4)/1000,0)</f>
        <v>0</v>
      </c>
      <c r="AT34" s="72">
        <f ca="1">IFERROR(_xll.SNL.Clients.Office.Excel.Functions.SPG($L34, $AS$3, AT$2,$AS$4)/1000,0)</f>
        <v>0</v>
      </c>
      <c r="AU34" s="72">
        <f ca="1">IFERROR(_xll.SNL.Clients.Office.Excel.Functions.SPG($L34, $AV$3, AU$2,$AS$4)/1000,0)</f>
        <v>0</v>
      </c>
      <c r="AV34" s="72">
        <f ca="1">IFERROR(_xll.SNL.Clients.Office.Excel.Functions.SPG($L34, $AV$3, AV$2,$AS$4)/1000,0)</f>
        <v>0</v>
      </c>
      <c r="AW34" s="72">
        <f ca="1">IFERROR(_xll.SNL.Clients.Office.Excel.Functions.SPG($L34, $AV$3, AW$2,$AS$4)/1000,0)</f>
        <v>0</v>
      </c>
      <c r="AX34" s="72">
        <f ca="1">IFERROR(_xll.SNL.Clients.Office.Excel.Functions.SPG($L34, $AX$3, AX$2,$AS$4)/1000,0)</f>
        <v>0</v>
      </c>
      <c r="AY34" s="72">
        <f ca="1">IFERROR(_xll.SNL.Clients.Office.Excel.Functions.SPG($L34, $AX$3, AY$2,$AS$4)/1000,0)</f>
        <v>0</v>
      </c>
      <c r="AZ34" s="72">
        <f ca="1">IFERROR(_xll.SNL.Clients.Office.Excel.Functions.SPG($L34, $BA$3, AZ$2,$AS$4)/1000,0)</f>
        <v>0</v>
      </c>
      <c r="BA34" s="72">
        <f ca="1">IFERROR(_xll.SNL.Clients.Office.Excel.Functions.SPG($L34, $BA$3, BA$2,$AS$4)/1000,0)</f>
        <v>0</v>
      </c>
      <c r="BB34" s="72">
        <f ca="1">IFERROR(_xll.SNL.Clients.Office.Excel.Functions.SPG($L34, $BA$3, BB$2,$AS$4)/1000,0)</f>
        <v>0</v>
      </c>
      <c r="BC34" s="72">
        <f ca="1">IFERROR(_xll.SNL.Clients.Office.Excel.Functions.SPG($L34, $BC$3, BC$2,$AS$4)/1000,0)</f>
        <v>0</v>
      </c>
      <c r="BD34" s="72">
        <f ca="1">IFERROR(_xll.SNL.Clients.Office.Excel.Functions.SPG($L34, $BC$3, BD$2,$AS$4)/1000,0)</f>
        <v>0</v>
      </c>
      <c r="BE34" s="72">
        <f ca="1">IFERROR(_xll.SNL.Clients.Office.Excel.Functions.SPG($L34, $BF$3, BE$2,$AS$4)/1000,0)</f>
        <v>0</v>
      </c>
      <c r="BF34" s="72">
        <f ca="1">IFERROR(_xll.SNL.Clients.Office.Excel.Functions.SPG($L34, $BF$3, BF$2,$AS$4)/1000,0)</f>
        <v>0</v>
      </c>
      <c r="BG34" s="72">
        <f ca="1">IFERROR(_xll.SNL.Clients.Office.Excel.Functions.SPG($L34, $BF$3, BG$2,$AS$4)/1000,0)</f>
        <v>0</v>
      </c>
      <c r="BH34" s="72">
        <f t="shared" ref="BH34:BH56" ca="1" si="154">AS34+AT34*agprice/auprice+AU34*cuprice/auprice+AV34*znprice/auprice+AW34*pbprice/auprice</f>
        <v>0</v>
      </c>
      <c r="BI34" s="72">
        <f t="shared" ref="BI34:BI56" ca="1" si="155">AX34+AY34*agprice/auprice+AZ34*cuprice/auprice+BA34*znprice/auprice+BB34*pbprice/auprice+BH34</f>
        <v>0</v>
      </c>
      <c r="BJ34" s="72">
        <f t="shared" ref="BJ34:BJ56" ca="1" si="156">BC34+BD34*agprice/auprice+BE34*cuprice/auprice+BF34*znprice/auprice+BG34*pbprice/auprice+BH34</f>
        <v>0</v>
      </c>
      <c r="BK34" s="77" t="str">
        <f t="shared" ca="1" si="114"/>
        <v>NA</v>
      </c>
      <c r="BL34" s="72" t="str">
        <f t="shared" ca="1" si="114"/>
        <v>NA</v>
      </c>
      <c r="BM34" s="78" t="str">
        <f t="shared" ca="1" si="114"/>
        <v>NA</v>
      </c>
      <c r="BN34" s="72" t="e">
        <f ca="1">_xll.SNL.Clients.Office.Excel.Functions.SPG($L34, $BN$3, BN$2, "Au", "Options:Curr=USD")</f>
        <v>#NAME?</v>
      </c>
      <c r="BO34" s="72" t="e">
        <f ca="1">_xll.SNL.Clients.Office.Excel.Functions.SPG($L34, $BN$3, BO$2, "Au", "Options:Curr=USD")</f>
        <v>#NAME?</v>
      </c>
      <c r="BP34" s="72" t="e">
        <f ca="1">_xll.SNL.Clients.Office.Excel.Functions.SPG($L34, $BN$3, BP$2, "Au", "Options:Curr=USD")</f>
        <v>#NAME?</v>
      </c>
      <c r="BQ34" s="78" t="e">
        <f ca="1">_xll.SNL.Clients.Office.Excel.Functions.SPG($L34, $BN$3, BQ$2, "Au", "Options:Curr=USD")</f>
        <v>#NAME?</v>
      </c>
      <c r="BR34" s="72" t="str">
        <f ca="1">IFERROR(AVERAGE(_xll.SNL.Clients.Office.Excel.Functions.SPG($L34,$BR$4,"Au",BR$2, "Options:Curr=USD"),_xll.SNL.Clients.Office.Excel.Functions.SPG($L34,$BR$3,"Au",BR$2, "Options:Curr=USD")),"NA")</f>
        <v>NA</v>
      </c>
      <c r="BS34" s="72" t="str">
        <f ca="1">IFERROR(AVERAGE(_xll.SNL.Clients.Office.Excel.Functions.SPG($L34,$BR$4,"Au",BS$2, "Options:Curr=USD"),_xll.SNL.Clients.Office.Excel.Functions.SPG($L34,$BR$3,"Au",BS$2, "Options:Curr=USD")),"NA")</f>
        <v>NA</v>
      </c>
      <c r="BT34" s="78" t="str">
        <f ca="1">IFERROR(AVERAGE(_xll.SNL.Clients.Office.Excel.Functions.SPG($L34,$BR$4,"Au",BT$2, "Options:Curr=USD"),_xll.SNL.Clients.Office.Excel.Functions.SPG($L34,$BR$3,"Au",BT$2, "Options:Curr=USD")),"NA")</f>
        <v>NA</v>
      </c>
      <c r="BV34" s="36" t="s">
        <v>88</v>
      </c>
      <c r="BW34" s="36"/>
      <c r="BX34" s="36" t="s">
        <v>89</v>
      </c>
      <c r="BY34" s="36"/>
    </row>
    <row r="35" spans="1:77" ht="13.8" x14ac:dyDescent="0.25">
      <c r="A35" s="56" t="e">
        <f ca="1">_xll.SNL.Clients.Office.Excel.Functions.SPG($L35, A$3)</f>
        <v>#NAME?</v>
      </c>
      <c r="B35" s="56" t="e">
        <f ca="1">_xll.BDP($K35,B$3)</f>
        <v>#NAME?</v>
      </c>
      <c r="C35" s="56" t="e">
        <f ca="1">_xll.BDP($K35,C$3)</f>
        <v>#NAME?</v>
      </c>
      <c r="D35" s="56" t="e">
        <f ca="1">_xll.BDP($K35,D$3)</f>
        <v>#NAME?</v>
      </c>
      <c r="E35" s="57" t="s">
        <v>182</v>
      </c>
      <c r="F35" s="57" t="s">
        <v>83</v>
      </c>
      <c r="G35" s="57" t="s">
        <v>90</v>
      </c>
      <c r="H35" s="111" t="e">
        <f ca="1">_xll.SNL.Clients.Office.Excel.Functions.SPG($L35, "IQ_TEV", "Options: Curr=USD")</f>
        <v>#NAME?</v>
      </c>
      <c r="I35" s="111" t="e">
        <f ca="1">_xll.SNL.Clients.Office.Excel.Functions.SPG($L35, "SP_MARKETCAP", "Options: Curr=USD")</f>
        <v>#NAME?</v>
      </c>
      <c r="J35" s="59" t="s">
        <v>189</v>
      </c>
      <c r="K35" s="3" t="s">
        <v>190</v>
      </c>
      <c r="L35" s="3" t="s">
        <v>191</v>
      </c>
      <c r="M35" s="60" t="e" cm="1">
        <f t="array" aca="1" ref="M35" ca="1">_xll.SNL.Clients.Office.Excel.Functions.SPG($L35, $M$3)/100</f>
        <v>#NAME?</v>
      </c>
      <c r="N35" s="61" t="e" cm="1">
        <f t="array" aca="1" ref="N35" ca="1">_xll.SNL.Clients.Office.Excel.Functions.SPG($L35, "SP_PCFPS_FWD",N$2)</f>
        <v>#NAME?</v>
      </c>
      <c r="O35" s="62" t="e" cm="1">
        <f t="array" aca="1" ref="O35" ca="1">_xll.SNL.Clients.Office.Excel.Functions.SPG($L35, "SP_PCFPS_FWD",O$2)</f>
        <v>#NAME?</v>
      </c>
      <c r="P35" s="63" t="e" cm="1">
        <f t="array" aca="1" ref="P35" ca="1">_xll.SNL.Clients.Office.Excel.Functions.SPG($L35, "SP_PCFPS_FWD",P$2)</f>
        <v>#NAME?</v>
      </c>
      <c r="Q35" s="64" t="e">
        <f ca="1">_xll.SNL.Clients.Office.Excel.Functions.SPG($L35, "SP_FCF_EST",Q$2, "Options: Curr=USD")/1000/$I35</f>
        <v>#NAME?</v>
      </c>
      <c r="R35" s="64" t="e">
        <f ca="1">_xll.SNL.Clients.Office.Excel.Functions.SPG($L35, "SP_FCF_EST",R$2, "Options: Curr=USD")/1000/$I35</f>
        <v>#NAME?</v>
      </c>
      <c r="S35" s="64" t="e">
        <f ca="1">_xll.SNL.Clients.Office.Excel.Functions.SPG($L35, "SP_FCF_EST",S$2, "Options: Curr=USD")/1000/$I35</f>
        <v>#NAME?</v>
      </c>
      <c r="T35" s="61" t="e" cm="1">
        <f t="array" aca="1" ref="T35" ca="1">_xll.SNL.Clients.Office.Excel.Functions.SPG($L35, "SP_PE_FWD",T$2)</f>
        <v>#NAME?</v>
      </c>
      <c r="U35" s="63" t="e" cm="1">
        <f t="array" aca="1" ref="U35" ca="1">_xll.SNL.Clients.Office.Excel.Functions.SPG($L35, "SP_PE_FWD",U$2)</f>
        <v>#NAME?</v>
      </c>
      <c r="V35" s="80" t="e" cm="1">
        <f t="array" aca="1" ref="V35" ca="1">_xll.SNL.Clients.Office.Excel.Functions.SPG($L35, $V$3,V$2)</f>
        <v>#NAME?</v>
      </c>
      <c r="W35" s="81" t="e" cm="1">
        <f t="array" aca="1" ref="W35" ca="1">_xll.SNL.Clients.Office.Excel.Functions.SPG($L35, $V$3,W$2)</f>
        <v>#NAME?</v>
      </c>
      <c r="X35" s="82" t="e" cm="1">
        <f t="array" aca="1" ref="X35" ca="1">_xll.SNL.Clients.Office.Excel.Functions.SPG($L35, $V$3,X$2)</f>
        <v>#NAME?</v>
      </c>
      <c r="Y35" s="69" t="e" cm="1">
        <f t="array" aca="1" ref="Y35" ca="1">IF((_xll.SNL.Clients.Office.Excel.Functions.SPG($L35,Y$3,Y$4,"Options: Curr=USD") / _xll.SNL.Clients.Office.Excel.Functions.SPG($L35,"SP_EBITDA_EST",Y$2,"Options: Curr=USD")) &lt; 0, "NM", (_xll.SNL.Clients.Office.Excel.Functions.SPG($L35,Y$3,Y$4,"Options: Curr=USD") / _xll.SNL.Clients.Office.Excel.Functions.SPG($L35,"SP_EBITDA_EST",Y$2,"Options: Curr=USD")))</f>
        <v>#NAME?</v>
      </c>
      <c r="Z35" s="70" t="e" cm="1">
        <f t="array" aca="1" ref="Z35" ca="1">_xll.SNL.Clients.Office.Excel.Functions.SPG($L35, Z$3,Z$4)</f>
        <v>#NAME?</v>
      </c>
      <c r="AA35" s="77" t="str">
        <f ca="1">IFERROR(0.001*AVERAGE(_xll.SNL.Clients.Office.Excel.Functions.SPG($L35,$AA$4,"Au",AA$2),_xll.SNL.Clients.Office.Excel.Functions.SPG($L35,$AA$3,"Au",AA$2)),"NA")</f>
        <v>NA</v>
      </c>
      <c r="AB35" s="72" t="str">
        <f ca="1">IFERROR(0.001*AVERAGE(_xll.SNL.Clients.Office.Excel.Functions.SPG($L35,$AA$4,"Au",AB$2),_xll.SNL.Clients.Office.Excel.Functions.SPG($L35,$AA$3,"Au",AB$2)),"NA")</f>
        <v>NA</v>
      </c>
      <c r="AC35" s="78" t="str">
        <f ca="1">IFERROR(0.001*AVERAGE(_xll.SNL.Clients.Office.Excel.Functions.SPG($L35,$AA$4,"Au",AC$2),_xll.SNL.Clients.Office.Excel.Functions.SPG($L35,$AA$3,"Au",AC$2)),"NA")</f>
        <v>NA</v>
      </c>
      <c r="AD35" s="72" t="e">
        <f ca="1" xml:space="preserve"> IF(ISNUMBER(SEARCH("na",_xll.SNL.Clients.Office.Excel.Functions.SPG($L35, $AD$4, AD$2))), 0,_xll.SNL.Clients.Office.Excel.Functions.SPG($L35, $AD$4, AD$2))</f>
        <v>#NAME?</v>
      </c>
      <c r="AE35" s="72" t="e">
        <f ca="1" xml:space="preserve"> IF(ISNUMBER(SEARCH("na",_xll.SNL.Clients.Office.Excel.Functions.SPG($L35, $AD$4, AE$2))), 0,_xll.SNL.Clients.Office.Excel.Functions.SPG($L35, $AD$4, AE$2))</f>
        <v>#NAME?</v>
      </c>
      <c r="AF35" s="72" t="e">
        <f ca="1" xml:space="preserve"> IF(ISNUMBER(SEARCH("na",_xll.SNL.Clients.Office.Excel.Functions.SPG($L35, $AD$4, AF$2))), 0,_xll.SNL.Clients.Office.Excel.Functions.SPG($L35, $AD$4, AF$2))</f>
        <v>#NAME?</v>
      </c>
      <c r="AG35" s="72" t="e">
        <f ca="1" xml:space="preserve"> IF(ISNUMBER(SEARCH("na",_xll.SNL.Clients.Office.Excel.Functions.SPG($L35, $AG$4, AG$2))), 0,_xll.SNL.Clients.Office.Excel.Functions.SPG($L35, $AG$4, AG$2))</f>
        <v>#NAME?</v>
      </c>
      <c r="AH35" s="72" t="e">
        <f ca="1" xml:space="preserve"> IF(ISNUMBER(SEARCH("na",_xll.SNL.Clients.Office.Excel.Functions.SPG($L35, $AG$4, AH$2))), 0,_xll.SNL.Clients.Office.Excel.Functions.SPG($L35, $AG$4, AH$2))</f>
        <v>#NAME?</v>
      </c>
      <c r="AI35" s="72" t="e">
        <f ca="1" xml:space="preserve"> IF(ISNUMBER(SEARCH("na",_xll.SNL.Clients.Office.Excel.Functions.SPG($L35, $AG$4, AI$2))), 0,_xll.SNL.Clients.Office.Excel.Functions.SPG($L35, $AG$4, AI$2))</f>
        <v>#NAME?</v>
      </c>
      <c r="AJ35" s="72" t="e">
        <f ca="1" xml:space="preserve"> IF(ISNUMBER(SEARCH("na",_xll.SNL.Clients.Office.Excel.Functions.SPG($L35, $AJ$4, AJ$2))), 0,_xll.SNL.Clients.Office.Excel.Functions.SPG($L35, $AJ$4, AJ$2))</f>
        <v>#NAME?</v>
      </c>
      <c r="AK35" s="72" t="e">
        <f ca="1" xml:space="preserve"> IF(ISNUMBER(SEARCH("na",_xll.SNL.Clients.Office.Excel.Functions.SPG($L35, $AJ$4, AK$2))), 0,_xll.SNL.Clients.Office.Excel.Functions.SPG($L35, $AJ$4, AK$2))</f>
        <v>#NAME?</v>
      </c>
      <c r="AL35" s="72" t="e">
        <f ca="1" xml:space="preserve"> IF(ISNUMBER(SEARCH("na",_xll.SNL.Clients.Office.Excel.Functions.SPG($L35, $AJ$4, AL$2))), 0,_xll.SNL.Clients.Office.Excel.Functions.SPG($L35, $AJ$4, AL$2))</f>
        <v>#NAME?</v>
      </c>
      <c r="AM35" s="72" t="e">
        <f t="shared" ref="AM35:AM57" ca="1" si="157">AD35+AG35*agprice/auprice+AJ35*cuprice/auprice</f>
        <v>#NAME?</v>
      </c>
      <c r="AN35" s="72" t="e">
        <f t="shared" ref="AN35:AN57" ca="1" si="158">AE35+AH35*agprice/auprice+AK35*cuprice/auprice</f>
        <v>#NAME?</v>
      </c>
      <c r="AO35" s="72" t="e">
        <f t="shared" ref="AO35:AO57" ca="1" si="159">AF35+AI35*agprice/auprice+AL35*cuprice/auprice</f>
        <v>#NAME?</v>
      </c>
      <c r="AP35" s="83" t="str">
        <f t="shared" ca="1" si="104"/>
        <v>NA</v>
      </c>
      <c r="AQ35" s="84" t="str">
        <f t="shared" ca="1" si="104"/>
        <v>NA</v>
      </c>
      <c r="AR35" s="85" t="str">
        <f t="shared" ca="1" si="43"/>
        <v>NA</v>
      </c>
      <c r="AS35" s="72">
        <f ca="1">IFERROR(_xll.SNL.Clients.Office.Excel.Functions.SPG($L35, $AS$3, AS$2,$AS$4)/1000,0)</f>
        <v>0</v>
      </c>
      <c r="AT35" s="72">
        <f ca="1">IFERROR(_xll.SNL.Clients.Office.Excel.Functions.SPG($L35, $AS$3, AT$2,$AS$4)/1000,0)</f>
        <v>0</v>
      </c>
      <c r="AU35" s="72">
        <f ca="1">IFERROR(_xll.SNL.Clients.Office.Excel.Functions.SPG($L35, $AV$3, AU$2,$AS$4)/1000,0)</f>
        <v>0</v>
      </c>
      <c r="AV35" s="72">
        <f ca="1">IFERROR(_xll.SNL.Clients.Office.Excel.Functions.SPG($L35, $AV$3, AV$2,$AS$4)/1000,0)</f>
        <v>0</v>
      </c>
      <c r="AW35" s="72">
        <f ca="1">IFERROR(_xll.SNL.Clients.Office.Excel.Functions.SPG($L35, $AV$3, AW$2,$AS$4)/1000,0)</f>
        <v>0</v>
      </c>
      <c r="AX35" s="72">
        <f ca="1">IFERROR(_xll.SNL.Clients.Office.Excel.Functions.SPG($L35, $AX$3, AX$2,$AS$4)/1000,0)</f>
        <v>0</v>
      </c>
      <c r="AY35" s="72">
        <f ca="1">IFERROR(_xll.SNL.Clients.Office.Excel.Functions.SPG($L35, $AX$3, AY$2,$AS$4)/1000,0)</f>
        <v>0</v>
      </c>
      <c r="AZ35" s="72">
        <f ca="1">IFERROR(_xll.SNL.Clients.Office.Excel.Functions.SPG($L35, $BA$3, AZ$2,$AS$4)/1000,0)</f>
        <v>0</v>
      </c>
      <c r="BA35" s="72">
        <f ca="1">IFERROR(_xll.SNL.Clients.Office.Excel.Functions.SPG($L35, $BA$3, BA$2,$AS$4)/1000,0)</f>
        <v>0</v>
      </c>
      <c r="BB35" s="72">
        <f ca="1">IFERROR(_xll.SNL.Clients.Office.Excel.Functions.SPG($L35, $BA$3, BB$2,$AS$4)/1000,0)</f>
        <v>0</v>
      </c>
      <c r="BC35" s="72">
        <f ca="1">IFERROR(_xll.SNL.Clients.Office.Excel.Functions.SPG($L35, $BC$3, BC$2,$AS$4)/1000,0)</f>
        <v>0</v>
      </c>
      <c r="BD35" s="72">
        <f ca="1">IFERROR(_xll.SNL.Clients.Office.Excel.Functions.SPG($L35, $BC$3, BD$2,$AS$4)/1000,0)</f>
        <v>0</v>
      </c>
      <c r="BE35" s="72">
        <f ca="1">IFERROR(_xll.SNL.Clients.Office.Excel.Functions.SPG($L35, $BF$3, BE$2,$AS$4)/1000,0)</f>
        <v>0</v>
      </c>
      <c r="BF35" s="72">
        <f ca="1">IFERROR(_xll.SNL.Clients.Office.Excel.Functions.SPG($L35, $BF$3, BF$2,$AS$4)/1000,0)</f>
        <v>0</v>
      </c>
      <c r="BG35" s="72">
        <f ca="1">IFERROR(_xll.SNL.Clients.Office.Excel.Functions.SPG($L35, $BF$3, BG$2,$AS$4)/1000,0)</f>
        <v>0</v>
      </c>
      <c r="BH35" s="72">
        <f t="shared" ref="BH35:BH57" ca="1" si="160">AS35+AT35*agprice/auprice+AU35*cuprice/auprice+AV35*znprice/auprice+AW35*pbprice/auprice</f>
        <v>0</v>
      </c>
      <c r="BI35" s="72">
        <f t="shared" ref="BI35:BI57" ca="1" si="161">AX35+AY35*agprice/auprice+AZ35*cuprice/auprice+BA35*znprice/auprice+BB35*pbprice/auprice+BH35</f>
        <v>0</v>
      </c>
      <c r="BJ35" s="72">
        <f t="shared" ref="BJ35:BJ57" ca="1" si="162">BC35+BD35*agprice/auprice+BE35*cuprice/auprice+BF35*znprice/auprice+BG35*pbprice/auprice+BH35</f>
        <v>0</v>
      </c>
      <c r="BK35" s="77" t="str">
        <f t="shared" ca="1" si="114"/>
        <v>NA</v>
      </c>
      <c r="BL35" s="72" t="str">
        <f t="shared" ca="1" si="114"/>
        <v>NA</v>
      </c>
      <c r="BM35" s="78" t="str">
        <f t="shared" ca="1" si="114"/>
        <v>NA</v>
      </c>
      <c r="BN35" s="72" t="e">
        <f ca="1">_xll.SNL.Clients.Office.Excel.Functions.SPG($L35, $BN$3, BN$2, "Au", "Options:Curr=USD")</f>
        <v>#NAME?</v>
      </c>
      <c r="BO35" s="72" t="e">
        <f ca="1">_xll.SNL.Clients.Office.Excel.Functions.SPG($L35, $BN$3, BO$2, "Au", "Options:Curr=USD")</f>
        <v>#NAME?</v>
      </c>
      <c r="BP35" s="72" t="e">
        <f ca="1">_xll.SNL.Clients.Office.Excel.Functions.SPG($L35, $BN$3, BP$2, "Au", "Options:Curr=USD")</f>
        <v>#NAME?</v>
      </c>
      <c r="BQ35" s="78" t="e">
        <f ca="1">_xll.SNL.Clients.Office.Excel.Functions.SPG($L35, $BN$3, BQ$2, "Au", "Options:Curr=USD")</f>
        <v>#NAME?</v>
      </c>
      <c r="BR35" s="72" t="str">
        <f ca="1">IFERROR(AVERAGE(_xll.SNL.Clients.Office.Excel.Functions.SPG($L35,$BR$4,"Au",BR$2, "Options:Curr=USD"),_xll.SNL.Clients.Office.Excel.Functions.SPG($L35,$BR$3,"Au",BR$2, "Options:Curr=USD")),"NA")</f>
        <v>NA</v>
      </c>
      <c r="BS35" s="72" t="str">
        <f ca="1">IFERROR(AVERAGE(_xll.SNL.Clients.Office.Excel.Functions.SPG($L35,$BR$4,"Au",BS$2, "Options:Curr=USD"),_xll.SNL.Clients.Office.Excel.Functions.SPG($L35,$BR$3,"Au",BS$2, "Options:Curr=USD")),"NA")</f>
        <v>NA</v>
      </c>
      <c r="BT35" s="78" t="str">
        <f ca="1">IFERROR(AVERAGE(_xll.SNL.Clients.Office.Excel.Functions.SPG($L35,$BR$4,"Au",BT$2, "Options:Curr=USD"),_xll.SNL.Clients.Office.Excel.Functions.SPG($L35,$BR$3,"Au",BT$2, "Options:Curr=USD")),"NA")</f>
        <v>NA</v>
      </c>
      <c r="BV35" s="36" t="s">
        <v>88</v>
      </c>
      <c r="BW35" s="36"/>
      <c r="BX35" s="36" t="s">
        <v>89</v>
      </c>
      <c r="BY35" s="36"/>
    </row>
    <row r="36" spans="1:77" ht="13.8" x14ac:dyDescent="0.25">
      <c r="A36" s="56" t="e">
        <f ca="1">_xll.SNL.Clients.Office.Excel.Functions.SPG($L36, A$3)</f>
        <v>#NAME?</v>
      </c>
      <c r="B36" s="56" t="e">
        <f ca="1">_xll.BDP($K36,B$3)</f>
        <v>#NAME?</v>
      </c>
      <c r="C36" s="56" t="e">
        <f ca="1">_xll.BDP($K36,C$3)</f>
        <v>#NAME?</v>
      </c>
      <c r="D36" s="56" t="e">
        <f ca="1">_xll.BDP($K36,D$3)</f>
        <v>#NAME?</v>
      </c>
      <c r="E36" s="57" t="s">
        <v>99</v>
      </c>
      <c r="F36" s="57" t="s">
        <v>83</v>
      </c>
      <c r="G36" s="57" t="s">
        <v>84</v>
      </c>
      <c r="H36" s="111" t="e">
        <f ca="1">_xll.SNL.Clients.Office.Excel.Functions.SPG($L36, "IQ_TEV", "Options: Curr=USD")</f>
        <v>#NAME?</v>
      </c>
      <c r="I36" s="111" t="e">
        <f ca="1">_xll.SNL.Clients.Office.Excel.Functions.SPG($L36, "SP_MARKETCAP", "Options: Curr=USD")</f>
        <v>#NAME?</v>
      </c>
      <c r="J36" s="59" t="s">
        <v>192</v>
      </c>
      <c r="K36" s="3" t="s">
        <v>193</v>
      </c>
      <c r="L36" s="3" t="s">
        <v>194</v>
      </c>
      <c r="M36" s="60" t="e" cm="1">
        <f t="array" aca="1" ref="M36" ca="1">_xll.SNL.Clients.Office.Excel.Functions.SPG($L36, $M$3)/100</f>
        <v>#NAME?</v>
      </c>
      <c r="N36" s="61" t="e" cm="1">
        <f t="array" aca="1" ref="N36" ca="1">_xll.SNL.Clients.Office.Excel.Functions.SPG($L36, "SP_PCFPS_FWD",N$2)</f>
        <v>#NAME?</v>
      </c>
      <c r="O36" s="62" t="e" cm="1">
        <f t="array" aca="1" ref="O36" ca="1">_xll.SNL.Clients.Office.Excel.Functions.SPG($L36, "SP_PCFPS_FWD",O$2)</f>
        <v>#NAME?</v>
      </c>
      <c r="P36" s="63" t="e" cm="1">
        <f t="array" aca="1" ref="P36" ca="1">_xll.SNL.Clients.Office.Excel.Functions.SPG($L36, "SP_PCFPS_FWD",P$2)</f>
        <v>#NAME?</v>
      </c>
      <c r="Q36" s="64" t="e">
        <f ca="1">_xll.SNL.Clients.Office.Excel.Functions.SPG($L36, "SP_FCF_EST",Q$2, "Options: Curr=USD")/1000/$I36</f>
        <v>#NAME?</v>
      </c>
      <c r="R36" s="64" t="e">
        <f ca="1">_xll.SNL.Clients.Office.Excel.Functions.SPG($L36, "SP_FCF_EST",R$2, "Options: Curr=USD")/1000/$I36</f>
        <v>#NAME?</v>
      </c>
      <c r="S36" s="64" t="e">
        <f ca="1">_xll.SNL.Clients.Office.Excel.Functions.SPG($L36, "SP_FCF_EST",S$2, "Options: Curr=USD")/1000/$I36</f>
        <v>#NAME?</v>
      </c>
      <c r="T36" s="61" t="e" cm="1">
        <f t="array" aca="1" ref="T36" ca="1">_xll.SNL.Clients.Office.Excel.Functions.SPG($L36, "SP_PE_FWD",T$2)</f>
        <v>#NAME?</v>
      </c>
      <c r="U36" s="63" t="e" cm="1">
        <f t="array" aca="1" ref="U36" ca="1">_xll.SNL.Clients.Office.Excel.Functions.SPG($L36, "SP_PE_FWD",U$2)</f>
        <v>#NAME?</v>
      </c>
      <c r="V36" s="80" t="e" cm="1">
        <f t="array" aca="1" ref="V36" ca="1">_xll.SNL.Clients.Office.Excel.Functions.SPG($L36, $V$3,V$2)</f>
        <v>#NAME?</v>
      </c>
      <c r="W36" s="81" t="e" cm="1">
        <f t="array" aca="1" ref="W36" ca="1">_xll.SNL.Clients.Office.Excel.Functions.SPG($L36, $V$3,W$2)</f>
        <v>#NAME?</v>
      </c>
      <c r="X36" s="82" t="e" cm="1">
        <f t="array" aca="1" ref="X36" ca="1">_xll.SNL.Clients.Office.Excel.Functions.SPG($L36, $V$3,X$2)</f>
        <v>#NAME?</v>
      </c>
      <c r="Y36" s="69" t="e" cm="1">
        <f t="array" aca="1" ref="Y36" ca="1">IF((_xll.SNL.Clients.Office.Excel.Functions.SPG($L36,Y$3,Y$4,"Options: Curr=USD") / _xll.SNL.Clients.Office.Excel.Functions.SPG($L36,"SP_EBITDA_EST",Y$2,"Options: Curr=USD")) &lt; 0, "NM", (_xll.SNL.Clients.Office.Excel.Functions.SPG($L36,Y$3,Y$4,"Options: Curr=USD") / _xll.SNL.Clients.Office.Excel.Functions.SPG($L36,"SP_EBITDA_EST",Y$2,"Options: Curr=USD")))</f>
        <v>#NAME?</v>
      </c>
      <c r="Z36" s="70" t="e" cm="1">
        <f t="array" aca="1" ref="Z36" ca="1">_xll.SNL.Clients.Office.Excel.Functions.SPG($L36, Z$3,Z$4)</f>
        <v>#NAME?</v>
      </c>
      <c r="AA36" s="77" t="str">
        <f ca="1">IFERROR(0.001*AVERAGE(_xll.SNL.Clients.Office.Excel.Functions.SPG($L36,$AA$4,"Au",AA$2),_xll.SNL.Clients.Office.Excel.Functions.SPG($L36,$AA$3,"Au",AA$2)),"NA")</f>
        <v>NA</v>
      </c>
      <c r="AB36" s="72" t="str">
        <f ca="1">IFERROR(0.001*AVERAGE(_xll.SNL.Clients.Office.Excel.Functions.SPG($L36,$AA$4,"Au",AB$2),_xll.SNL.Clients.Office.Excel.Functions.SPG($L36,$AA$3,"Au",AB$2)),"NA")</f>
        <v>NA</v>
      </c>
      <c r="AC36" s="78" t="str">
        <f ca="1">IFERROR(0.001*AVERAGE(_xll.SNL.Clients.Office.Excel.Functions.SPG($L36,$AA$4,"Au",AC$2),_xll.SNL.Clients.Office.Excel.Functions.SPG($L36,$AA$3,"Au",AC$2)),"NA")</f>
        <v>NA</v>
      </c>
      <c r="AD36" s="72" t="e">
        <f ca="1" xml:space="preserve"> IF(ISNUMBER(SEARCH("na",_xll.SNL.Clients.Office.Excel.Functions.SPG($L36, $AD$4, AD$2))), 0,_xll.SNL.Clients.Office.Excel.Functions.SPG($L36, $AD$4, AD$2))</f>
        <v>#NAME?</v>
      </c>
      <c r="AE36" s="72" t="e">
        <f ca="1" xml:space="preserve"> IF(ISNUMBER(SEARCH("na",_xll.SNL.Clients.Office.Excel.Functions.SPG($L36, $AD$4, AE$2))), 0,_xll.SNL.Clients.Office.Excel.Functions.SPG($L36, $AD$4, AE$2))</f>
        <v>#NAME?</v>
      </c>
      <c r="AF36" s="72" t="e">
        <f ca="1" xml:space="preserve"> IF(ISNUMBER(SEARCH("na",_xll.SNL.Clients.Office.Excel.Functions.SPG($L36, $AD$4, AF$2))), 0,_xll.SNL.Clients.Office.Excel.Functions.SPG($L36, $AD$4, AF$2))</f>
        <v>#NAME?</v>
      </c>
      <c r="AG36" s="72" t="e">
        <f ca="1" xml:space="preserve"> IF(ISNUMBER(SEARCH("na",_xll.SNL.Clients.Office.Excel.Functions.SPG($L36, $AG$4, AG$2))), 0,_xll.SNL.Clients.Office.Excel.Functions.SPG($L36, $AG$4, AG$2))</f>
        <v>#NAME?</v>
      </c>
      <c r="AH36" s="72" t="e">
        <f ca="1" xml:space="preserve"> IF(ISNUMBER(SEARCH("na",_xll.SNL.Clients.Office.Excel.Functions.SPG($L36, $AG$4, AH$2))), 0,_xll.SNL.Clients.Office.Excel.Functions.SPG($L36, $AG$4, AH$2))</f>
        <v>#NAME?</v>
      </c>
      <c r="AI36" s="72" t="e">
        <f ca="1" xml:space="preserve"> IF(ISNUMBER(SEARCH("na",_xll.SNL.Clients.Office.Excel.Functions.SPG($L36, $AG$4, AI$2))), 0,_xll.SNL.Clients.Office.Excel.Functions.SPG($L36, $AG$4, AI$2))</f>
        <v>#NAME?</v>
      </c>
      <c r="AJ36" s="72" t="e">
        <f ca="1" xml:space="preserve"> IF(ISNUMBER(SEARCH("na",_xll.SNL.Clients.Office.Excel.Functions.SPG($L36, $AJ$4, AJ$2))), 0,_xll.SNL.Clients.Office.Excel.Functions.SPG($L36, $AJ$4, AJ$2))</f>
        <v>#NAME?</v>
      </c>
      <c r="AK36" s="72" t="e">
        <f ca="1" xml:space="preserve"> IF(ISNUMBER(SEARCH("na",_xll.SNL.Clients.Office.Excel.Functions.SPG($L36, $AJ$4, AK$2))), 0,_xll.SNL.Clients.Office.Excel.Functions.SPG($L36, $AJ$4, AK$2))</f>
        <v>#NAME?</v>
      </c>
      <c r="AL36" s="72" t="e">
        <f ca="1" xml:space="preserve"> IF(ISNUMBER(SEARCH("na",_xll.SNL.Clients.Office.Excel.Functions.SPG($L36, $AJ$4, AL$2))), 0,_xll.SNL.Clients.Office.Excel.Functions.SPG($L36, $AJ$4, AL$2))</f>
        <v>#NAME?</v>
      </c>
      <c r="AM36" s="72" t="e">
        <f t="shared" ref="AM36:AM58" ca="1" si="163">AD36+AG36*agprice/auprice+AJ36*cuprice/auprice</f>
        <v>#NAME?</v>
      </c>
      <c r="AN36" s="72" t="e">
        <f t="shared" ref="AN36:AN58" ca="1" si="164">AE36+AH36*agprice/auprice+AK36*cuprice/auprice</f>
        <v>#NAME?</v>
      </c>
      <c r="AO36" s="72" t="e">
        <f t="shared" ref="AO36:AO58" ca="1" si="165">AF36+AI36*agprice/auprice+AL36*cuprice/auprice</f>
        <v>#NAME?</v>
      </c>
      <c r="AP36" s="83" t="str">
        <f t="shared" ca="1" si="104"/>
        <v>NA</v>
      </c>
      <c r="AQ36" s="84" t="str">
        <f t="shared" ca="1" si="104"/>
        <v>NA</v>
      </c>
      <c r="AR36" s="85" t="str">
        <f t="shared" ca="1" si="43"/>
        <v>NA</v>
      </c>
      <c r="AS36" s="72">
        <f ca="1">IFERROR(_xll.SNL.Clients.Office.Excel.Functions.SPG($L36, $AS$3, AS$2,$AS$4)/1000,0)</f>
        <v>0</v>
      </c>
      <c r="AT36" s="72">
        <f ca="1">IFERROR(_xll.SNL.Clients.Office.Excel.Functions.SPG($L36, $AS$3, AT$2,$AS$4)/1000,0)</f>
        <v>0</v>
      </c>
      <c r="AU36" s="72">
        <f ca="1">IFERROR(_xll.SNL.Clients.Office.Excel.Functions.SPG($L36, $AV$3, AU$2,$AS$4)/1000,0)</f>
        <v>0</v>
      </c>
      <c r="AV36" s="72">
        <f ca="1">IFERROR(_xll.SNL.Clients.Office.Excel.Functions.SPG($L36, $AV$3, AV$2,$AS$4)/1000,0)</f>
        <v>0</v>
      </c>
      <c r="AW36" s="72">
        <f ca="1">IFERROR(_xll.SNL.Clients.Office.Excel.Functions.SPG($L36, $AV$3, AW$2,$AS$4)/1000,0)</f>
        <v>0</v>
      </c>
      <c r="AX36" s="72">
        <f ca="1">IFERROR(_xll.SNL.Clients.Office.Excel.Functions.SPG($L36, $AX$3, AX$2,$AS$4)/1000,0)</f>
        <v>0</v>
      </c>
      <c r="AY36" s="72">
        <f ca="1">IFERROR(_xll.SNL.Clients.Office.Excel.Functions.SPG($L36, $AX$3, AY$2,$AS$4)/1000,0)</f>
        <v>0</v>
      </c>
      <c r="AZ36" s="72">
        <f ca="1">IFERROR(_xll.SNL.Clients.Office.Excel.Functions.SPG($L36, $BA$3, AZ$2,$AS$4)/1000,0)</f>
        <v>0</v>
      </c>
      <c r="BA36" s="72">
        <f ca="1">IFERROR(_xll.SNL.Clients.Office.Excel.Functions.SPG($L36, $BA$3, BA$2,$AS$4)/1000,0)</f>
        <v>0</v>
      </c>
      <c r="BB36" s="72">
        <f ca="1">IFERROR(_xll.SNL.Clients.Office.Excel.Functions.SPG($L36, $BA$3, BB$2,$AS$4)/1000,0)</f>
        <v>0</v>
      </c>
      <c r="BC36" s="72">
        <f ca="1">IFERROR(_xll.SNL.Clients.Office.Excel.Functions.SPG($L36, $BC$3, BC$2,$AS$4)/1000,0)</f>
        <v>0</v>
      </c>
      <c r="BD36" s="72">
        <f ca="1">IFERROR(_xll.SNL.Clients.Office.Excel.Functions.SPG($L36, $BC$3, BD$2,$AS$4)/1000,0)</f>
        <v>0</v>
      </c>
      <c r="BE36" s="72">
        <f ca="1">IFERROR(_xll.SNL.Clients.Office.Excel.Functions.SPG($L36, $BF$3, BE$2,$AS$4)/1000,0)</f>
        <v>0</v>
      </c>
      <c r="BF36" s="72">
        <f ca="1">IFERROR(_xll.SNL.Clients.Office.Excel.Functions.SPG($L36, $BF$3, BF$2,$AS$4)/1000,0)</f>
        <v>0</v>
      </c>
      <c r="BG36" s="72">
        <f ca="1">IFERROR(_xll.SNL.Clients.Office.Excel.Functions.SPG($L36, $BF$3, BG$2,$AS$4)/1000,0)</f>
        <v>0</v>
      </c>
      <c r="BH36" s="72">
        <f t="shared" ref="BH36:BH58" ca="1" si="166">AS36+AT36*agprice/auprice+AU36*cuprice/auprice+AV36*znprice/auprice+AW36*pbprice/auprice</f>
        <v>0</v>
      </c>
      <c r="BI36" s="72">
        <f t="shared" ref="BI36:BI58" ca="1" si="167">AX36+AY36*agprice/auprice+AZ36*cuprice/auprice+BA36*znprice/auprice+BB36*pbprice/auprice+BH36</f>
        <v>0</v>
      </c>
      <c r="BJ36" s="72">
        <f t="shared" ref="BJ36:BJ58" ca="1" si="168">BC36+BD36*agprice/auprice+BE36*cuprice/auprice+BF36*znprice/auprice+BG36*pbprice/auprice+BH36</f>
        <v>0</v>
      </c>
      <c r="BK36" s="77" t="str">
        <f t="shared" ca="1" si="114"/>
        <v>NA</v>
      </c>
      <c r="BL36" s="72" t="str">
        <f t="shared" ca="1" si="114"/>
        <v>NA</v>
      </c>
      <c r="BM36" s="78" t="str">
        <f t="shared" ca="1" si="114"/>
        <v>NA</v>
      </c>
      <c r="BN36" s="72" t="e">
        <f ca="1">_xll.SNL.Clients.Office.Excel.Functions.SPG($L36, $BN$3, BN$2, "Au", "Options:Curr=USD")</f>
        <v>#NAME?</v>
      </c>
      <c r="BO36" s="72" t="e">
        <f ca="1">_xll.SNL.Clients.Office.Excel.Functions.SPG($L36, $BN$3, BO$2, "Au", "Options:Curr=USD")</f>
        <v>#NAME?</v>
      </c>
      <c r="BP36" s="72" t="e">
        <f ca="1">_xll.SNL.Clients.Office.Excel.Functions.SPG($L36, $BN$3, BP$2, "Au", "Options:Curr=USD")</f>
        <v>#NAME?</v>
      </c>
      <c r="BQ36" s="78" t="e">
        <f ca="1">_xll.SNL.Clients.Office.Excel.Functions.SPG($L36, $BN$3, BQ$2, "Au", "Options:Curr=USD")</f>
        <v>#NAME?</v>
      </c>
      <c r="BR36" s="72" t="str">
        <f ca="1">IFERROR(AVERAGE(_xll.SNL.Clients.Office.Excel.Functions.SPG($L36,$BR$4,"Au",BR$2, "Options:Curr=USD"),_xll.SNL.Clients.Office.Excel.Functions.SPG($L36,$BR$3,"Au",BR$2, "Options:Curr=USD")),"NA")</f>
        <v>NA</v>
      </c>
      <c r="BS36" s="72" t="str">
        <f ca="1">IFERROR(AVERAGE(_xll.SNL.Clients.Office.Excel.Functions.SPG($L36,$BR$4,"Au",BS$2, "Options:Curr=USD"),_xll.SNL.Clients.Office.Excel.Functions.SPG($L36,$BR$3,"Au",BS$2, "Options:Curr=USD")),"NA")</f>
        <v>NA</v>
      </c>
      <c r="BT36" s="78" t="str">
        <f ca="1">IFERROR(AVERAGE(_xll.SNL.Clients.Office.Excel.Functions.SPG($L36,$BR$4,"Au",BT$2, "Options:Curr=USD"),_xll.SNL.Clients.Office.Excel.Functions.SPG($L36,$BR$3,"Au",BT$2, "Options:Curr=USD")),"NA")</f>
        <v>NA</v>
      </c>
      <c r="BV36" s="36" t="s">
        <v>88</v>
      </c>
      <c r="BW36" s="36"/>
      <c r="BX36" s="36" t="s">
        <v>195</v>
      </c>
      <c r="BY36" s="36"/>
    </row>
    <row r="37" spans="1:77" ht="13.8" x14ac:dyDescent="0.25">
      <c r="A37" s="56" t="e">
        <f ca="1">_xll.SNL.Clients.Office.Excel.Functions.SPG($L37, A$3)</f>
        <v>#NAME?</v>
      </c>
      <c r="B37" s="56" t="e">
        <f ca="1">_xll.BDP($K37,B$3)</f>
        <v>#NAME?</v>
      </c>
      <c r="C37" s="56" t="e">
        <f ca="1">_xll.BDP($K37,C$3)</f>
        <v>#NAME?</v>
      </c>
      <c r="D37" s="56" t="e">
        <f ca="1">_xll.BDP($K37,D$3)</f>
        <v>#NAME?</v>
      </c>
      <c r="E37" s="57" t="s">
        <v>94</v>
      </c>
      <c r="F37" s="57" t="s">
        <v>83</v>
      </c>
      <c r="G37" s="57" t="s">
        <v>84</v>
      </c>
      <c r="H37" s="111" t="e">
        <f ca="1">_xll.SNL.Clients.Office.Excel.Functions.SPG($L37, "IQ_TEV", "Options: Curr=USD")</f>
        <v>#NAME?</v>
      </c>
      <c r="I37" s="111" t="e">
        <f ca="1">_xll.SNL.Clients.Office.Excel.Functions.SPG($L37, "SP_MARKETCAP", "Options: Curr=USD")</f>
        <v>#NAME?</v>
      </c>
      <c r="J37" s="59" t="s">
        <v>196</v>
      </c>
      <c r="K37" s="3" t="s">
        <v>197</v>
      </c>
      <c r="L37" s="3" t="s">
        <v>198</v>
      </c>
      <c r="M37" s="60" t="e" cm="1">
        <f t="array" aca="1" ref="M37" ca="1">_xll.SNL.Clients.Office.Excel.Functions.SPG($L37, $M$3)/100</f>
        <v>#NAME?</v>
      </c>
      <c r="N37" s="61" t="e" cm="1">
        <f t="array" aca="1" ref="N37" ca="1">_xll.SNL.Clients.Office.Excel.Functions.SPG($L37, "SP_PCFPS_FWD",N$2)</f>
        <v>#NAME?</v>
      </c>
      <c r="O37" s="62" t="e" cm="1">
        <f t="array" aca="1" ref="O37" ca="1">_xll.SNL.Clients.Office.Excel.Functions.SPG($L37, "SP_PCFPS_FWD",O$2)</f>
        <v>#NAME?</v>
      </c>
      <c r="P37" s="63" t="e" cm="1">
        <f t="array" aca="1" ref="P37" ca="1">_xll.SNL.Clients.Office.Excel.Functions.SPG($L37, "SP_PCFPS_FWD",P$2)</f>
        <v>#NAME?</v>
      </c>
      <c r="Q37" s="64" t="e">
        <f ca="1">_xll.SNL.Clients.Office.Excel.Functions.SPG($L37, "SP_FCF_EST",Q$2, "Options: Curr=USD")/1000/$I37</f>
        <v>#NAME?</v>
      </c>
      <c r="R37" s="64" t="e">
        <f ca="1">_xll.SNL.Clients.Office.Excel.Functions.SPG($L37, "SP_FCF_EST",R$2, "Options: Curr=USD")/1000/$I37</f>
        <v>#NAME?</v>
      </c>
      <c r="S37" s="64" t="e">
        <f ca="1">_xll.SNL.Clients.Office.Excel.Functions.SPG($L37, "SP_FCF_EST",S$2, "Options: Curr=USD")/1000/$I37</f>
        <v>#NAME?</v>
      </c>
      <c r="T37" s="61" t="e" cm="1">
        <f t="array" aca="1" ref="T37" ca="1">_xll.SNL.Clients.Office.Excel.Functions.SPG($L37, "SP_PE_FWD",T$2)</f>
        <v>#NAME?</v>
      </c>
      <c r="U37" s="63" t="e" cm="1">
        <f t="array" aca="1" ref="U37" ca="1">_xll.SNL.Clients.Office.Excel.Functions.SPG($L37, "SP_PE_FWD",U$2)</f>
        <v>#NAME?</v>
      </c>
      <c r="V37" s="86" t="e" cm="1">
        <f t="array" aca="1" ref="V37" ca="1">_xll.SNL.Clients.Office.Excel.Functions.SPG($L37, $V$3,V$2)</f>
        <v>#NAME?</v>
      </c>
      <c r="W37" s="87" t="e" cm="1">
        <f t="array" aca="1" ref="W37" ca="1">_xll.SNL.Clients.Office.Excel.Functions.SPG($L37, $V$3,W$2)</f>
        <v>#NAME?</v>
      </c>
      <c r="X37" s="88" t="e" cm="1">
        <f t="array" aca="1" ref="X37" ca="1">_xll.SNL.Clients.Office.Excel.Functions.SPG($L37, $V$3,X$2)</f>
        <v>#NAME?</v>
      </c>
      <c r="Y37" s="69" t="e" cm="1">
        <f t="array" aca="1" ref="Y37" ca="1">IF((_xll.SNL.Clients.Office.Excel.Functions.SPG($L37,Y$3,Y$4,"Options: Curr=USD") / _xll.SNL.Clients.Office.Excel.Functions.SPG($L37,"SP_EBITDA_EST",Y$2,"Options: Curr=USD")) &lt; 0, "NM", (_xll.SNL.Clients.Office.Excel.Functions.SPG($L37,Y$3,Y$4,"Options: Curr=USD") / _xll.SNL.Clients.Office.Excel.Functions.SPG($L37,"SP_EBITDA_EST",Y$2,"Options: Curr=USD")))</f>
        <v>#NAME?</v>
      </c>
      <c r="Z37" s="70" t="e" cm="1">
        <f t="array" aca="1" ref="Z37" ca="1">_xll.SNL.Clients.Office.Excel.Functions.SPG($L37, Z$3,Z$4)</f>
        <v>#NAME?</v>
      </c>
      <c r="AA37" s="77" t="str">
        <f ca="1">IFERROR(0.001*AVERAGE(_xll.SNL.Clients.Office.Excel.Functions.SPG($L37,$AA$4,"Au",AA$2),_xll.SNL.Clients.Office.Excel.Functions.SPG($L37,$AA$3,"Au",AA$2)),"NA")</f>
        <v>NA</v>
      </c>
      <c r="AB37" s="72" t="str">
        <f ca="1">IFERROR(0.001*AVERAGE(_xll.SNL.Clients.Office.Excel.Functions.SPG($L37,$AA$4,"Au",AB$2),_xll.SNL.Clients.Office.Excel.Functions.SPG($L37,$AA$3,"Au",AB$2)),"NA")</f>
        <v>NA</v>
      </c>
      <c r="AC37" s="78" t="str">
        <f ca="1">IFERROR(0.001*AVERAGE(_xll.SNL.Clients.Office.Excel.Functions.SPG($L37,$AA$4,"Au",AC$2),_xll.SNL.Clients.Office.Excel.Functions.SPG($L37,$AA$3,"Au",AC$2)),"NA")</f>
        <v>NA</v>
      </c>
      <c r="AD37" s="72" t="e">
        <f ca="1" xml:space="preserve"> IF(ISNUMBER(SEARCH("na",_xll.SNL.Clients.Office.Excel.Functions.SPG($L37, $AD$4, AD$2))), 0,_xll.SNL.Clients.Office.Excel.Functions.SPG($L37, $AD$4, AD$2))</f>
        <v>#NAME?</v>
      </c>
      <c r="AE37" s="72" t="e">
        <f ca="1" xml:space="preserve"> IF(ISNUMBER(SEARCH("na",_xll.SNL.Clients.Office.Excel.Functions.SPG($L37, $AD$4, AE$2))), 0,_xll.SNL.Clients.Office.Excel.Functions.SPG($L37, $AD$4, AE$2))</f>
        <v>#NAME?</v>
      </c>
      <c r="AF37" s="72" t="e">
        <f ca="1" xml:space="preserve"> IF(ISNUMBER(SEARCH("na",_xll.SNL.Clients.Office.Excel.Functions.SPG($L37, $AD$4, AF$2))), 0,_xll.SNL.Clients.Office.Excel.Functions.SPG($L37, $AD$4, AF$2))</f>
        <v>#NAME?</v>
      </c>
      <c r="AG37" s="72" t="e">
        <f ca="1" xml:space="preserve"> IF(ISNUMBER(SEARCH("na",_xll.SNL.Clients.Office.Excel.Functions.SPG($L37, $AG$4, AG$2))), 0,_xll.SNL.Clients.Office.Excel.Functions.SPG($L37, $AG$4, AG$2))</f>
        <v>#NAME?</v>
      </c>
      <c r="AH37" s="72" t="e">
        <f ca="1" xml:space="preserve"> IF(ISNUMBER(SEARCH("na",_xll.SNL.Clients.Office.Excel.Functions.SPG($L37, $AG$4, AH$2))), 0,_xll.SNL.Clients.Office.Excel.Functions.SPG($L37, $AG$4, AH$2))</f>
        <v>#NAME?</v>
      </c>
      <c r="AI37" s="72" t="e">
        <f ca="1" xml:space="preserve"> IF(ISNUMBER(SEARCH("na",_xll.SNL.Clients.Office.Excel.Functions.SPG($L37, $AG$4, AI$2))), 0,_xll.SNL.Clients.Office.Excel.Functions.SPG($L37, $AG$4, AI$2))</f>
        <v>#NAME?</v>
      </c>
      <c r="AJ37" s="72" t="e">
        <f ca="1" xml:space="preserve"> IF(ISNUMBER(SEARCH("na",_xll.SNL.Clients.Office.Excel.Functions.SPG($L37, $AJ$4, AJ$2))), 0,_xll.SNL.Clients.Office.Excel.Functions.SPG($L37, $AJ$4, AJ$2))</f>
        <v>#NAME?</v>
      </c>
      <c r="AK37" s="72" t="e">
        <f ca="1" xml:space="preserve"> IF(ISNUMBER(SEARCH("na",_xll.SNL.Clients.Office.Excel.Functions.SPG($L37, $AJ$4, AK$2))), 0,_xll.SNL.Clients.Office.Excel.Functions.SPG($L37, $AJ$4, AK$2))</f>
        <v>#NAME?</v>
      </c>
      <c r="AL37" s="72" t="e">
        <f ca="1" xml:space="preserve"> IF(ISNUMBER(SEARCH("na",_xll.SNL.Clients.Office.Excel.Functions.SPG($L37, $AJ$4, AL$2))), 0,_xll.SNL.Clients.Office.Excel.Functions.SPG($L37, $AJ$4, AL$2))</f>
        <v>#NAME?</v>
      </c>
      <c r="AM37" s="72" t="e">
        <f t="shared" ref="AM37:AM59" ca="1" si="169">AD37+AG37*agprice/auprice+AJ37*cuprice/auprice</f>
        <v>#NAME?</v>
      </c>
      <c r="AN37" s="72" t="e">
        <f t="shared" ref="AN37:AN59" ca="1" si="170">AE37+AH37*agprice/auprice+AK37*cuprice/auprice</f>
        <v>#NAME?</v>
      </c>
      <c r="AO37" s="72" t="e">
        <f t="shared" ref="AO37:AO59" ca="1" si="171">AF37+AI37*agprice/auprice+AL37*cuprice/auprice</f>
        <v>#NAME?</v>
      </c>
      <c r="AP37" s="91" t="str">
        <f t="shared" ca="1" si="104"/>
        <v>NA</v>
      </c>
      <c r="AQ37" s="92" t="str">
        <f t="shared" ca="1" si="104"/>
        <v>NA</v>
      </c>
      <c r="AR37" s="93" t="str">
        <f t="shared" ca="1" si="43"/>
        <v>NA</v>
      </c>
      <c r="AS37" s="72">
        <f ca="1">IFERROR(_xll.SNL.Clients.Office.Excel.Functions.SPG($L37, $AS$3, AS$2,$AS$4)/1000,0)</f>
        <v>0</v>
      </c>
      <c r="AT37" s="72">
        <f ca="1">IFERROR(_xll.SNL.Clients.Office.Excel.Functions.SPG($L37, $AS$3, AT$2,$AS$4)/1000,0)</f>
        <v>0</v>
      </c>
      <c r="AU37" s="72">
        <f ca="1">IFERROR(_xll.SNL.Clients.Office.Excel.Functions.SPG($L37, $AV$3, AU$2,$AS$4)/1000,0)</f>
        <v>0</v>
      </c>
      <c r="AV37" s="72">
        <f ca="1">IFERROR(_xll.SNL.Clients.Office.Excel.Functions.SPG($L37, $AV$3, AV$2,$AS$4)/1000,0)</f>
        <v>0</v>
      </c>
      <c r="AW37" s="72">
        <f ca="1">IFERROR(_xll.SNL.Clients.Office.Excel.Functions.SPG($L37, $AV$3, AW$2,$AS$4)/1000,0)</f>
        <v>0</v>
      </c>
      <c r="AX37" s="72">
        <f ca="1">IFERROR(_xll.SNL.Clients.Office.Excel.Functions.SPG($L37, $AX$3, AX$2,$AS$4)/1000,0)</f>
        <v>0</v>
      </c>
      <c r="AY37" s="72">
        <f ca="1">IFERROR(_xll.SNL.Clients.Office.Excel.Functions.SPG($L37, $AX$3, AY$2,$AS$4)/1000,0)</f>
        <v>0</v>
      </c>
      <c r="AZ37" s="72">
        <f ca="1">IFERROR(_xll.SNL.Clients.Office.Excel.Functions.SPG($L37, $BA$3, AZ$2,$AS$4)/1000,0)</f>
        <v>0</v>
      </c>
      <c r="BA37" s="72">
        <f ca="1">IFERROR(_xll.SNL.Clients.Office.Excel.Functions.SPG($L37, $BA$3, BA$2,$AS$4)/1000,0)</f>
        <v>0</v>
      </c>
      <c r="BB37" s="72">
        <f ca="1">IFERROR(_xll.SNL.Clients.Office.Excel.Functions.SPG($L37, $BA$3, BB$2,$AS$4)/1000,0)</f>
        <v>0</v>
      </c>
      <c r="BC37" s="72">
        <f ca="1">IFERROR(_xll.SNL.Clients.Office.Excel.Functions.SPG($L37, $BC$3, BC$2,$AS$4)/1000,0)</f>
        <v>0</v>
      </c>
      <c r="BD37" s="72">
        <f ca="1">IFERROR(_xll.SNL.Clients.Office.Excel.Functions.SPG($L37, $BC$3, BD$2,$AS$4)/1000,0)</f>
        <v>0</v>
      </c>
      <c r="BE37" s="72">
        <f ca="1">IFERROR(_xll.SNL.Clients.Office.Excel.Functions.SPG($L37, $BF$3, BE$2,$AS$4)/1000,0)</f>
        <v>0</v>
      </c>
      <c r="BF37" s="72">
        <f ca="1">IFERROR(_xll.SNL.Clients.Office.Excel.Functions.SPG($L37, $BF$3, BF$2,$AS$4)/1000,0)</f>
        <v>0</v>
      </c>
      <c r="BG37" s="72">
        <f ca="1">IFERROR(_xll.SNL.Clients.Office.Excel.Functions.SPG($L37, $BF$3, BG$2,$AS$4)/1000,0)</f>
        <v>0</v>
      </c>
      <c r="BH37" s="72">
        <f t="shared" ref="BH37:BH59" ca="1" si="172">AS37+AT37*agprice/auprice+AU37*cuprice/auprice+AV37*znprice/auprice+AW37*pbprice/auprice</f>
        <v>0</v>
      </c>
      <c r="BI37" s="72">
        <f t="shared" ref="BI37:BI59" ca="1" si="173">AX37+AY37*agprice/auprice+AZ37*cuprice/auprice+BA37*znprice/auprice+BB37*pbprice/auprice+BH37</f>
        <v>0</v>
      </c>
      <c r="BJ37" s="72">
        <f t="shared" ref="BJ37:BJ59" ca="1" si="174">BC37+BD37*agprice/auprice+BE37*cuprice/auprice+BF37*znprice/auprice+BG37*pbprice/auprice+BH37</f>
        <v>0</v>
      </c>
      <c r="BK37" s="77" t="str">
        <f t="shared" ca="1" si="114"/>
        <v>NA</v>
      </c>
      <c r="BL37" s="72" t="str">
        <f t="shared" ca="1" si="114"/>
        <v>NA</v>
      </c>
      <c r="BM37" s="78" t="str">
        <f t="shared" ca="1" si="114"/>
        <v>NA</v>
      </c>
      <c r="BN37" s="72" t="e">
        <f ca="1">_xll.SNL.Clients.Office.Excel.Functions.SPG($L37, $BN$3, BN$2, "Au", "Options:Curr=USD")</f>
        <v>#NAME?</v>
      </c>
      <c r="BO37" s="72" t="e">
        <f ca="1">_xll.SNL.Clients.Office.Excel.Functions.SPG($L37, $BN$3, BO$2, "Au", "Options:Curr=USD")</f>
        <v>#NAME?</v>
      </c>
      <c r="BP37" s="72" t="e">
        <f ca="1">_xll.SNL.Clients.Office.Excel.Functions.SPG($L37, $BN$3, BP$2, "Au", "Options:Curr=USD")</f>
        <v>#NAME?</v>
      </c>
      <c r="BQ37" s="90" t="e">
        <f ca="1">_xll.SNL.Clients.Office.Excel.Functions.SPG($L37, $BN$3, BQ$2, "Au", "Options:Curr=USD")</f>
        <v>#NAME?</v>
      </c>
      <c r="BR37" s="72" t="str">
        <f ca="1">IFERROR(AVERAGE(_xll.SNL.Clients.Office.Excel.Functions.SPG($L37,$BR$4,"Au",BR$2, "Options:Curr=USD"),_xll.SNL.Clients.Office.Excel.Functions.SPG($L37,$BR$3,"Au",BR$2, "Options:Curr=USD")),"NA")</f>
        <v>NA</v>
      </c>
      <c r="BS37" s="72" t="str">
        <f ca="1">IFERROR(AVERAGE(_xll.SNL.Clients.Office.Excel.Functions.SPG($L37,$BR$4,"Au",BS$2, "Options:Curr=USD"),_xll.SNL.Clients.Office.Excel.Functions.SPG($L37,$BR$3,"Au",BS$2, "Options:Curr=USD")),"NA")</f>
        <v>NA</v>
      </c>
      <c r="BT37" s="90" t="str">
        <f ca="1">IFERROR(AVERAGE(_xll.SNL.Clients.Office.Excel.Functions.SPG($L37,$BR$4,"Au",BT$2, "Options:Curr=USD"),_xll.SNL.Clients.Office.Excel.Functions.SPG($L37,$BR$3,"Au",BT$2, "Options:Curr=USD")),"NA")</f>
        <v>NA</v>
      </c>
      <c r="BV37" s="36" t="s">
        <v>88</v>
      </c>
      <c r="BW37" s="36" t="s">
        <v>122</v>
      </c>
      <c r="BX37" s="36" t="s">
        <v>89</v>
      </c>
      <c r="BY37" s="36"/>
    </row>
    <row r="38" spans="1:77" x14ac:dyDescent="0.25">
      <c r="E38" s="94"/>
      <c r="F38" s="94"/>
      <c r="G38" s="94"/>
      <c r="J38" s="113"/>
      <c r="K38" s="95"/>
      <c r="L38" s="95" t="s">
        <v>116</v>
      </c>
      <c r="M38" s="96" t="e">
        <f t="shared" ref="M38:X38" ca="1" si="175">AVERAGE(M15:M37)</f>
        <v>#NAME?</v>
      </c>
      <c r="N38" s="97" t="e">
        <f t="shared" ca="1" si="175"/>
        <v>#NAME?</v>
      </c>
      <c r="O38" s="98" t="e">
        <f t="shared" ca="1" si="175"/>
        <v>#NAME?</v>
      </c>
      <c r="P38" s="98" t="e">
        <f t="shared" ca="1" si="175"/>
        <v>#NAME?</v>
      </c>
      <c r="Q38" s="100" t="e">
        <f t="shared" ca="1" si="175"/>
        <v>#NAME?</v>
      </c>
      <c r="R38" s="100" t="e">
        <f t="shared" ca="1" si="175"/>
        <v>#NAME?</v>
      </c>
      <c r="S38" s="100" t="e">
        <f t="shared" ca="1" si="175"/>
        <v>#NAME?</v>
      </c>
      <c r="T38" s="97" t="e">
        <f t="shared" ca="1" si="175"/>
        <v>#NAME?</v>
      </c>
      <c r="U38" s="98" t="e">
        <f t="shared" ca="1" si="175"/>
        <v>#NAME?</v>
      </c>
      <c r="V38" s="98" t="e">
        <f t="shared" ca="1" si="175"/>
        <v>#NAME?</v>
      </c>
      <c r="W38" s="98" t="e">
        <f t="shared" ca="1" si="175"/>
        <v>#NAME?</v>
      </c>
      <c r="X38" s="98" t="e">
        <f t="shared" ca="1" si="175"/>
        <v>#NAME?</v>
      </c>
      <c r="Y38" s="98"/>
      <c r="Z38" s="98"/>
      <c r="AA38" s="102" t="e">
        <f ca="1">AVERAGE(AA15:AA37)</f>
        <v>#DIV/0!</v>
      </c>
      <c r="AB38" s="101" t="e">
        <f ca="1">AVERAGE(AB15:AB37)</f>
        <v>#DIV/0!</v>
      </c>
      <c r="AC38" s="105" t="e">
        <f ca="1">AVERAGE(AC15:AC37)</f>
        <v>#DIV/0!</v>
      </c>
      <c r="AD38" s="114"/>
      <c r="AE38" s="114"/>
      <c r="AF38" s="114"/>
      <c r="AG38" s="114"/>
      <c r="AH38" s="114"/>
      <c r="AI38" s="114"/>
      <c r="AJ38" s="114"/>
      <c r="AK38" s="114"/>
      <c r="AL38" s="114"/>
      <c r="AM38" s="101" t="e">
        <f t="shared" ref="AM38:AR38" ca="1" si="176">AVERAGE(AM15:AM37)</f>
        <v>#NAME?</v>
      </c>
      <c r="AN38" s="101" t="e">
        <f t="shared" ca="1" si="176"/>
        <v>#NAME?</v>
      </c>
      <c r="AO38" s="101" t="e">
        <f t="shared" ca="1" si="176"/>
        <v>#NAME?</v>
      </c>
      <c r="AP38" s="104" t="e">
        <f t="shared" ca="1" si="176"/>
        <v>#DIV/0!</v>
      </c>
      <c r="AQ38" s="104" t="e">
        <f t="shared" ca="1" si="176"/>
        <v>#DIV/0!</v>
      </c>
      <c r="AR38" s="103" t="e">
        <f t="shared" ca="1" si="176"/>
        <v>#DIV/0!</v>
      </c>
      <c r="AS38" s="104"/>
      <c r="AT38" s="104"/>
      <c r="AU38" s="104"/>
      <c r="AV38" s="104"/>
      <c r="AW38" s="104"/>
      <c r="AX38" s="104"/>
      <c r="AY38" s="104"/>
      <c r="AZ38" s="104"/>
      <c r="BA38" s="104"/>
      <c r="BK38" s="102" t="e">
        <f t="shared" ref="BK38:BT38" ca="1" si="177">AVERAGE(BK15:BK37)</f>
        <v>#DIV/0!</v>
      </c>
      <c r="BL38" s="101" t="e">
        <f t="shared" ca="1" si="177"/>
        <v>#DIV/0!</v>
      </c>
      <c r="BM38" s="103" t="e">
        <f t="shared" ca="1" si="177"/>
        <v>#DIV/0!</v>
      </c>
      <c r="BN38" s="101" t="e">
        <f t="shared" ca="1" si="177"/>
        <v>#NAME?</v>
      </c>
      <c r="BO38" s="101" t="e">
        <f t="shared" ca="1" si="177"/>
        <v>#NAME?</v>
      </c>
      <c r="BP38" s="101" t="e">
        <f t="shared" ca="1" si="177"/>
        <v>#NAME?</v>
      </c>
      <c r="BQ38" s="105" t="e">
        <f t="shared" ca="1" si="177"/>
        <v>#NAME?</v>
      </c>
      <c r="BR38" s="101" t="e">
        <f t="shared" ca="1" si="177"/>
        <v>#DIV/0!</v>
      </c>
      <c r="BS38" s="101" t="e">
        <f t="shared" ca="1" si="177"/>
        <v>#DIV/0!</v>
      </c>
      <c r="BT38" s="105" t="e">
        <f t="shared" ca="1" si="177"/>
        <v>#DIV/0!</v>
      </c>
      <c r="BV38" s="36" t="s">
        <v>72</v>
      </c>
      <c r="BW38" s="36"/>
      <c r="BX38" s="36"/>
      <c r="BY38" s="36"/>
    </row>
    <row r="39" spans="1:77" ht="16.8" x14ac:dyDescent="0.25">
      <c r="E39" s="94"/>
      <c r="F39" s="94"/>
      <c r="G39" s="94"/>
      <c r="J39" s="115" t="s">
        <v>199</v>
      </c>
      <c r="K39" s="50"/>
      <c r="L39" s="51"/>
      <c r="M39" s="116"/>
      <c r="N39" s="109"/>
      <c r="O39" s="109"/>
      <c r="P39" s="109"/>
      <c r="Q39" s="109"/>
      <c r="R39" s="109"/>
      <c r="S39" s="54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M39" s="109"/>
      <c r="AN39" s="109"/>
      <c r="AO39" s="109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3"/>
      <c r="BL39" s="54"/>
      <c r="BM39" s="55"/>
      <c r="BN39" s="109"/>
      <c r="BO39" s="109"/>
      <c r="BP39" s="109"/>
      <c r="BQ39" s="109"/>
      <c r="BR39" s="109"/>
      <c r="BS39" s="109"/>
      <c r="BT39" s="117"/>
      <c r="BV39" s="36" t="s">
        <v>72</v>
      </c>
      <c r="BW39" s="36"/>
      <c r="BX39" s="36"/>
      <c r="BY39" s="36"/>
    </row>
    <row r="40" spans="1:77" ht="13.8" x14ac:dyDescent="0.25">
      <c r="A40" s="56" t="e">
        <f ca="1">_xll.SNL.Clients.Office.Excel.Functions.SPG($L40, A$3)</f>
        <v>#NAME?</v>
      </c>
      <c r="B40" s="56" t="e">
        <f ca="1">_xll.BDP($K40,B$3)</f>
        <v>#NAME?</v>
      </c>
      <c r="C40" s="56" t="e">
        <f ca="1">_xll.BDP($K40,C$3)</f>
        <v>#NAME?</v>
      </c>
      <c r="D40" s="56" t="e">
        <f ca="1">_xll.BDP($K40,D$3)</f>
        <v>#NAME?</v>
      </c>
      <c r="E40" s="57" t="s">
        <v>94</v>
      </c>
      <c r="F40" s="57" t="s">
        <v>83</v>
      </c>
      <c r="G40" s="57" t="s">
        <v>84</v>
      </c>
      <c r="H40" s="58" t="e">
        <f ca="1">_xll.SNL.Clients.Office.Excel.Functions.SPG($L40, "IQ_TEV", "Options: Curr=USD")</f>
        <v>#NAME?</v>
      </c>
      <c r="I40" s="58" t="e">
        <f ca="1">_xll.SNL.Clients.Office.Excel.Functions.SPG($L40, "SP_MARKETCAP", "Options: Curr=USD")</f>
        <v>#NAME?</v>
      </c>
      <c r="J40" s="59" t="s">
        <v>200</v>
      </c>
      <c r="K40" s="3" t="s">
        <v>201</v>
      </c>
      <c r="L40" s="3" t="s">
        <v>202</v>
      </c>
      <c r="M40" s="60" t="str" cm="1">
        <f t="array" aca="1" ref="M40" ca="1">IFERROR(_xll.SNL.Clients.Office.Excel.Functions.SPG($L40, $M$3)/100,"NA")</f>
        <v>NA</v>
      </c>
      <c r="N40" s="61" t="e" cm="1">
        <f t="array" aca="1" ref="N40" ca="1">_xll.SNL.Clients.Office.Excel.Functions.SPG($L40, "SP_PCFPS_FWD",N$2)</f>
        <v>#NAME?</v>
      </c>
      <c r="O40" s="62" t="e" cm="1">
        <f t="array" aca="1" ref="O40" ca="1">_xll.SNL.Clients.Office.Excel.Functions.SPG($L40, "SP_PCFPS_FWD",O$2)</f>
        <v>#NAME?</v>
      </c>
      <c r="P40" s="63" t="e" cm="1">
        <f t="array" aca="1" ref="P40" ca="1">_xll.SNL.Clients.Office.Excel.Functions.SPG($L40, "SP_PCFPS_FWD",P$2)</f>
        <v>#NAME?</v>
      </c>
      <c r="Q40" s="64" t="str">
        <f ca="1">IFERROR(_xll.SNL.Clients.Office.Excel.Functions.SPG($L40, "SP_FCF_EST",Q$2, "Options: Curr=USD")/1000/I40,"NA")</f>
        <v>NA</v>
      </c>
      <c r="R40" s="64" t="str">
        <f ca="1">IFERROR(_xll.SNL.Clients.Office.Excel.Functions.SPG($L40, "SP_FCF_EST",R$2, "Options: Curr=USD")/1000/I40,"NA")</f>
        <v>NA</v>
      </c>
      <c r="S40" s="64" t="e">
        <f ca="1">_xll.SNL.Clients.Office.Excel.Functions.SPG($L40, "SP_FCF_EST",S$2, "Options: Curr=USD")/1000/$I40</f>
        <v>#NAME?</v>
      </c>
      <c r="T40" s="61" t="e" cm="1">
        <f t="array" aca="1" ref="T40" ca="1">_xll.SNL.Clients.Office.Excel.Functions.SPG($L40, "SP_PE_FWD",T$2)</f>
        <v>#NAME?</v>
      </c>
      <c r="U40" s="63" t="e" cm="1">
        <f t="array" aca="1" ref="U40" ca="1">_xll.SNL.Clients.Office.Excel.Functions.SPG($L40, "SP_PE_FWD",U$2)</f>
        <v>#NAME?</v>
      </c>
      <c r="V40" s="66" t="e" cm="1">
        <f t="array" aca="1" ref="V40" ca="1">_xll.SNL.Clients.Office.Excel.Functions.SPG($L40, $V$3,V$2)</f>
        <v>#NAME?</v>
      </c>
      <c r="W40" s="67" t="e" cm="1">
        <f t="array" aca="1" ref="W40" ca="1">_xll.SNL.Clients.Office.Excel.Functions.SPG($L40, $V$3,W$2)</f>
        <v>#NAME?</v>
      </c>
      <c r="X40" s="68" t="e" cm="1">
        <f t="array" aca="1" ref="X40" ca="1">_xll.SNL.Clients.Office.Excel.Functions.SPG($L40, $V$3,X$2)</f>
        <v>#NAME?</v>
      </c>
      <c r="Y40" s="69" t="e" cm="1">
        <f t="array" aca="1" ref="Y40" ca="1">IF((_xll.SNL.Clients.Office.Excel.Functions.SPG($L40,Y$3,Y$4,"Options: Curr=USD") / _xll.SNL.Clients.Office.Excel.Functions.SPG($L40,"SP_EBITDA_EST",Y$2,"Options: Curr=USD")) &lt; 0, "NM", (_xll.SNL.Clients.Office.Excel.Functions.SPG($L40,Y$3,Y$4,"Options: Curr=USD") / _xll.SNL.Clients.Office.Excel.Functions.SPG($L40,"SP_EBITDA_EST",Y$2,"Options: Curr=USD")))</f>
        <v>#NAME?</v>
      </c>
      <c r="Z40" s="70" t="e" cm="1">
        <f t="array" aca="1" ref="Z40" ca="1">_xll.SNL.Clients.Office.Excel.Functions.SPG($L40, Z$3,Z$4)</f>
        <v>#NAME?</v>
      </c>
      <c r="AA40" s="77" t="str">
        <f ca="1">IFERROR(0.001*AVERAGE(_xll.SNL.Clients.Office.Excel.Functions.SPG($L40,$AA$4,"Au",AA$2),_xll.SNL.Clients.Office.Excel.Functions.SPG($L40,$AA$3,"Au",AA$2)),"NA")</f>
        <v>NA</v>
      </c>
      <c r="AB40" s="72" t="str">
        <f ca="1">IFERROR(0.001*AVERAGE(_xll.SNL.Clients.Office.Excel.Functions.SPG($L40,$AA$4,"Au",AB$2),_xll.SNL.Clients.Office.Excel.Functions.SPG($L40,$AA$3,"Au",AB$2)),"NA")</f>
        <v>NA</v>
      </c>
      <c r="AC40" s="78" t="str">
        <f ca="1">IFERROR(0.001*AVERAGE(_xll.SNL.Clients.Office.Excel.Functions.SPG($L40,$AA$4,"Au",AC$2),_xll.SNL.Clients.Office.Excel.Functions.SPG($L40,$AA$3,"Au",AC$2)),"NA")</f>
        <v>NA</v>
      </c>
      <c r="AD40" s="72" t="e">
        <f ca="1" xml:space="preserve"> IF(ISNUMBER(SEARCH("na",_xll.SNL.Clients.Office.Excel.Functions.SPG($L40, $AD$4, AD$2))), 0,_xll.SNL.Clients.Office.Excel.Functions.SPG($L40, $AD$4, AD$2))</f>
        <v>#NAME?</v>
      </c>
      <c r="AE40" s="72" t="e">
        <f ca="1" xml:space="preserve"> IF(ISNUMBER(SEARCH("na",_xll.SNL.Clients.Office.Excel.Functions.SPG($L40, $AD$4, AE$2))), 0,_xll.SNL.Clients.Office.Excel.Functions.SPG($L40, $AD$4, AE$2))</f>
        <v>#NAME?</v>
      </c>
      <c r="AF40" s="72" t="e">
        <f ca="1" xml:space="preserve"> IF(ISNUMBER(SEARCH("na",_xll.SNL.Clients.Office.Excel.Functions.SPG($L40, $AD$4, AF$2))), 0,_xll.SNL.Clients.Office.Excel.Functions.SPG($L40, $AD$4, AF$2))</f>
        <v>#NAME?</v>
      </c>
      <c r="AG40" s="72" t="e">
        <f ca="1" xml:space="preserve"> IF(ISNUMBER(SEARCH("na",_xll.SNL.Clients.Office.Excel.Functions.SPG($L40, $AG$4, AG$2))), 0,_xll.SNL.Clients.Office.Excel.Functions.SPG($L40, $AG$4, AG$2))</f>
        <v>#NAME?</v>
      </c>
      <c r="AH40" s="72" t="e">
        <f ca="1" xml:space="preserve"> IF(ISNUMBER(SEARCH("na",_xll.SNL.Clients.Office.Excel.Functions.SPG($L40, $AG$4, AH$2))), 0,_xll.SNL.Clients.Office.Excel.Functions.SPG($L40, $AG$4, AH$2))</f>
        <v>#NAME?</v>
      </c>
      <c r="AI40" s="72" t="e">
        <f ca="1" xml:space="preserve"> IF(ISNUMBER(SEARCH("na",_xll.SNL.Clients.Office.Excel.Functions.SPG($L40, $AG$4, AI$2))), 0,_xll.SNL.Clients.Office.Excel.Functions.SPG($L40, $AG$4, AI$2))</f>
        <v>#NAME?</v>
      </c>
      <c r="AJ40" s="72" t="e">
        <f ca="1" xml:space="preserve"> IF(ISNUMBER(SEARCH("na",_xll.SNL.Clients.Office.Excel.Functions.SPG($L40, $AJ$4, AJ$2))), 0,_xll.SNL.Clients.Office.Excel.Functions.SPG($L40, $AJ$4, AJ$2))</f>
        <v>#NAME?</v>
      </c>
      <c r="AK40" s="72" t="e">
        <f ca="1" xml:space="preserve"> IF(ISNUMBER(SEARCH("na",_xll.SNL.Clients.Office.Excel.Functions.SPG($L40, $AJ$4, AK$2))), 0,_xll.SNL.Clients.Office.Excel.Functions.SPG($L40, $AJ$4, AK$2))</f>
        <v>#NAME?</v>
      </c>
      <c r="AL40" s="72" t="e">
        <f ca="1" xml:space="preserve"> IF(ISNUMBER(SEARCH("na",_xll.SNL.Clients.Office.Excel.Functions.SPG($L40, $AJ$4, AL$2))), 0,_xll.SNL.Clients.Office.Excel.Functions.SPG($L40, $AJ$4, AL$2))</f>
        <v>#NAME?</v>
      </c>
      <c r="AM40" s="72" t="e">
        <f t="shared" ref="AM40:AM64" ca="1" si="178">AD40+AG40*agprice/auprice+AJ40*cuprice/auprice</f>
        <v>#NAME?</v>
      </c>
      <c r="AN40" s="72" t="e">
        <f t="shared" ref="AN40:AN64" ca="1" si="179">AE40+AH40*agprice/auprice+AK40*cuprice/auprice</f>
        <v>#NAME?</v>
      </c>
      <c r="AO40" s="72" t="e">
        <f t="shared" ref="AO40:AO64" ca="1" si="180">AF40+AI40*agprice/auprice+AL40*cuprice/auprice</f>
        <v>#NAME?</v>
      </c>
      <c r="AP40" s="83" t="str">
        <f t="shared" ref="AP40:AR64" ca="1" si="181">IFERROR($H40/AM40*1000,"NA")</f>
        <v>NA</v>
      </c>
      <c r="AQ40" s="84" t="str">
        <f t="shared" ca="1" si="181"/>
        <v>NA</v>
      </c>
      <c r="AR40" s="85" t="str">
        <f t="shared" ca="1" si="181"/>
        <v>NA</v>
      </c>
      <c r="AS40" s="72">
        <f ca="1">IFERROR(_xll.SNL.Clients.Office.Excel.Functions.SPG($L40, $AS$3, AS$2,$AS$4)/1000,0)</f>
        <v>0</v>
      </c>
      <c r="AT40" s="72">
        <f ca="1">IFERROR(_xll.SNL.Clients.Office.Excel.Functions.SPG($L40, $AS$3, AT$2,$AS$4)/1000,0)</f>
        <v>0</v>
      </c>
      <c r="AU40" s="72">
        <f ca="1">IFERROR(_xll.SNL.Clients.Office.Excel.Functions.SPG($L40, $AV$3, AU$2,$AS$4)/1000,0)</f>
        <v>0</v>
      </c>
      <c r="AV40" s="72">
        <f ca="1">IFERROR(_xll.SNL.Clients.Office.Excel.Functions.SPG($L40, $AV$3, AV$2,$AS$4)/1000,0)</f>
        <v>0</v>
      </c>
      <c r="AW40" s="72">
        <f ca="1">IFERROR(_xll.SNL.Clients.Office.Excel.Functions.SPG($L40, $AV$3, AW$2,$AS$4)/1000,0)</f>
        <v>0</v>
      </c>
      <c r="AX40" s="72">
        <f ca="1">IFERROR(_xll.SNL.Clients.Office.Excel.Functions.SPG($L40, $AX$3, AX$2,$AS$4)/1000,0)</f>
        <v>0</v>
      </c>
      <c r="AY40" s="72">
        <f ca="1">IFERROR(_xll.SNL.Clients.Office.Excel.Functions.SPG($L40, $AX$3, AY$2,$AS$4)/1000,0)</f>
        <v>0</v>
      </c>
      <c r="AZ40" s="72">
        <f ca="1">IFERROR(_xll.SNL.Clients.Office.Excel.Functions.SPG($L40, $BA$3, AZ$2,$AS$4)/1000,0)</f>
        <v>0</v>
      </c>
      <c r="BA40" s="72">
        <f ca="1">IFERROR(_xll.SNL.Clients.Office.Excel.Functions.SPG($L40, $BA$3, BA$2,$AS$4)/1000,0)</f>
        <v>0</v>
      </c>
      <c r="BB40" s="72">
        <f ca="1">IFERROR(_xll.SNL.Clients.Office.Excel.Functions.SPG($L40, $BA$3, BB$2,$AS$4)/1000,0)</f>
        <v>0</v>
      </c>
      <c r="BC40" s="72">
        <f ca="1">IFERROR(_xll.SNL.Clients.Office.Excel.Functions.SPG($L40, $BC$3, BC$2,$AS$4)/1000,0)</f>
        <v>0</v>
      </c>
      <c r="BD40" s="72">
        <f ca="1">IFERROR(_xll.SNL.Clients.Office.Excel.Functions.SPG($L40, $BC$3, BD$2,$AS$4)/1000,0)</f>
        <v>0</v>
      </c>
      <c r="BE40" s="72">
        <f ca="1">IFERROR(_xll.SNL.Clients.Office.Excel.Functions.SPG($L40, $BF$3, BE$2,$AS$4)/1000,0)</f>
        <v>0</v>
      </c>
      <c r="BF40" s="72">
        <f ca="1">IFERROR(_xll.SNL.Clients.Office.Excel.Functions.SPG($L40, $BF$3, BF$2,$AS$4)/1000,0)</f>
        <v>0</v>
      </c>
      <c r="BG40" s="72">
        <f ca="1">IFERROR(_xll.SNL.Clients.Office.Excel.Functions.SPG($L40, $BF$3, BG$2,$AS$4)/1000,0)</f>
        <v>0</v>
      </c>
      <c r="BH40" s="72">
        <f t="shared" ref="BH40:BH64" ca="1" si="182">AS40+AT40*agprice/auprice+AU40*cuprice/auprice+AV40*znprice/auprice+AW40*pbprice/auprice</f>
        <v>0</v>
      </c>
      <c r="BI40" s="72">
        <f t="shared" ref="BI40:BI64" ca="1" si="183">AX40+AY40*agprice/auprice+AZ40*cuprice/auprice+BA40*znprice/auprice+BB40*pbprice/auprice+BH40</f>
        <v>0</v>
      </c>
      <c r="BJ40" s="72">
        <f t="shared" ref="BJ40:BJ64" ca="1" si="184">BC40+BD40*agprice/auprice+BE40*cuprice/auprice+BF40*znprice/auprice+BG40*pbprice/auprice+BH40</f>
        <v>0</v>
      </c>
      <c r="BK40" s="77" t="e">
        <f t="shared" ref="BK40:BM65" ca="1" si="185">$H40*1000/BH40</f>
        <v>#NAME?</v>
      </c>
      <c r="BL40" s="72" t="e">
        <f t="shared" ca="1" si="185"/>
        <v>#NAME?</v>
      </c>
      <c r="BM40" s="78" t="e">
        <f t="shared" ca="1" si="185"/>
        <v>#NAME?</v>
      </c>
      <c r="BN40" s="72" t="e">
        <f ca="1">_xll.SNL.Clients.Office.Excel.Functions.SPG($L40, $BN$3, BN$2, "Au", "Options:Curr=USD")</f>
        <v>#NAME?</v>
      </c>
      <c r="BO40" s="72" t="e">
        <f ca="1">_xll.SNL.Clients.Office.Excel.Functions.SPG($L40, $BN$3, BO$2, "Au", "Options:Curr=USD")</f>
        <v>#NAME?</v>
      </c>
      <c r="BP40" s="72" t="e">
        <f ca="1">_xll.SNL.Clients.Office.Excel.Functions.SPG($L40, $BN$3, BP$2, "Au", "Options:Curr=USD")</f>
        <v>#NAME?</v>
      </c>
      <c r="BQ40" s="78" t="e">
        <f ca="1">_xll.SNL.Clients.Office.Excel.Functions.SPG($L40, $BN$3, BQ$2, "Au", "Options:Curr=USD")</f>
        <v>#NAME?</v>
      </c>
      <c r="BR40" s="72" t="str">
        <f ca="1">IFERROR(AVERAGE(_xll.SNL.Clients.Office.Excel.Functions.SPG($L40,$BR$4,"Au",BR$2, "Options:Curr=USD"),_xll.SNL.Clients.Office.Excel.Functions.SPG($L40,$BR$3,"Au",BR$2, "Options:Curr=USD")),"NA")</f>
        <v>NA</v>
      </c>
      <c r="BS40" s="72" t="str">
        <f ca="1">IFERROR(AVERAGE(_xll.SNL.Clients.Office.Excel.Functions.SPG($L40,$BR$4,"Au",BS$2, "Options:Curr=USD"),_xll.SNL.Clients.Office.Excel.Functions.SPG($L40,$BR$3,"Au",BS$2, "Options:Curr=USD")),"NA")</f>
        <v>NA</v>
      </c>
      <c r="BT40" s="78" t="str">
        <f ca="1">IFERROR(AVERAGE(_xll.SNL.Clients.Office.Excel.Functions.SPG($L40,$BR$4,"Au",BT$2, "Options:Curr=USD"),_xll.SNL.Clients.Office.Excel.Functions.SPG($L40,$BR$3,"Au",BT$2, "Options:Curr=USD")),"NA")</f>
        <v>NA</v>
      </c>
      <c r="BV40" s="36" t="s">
        <v>88</v>
      </c>
      <c r="BW40" s="36"/>
      <c r="BX40" s="36" t="s">
        <v>89</v>
      </c>
      <c r="BY40" s="36"/>
    </row>
    <row r="41" spans="1:77" ht="13.8" x14ac:dyDescent="0.25">
      <c r="A41" s="56" t="e">
        <f ca="1">_xll.SNL.Clients.Office.Excel.Functions.SPG($L41, A$3)</f>
        <v>#NAME?</v>
      </c>
      <c r="B41" s="56" t="e">
        <f ca="1">_xll.BDP($K41,B$3)</f>
        <v>#NAME?</v>
      </c>
      <c r="C41" s="56" t="e">
        <f ca="1">_xll.BDP($K41,C$3)</f>
        <v>#NAME?</v>
      </c>
      <c r="D41" s="56" t="e">
        <f ca="1">_xll.BDP($K41,D$3)</f>
        <v>#NAME?</v>
      </c>
      <c r="E41" s="57" t="s">
        <v>203</v>
      </c>
      <c r="F41" s="57" t="s">
        <v>83</v>
      </c>
      <c r="G41" s="57" t="s">
        <v>84</v>
      </c>
      <c r="H41" s="58" t="e">
        <f ca="1">_xll.SNL.Clients.Office.Excel.Functions.SPG($L41, "IQ_TEV", "Options: Curr=USD")</f>
        <v>#NAME?</v>
      </c>
      <c r="I41" s="58" t="e">
        <f ca="1">_xll.SNL.Clients.Office.Excel.Functions.SPG($L41, "SP_MARKETCAP", "Options: Curr=USD")</f>
        <v>#NAME?</v>
      </c>
      <c r="J41" s="59" t="s">
        <v>204</v>
      </c>
      <c r="K41" s="3" t="s">
        <v>205</v>
      </c>
      <c r="L41" s="3" t="s">
        <v>206</v>
      </c>
      <c r="M41" s="60" t="str" cm="1">
        <f t="array" aca="1" ref="M41" ca="1">IFERROR(_xll.SNL.Clients.Office.Excel.Functions.SPG($L41, $M$3)/100,"NA")</f>
        <v>NA</v>
      </c>
      <c r="N41" s="61" t="e" cm="1">
        <f t="array" aca="1" ref="N41" ca="1">_xll.SNL.Clients.Office.Excel.Functions.SPG($L41, "SP_PCFPS_FWD",N$2)</f>
        <v>#NAME?</v>
      </c>
      <c r="O41" s="62" t="e" cm="1">
        <f t="array" aca="1" ref="O41" ca="1">_xll.SNL.Clients.Office.Excel.Functions.SPG($L41, "SP_PCFPS_FWD",O$2)</f>
        <v>#NAME?</v>
      </c>
      <c r="P41" s="63" t="e" cm="1">
        <f t="array" aca="1" ref="P41" ca="1">_xll.SNL.Clients.Office.Excel.Functions.SPG($L41, "SP_PCFPS_FWD",P$2)</f>
        <v>#NAME?</v>
      </c>
      <c r="Q41" s="64" t="str">
        <f ca="1">IFERROR(_xll.SNL.Clients.Office.Excel.Functions.SPG($L41, "SP_FCF_EST",Q$2, "Options: Curr=USD")/1000/I41,"NA")</f>
        <v>NA</v>
      </c>
      <c r="R41" s="64" t="str">
        <f ca="1">IFERROR(_xll.SNL.Clients.Office.Excel.Functions.SPG($L41, "SP_FCF_EST",R$2, "Options: Curr=USD")/1000/I41,"NA")</f>
        <v>NA</v>
      </c>
      <c r="S41" s="64" t="e">
        <f ca="1">_xll.SNL.Clients.Office.Excel.Functions.SPG($L41, "SP_FCF_EST",S$2, "Options: Curr=USD")/1000/$I41</f>
        <v>#NAME?</v>
      </c>
      <c r="T41" s="61" t="e" cm="1">
        <f t="array" aca="1" ref="T41" ca="1">_xll.SNL.Clients.Office.Excel.Functions.SPG($L41, "SP_PE_FWD",T$2)</f>
        <v>#NAME?</v>
      </c>
      <c r="U41" s="63" t="e" cm="1">
        <f t="array" aca="1" ref="U41" ca="1">_xll.SNL.Clients.Office.Excel.Functions.SPG($L41, "SP_PE_FWD",U$2)</f>
        <v>#NAME?</v>
      </c>
      <c r="V41" s="80" t="e" cm="1">
        <f t="array" aca="1" ref="V41" ca="1">_xll.SNL.Clients.Office.Excel.Functions.SPG($L41, $V$3,V$2)</f>
        <v>#NAME?</v>
      </c>
      <c r="W41" s="81" t="e" cm="1">
        <f t="array" aca="1" ref="W41" ca="1">_xll.SNL.Clients.Office.Excel.Functions.SPG($L41, $V$3,W$2)</f>
        <v>#NAME?</v>
      </c>
      <c r="X41" s="82" t="e" cm="1">
        <f t="array" aca="1" ref="X41" ca="1">_xll.SNL.Clients.Office.Excel.Functions.SPG($L41, $V$3,X$2)</f>
        <v>#NAME?</v>
      </c>
      <c r="Y41" s="69" t="e" cm="1">
        <f t="array" aca="1" ref="Y41" ca="1">IF((_xll.SNL.Clients.Office.Excel.Functions.SPG($L41,Y$3,Y$4,"Options: Curr=USD") / _xll.SNL.Clients.Office.Excel.Functions.SPG($L41,"SP_EBITDA_EST",Y$2,"Options: Curr=USD")) &lt; 0, "NM", (_xll.SNL.Clients.Office.Excel.Functions.SPG($L41,Y$3,Y$4,"Options: Curr=USD") / _xll.SNL.Clients.Office.Excel.Functions.SPG($L41,"SP_EBITDA_EST",Y$2,"Options: Curr=USD")))</f>
        <v>#NAME?</v>
      </c>
      <c r="Z41" s="70" t="e" cm="1">
        <f t="array" aca="1" ref="Z41" ca="1">_xll.SNL.Clients.Office.Excel.Functions.SPG($L41, Z$3,Z$4)</f>
        <v>#NAME?</v>
      </c>
      <c r="AA41" s="77" t="str">
        <f ca="1">IFERROR(0.001*AVERAGE(_xll.SNL.Clients.Office.Excel.Functions.SPG($L41,$AA$4,"Au",AA$2),_xll.SNL.Clients.Office.Excel.Functions.SPG($L41,$AA$3,"Au",AA$2)),"NA")</f>
        <v>NA</v>
      </c>
      <c r="AB41" s="72" t="str">
        <f ca="1">IFERROR(0.001*AVERAGE(_xll.SNL.Clients.Office.Excel.Functions.SPG($L41,$AA$4,"Au",AB$2),_xll.SNL.Clients.Office.Excel.Functions.SPG($L41,$AA$3,"Au",AB$2)),"NA")</f>
        <v>NA</v>
      </c>
      <c r="AC41" s="78" t="str">
        <f ca="1">IFERROR(0.001*AVERAGE(_xll.SNL.Clients.Office.Excel.Functions.SPG($L41,$AA$4,"Au",AC$2),_xll.SNL.Clients.Office.Excel.Functions.SPG($L41,$AA$3,"Au",AC$2)),"NA")</f>
        <v>NA</v>
      </c>
      <c r="AD41" s="72" t="e">
        <f ca="1" xml:space="preserve"> IF(ISNUMBER(SEARCH("na",_xll.SNL.Clients.Office.Excel.Functions.SPG($L41, $AD$4, AD$2))), 0,_xll.SNL.Clients.Office.Excel.Functions.SPG($L41, $AD$4, AD$2))</f>
        <v>#NAME?</v>
      </c>
      <c r="AE41" s="72" t="e">
        <f ca="1" xml:space="preserve"> IF(ISNUMBER(SEARCH("na",_xll.SNL.Clients.Office.Excel.Functions.SPG($L41, $AD$4, AE$2))), 0,_xll.SNL.Clients.Office.Excel.Functions.SPG($L41, $AD$4, AE$2))</f>
        <v>#NAME?</v>
      </c>
      <c r="AF41" s="72" t="e">
        <f ca="1" xml:space="preserve"> IF(ISNUMBER(SEARCH("na",_xll.SNL.Clients.Office.Excel.Functions.SPG($L41, $AD$4, AF$2))), 0,_xll.SNL.Clients.Office.Excel.Functions.SPG($L41, $AD$4, AF$2))</f>
        <v>#NAME?</v>
      </c>
      <c r="AG41" s="72" t="e">
        <f ca="1" xml:space="preserve"> IF(ISNUMBER(SEARCH("na",_xll.SNL.Clients.Office.Excel.Functions.SPG($L41, $AG$4, AG$2))), 0,_xll.SNL.Clients.Office.Excel.Functions.SPG($L41, $AG$4, AG$2))</f>
        <v>#NAME?</v>
      </c>
      <c r="AH41" s="72" t="e">
        <f ca="1" xml:space="preserve"> IF(ISNUMBER(SEARCH("na",_xll.SNL.Clients.Office.Excel.Functions.SPG($L41, $AG$4, AH$2))), 0,_xll.SNL.Clients.Office.Excel.Functions.SPG($L41, $AG$4, AH$2))</f>
        <v>#NAME?</v>
      </c>
      <c r="AI41" s="72" t="e">
        <f ca="1" xml:space="preserve"> IF(ISNUMBER(SEARCH("na",_xll.SNL.Clients.Office.Excel.Functions.SPG($L41, $AG$4, AI$2))), 0,_xll.SNL.Clients.Office.Excel.Functions.SPG($L41, $AG$4, AI$2))</f>
        <v>#NAME?</v>
      </c>
      <c r="AJ41" s="72" t="e">
        <f ca="1" xml:space="preserve"> IF(ISNUMBER(SEARCH("na",_xll.SNL.Clients.Office.Excel.Functions.SPG($L41, $AJ$4, AJ$2))), 0,_xll.SNL.Clients.Office.Excel.Functions.SPG($L41, $AJ$4, AJ$2))</f>
        <v>#NAME?</v>
      </c>
      <c r="AK41" s="72" t="e">
        <f ca="1" xml:space="preserve"> IF(ISNUMBER(SEARCH("na",_xll.SNL.Clients.Office.Excel.Functions.SPG($L41, $AJ$4, AK$2))), 0,_xll.SNL.Clients.Office.Excel.Functions.SPG($L41, $AJ$4, AK$2))</f>
        <v>#NAME?</v>
      </c>
      <c r="AL41" s="72" t="e">
        <f ca="1" xml:space="preserve"> IF(ISNUMBER(SEARCH("na",_xll.SNL.Clients.Office.Excel.Functions.SPG($L41, $AJ$4, AL$2))), 0,_xll.SNL.Clients.Office.Excel.Functions.SPG($L41, $AJ$4, AL$2))</f>
        <v>#NAME?</v>
      </c>
      <c r="AM41" s="72" t="e">
        <f t="shared" ref="AM41:AM65" ca="1" si="186">AD41+AG41*agprice/auprice+AJ41*cuprice/auprice</f>
        <v>#NAME?</v>
      </c>
      <c r="AN41" s="72" t="e">
        <f t="shared" ref="AN41:AN65" ca="1" si="187">AE41+AH41*agprice/auprice+AK41*cuprice/auprice</f>
        <v>#NAME?</v>
      </c>
      <c r="AO41" s="72" t="e">
        <f t="shared" ref="AO41:AO65" ca="1" si="188">AF41+AI41*agprice/auprice+AL41*cuprice/auprice</f>
        <v>#NAME?</v>
      </c>
      <c r="AP41" s="83" t="str">
        <f t="shared" ca="1" si="181"/>
        <v>NA</v>
      </c>
      <c r="AQ41" s="84" t="str">
        <f t="shared" ca="1" si="181"/>
        <v>NA</v>
      </c>
      <c r="AR41" s="85" t="str">
        <f t="shared" ca="1" si="181"/>
        <v>NA</v>
      </c>
      <c r="AS41" s="72">
        <f ca="1">IFERROR(_xll.SNL.Clients.Office.Excel.Functions.SPG($L41, $AS$3, AS$2,$AS$4)/1000,0)</f>
        <v>0</v>
      </c>
      <c r="AT41" s="72">
        <f ca="1">IFERROR(_xll.SNL.Clients.Office.Excel.Functions.SPG($L41, $AS$3, AT$2,$AS$4)/1000,0)</f>
        <v>0</v>
      </c>
      <c r="AU41" s="72">
        <f ca="1">IFERROR(_xll.SNL.Clients.Office.Excel.Functions.SPG($L41, $AV$3, AU$2,$AS$4)/1000,0)</f>
        <v>0</v>
      </c>
      <c r="AV41" s="72">
        <f ca="1">IFERROR(_xll.SNL.Clients.Office.Excel.Functions.SPG($L41, $AV$3, AV$2,$AS$4)/1000,0)</f>
        <v>0</v>
      </c>
      <c r="AW41" s="72">
        <f ca="1">IFERROR(_xll.SNL.Clients.Office.Excel.Functions.SPG($L41, $AV$3, AW$2,$AS$4)/1000,0)</f>
        <v>0</v>
      </c>
      <c r="AX41" s="72">
        <f ca="1">IFERROR(_xll.SNL.Clients.Office.Excel.Functions.SPG($L41, $AX$3, AX$2,$AS$4)/1000,0)</f>
        <v>0</v>
      </c>
      <c r="AY41" s="72">
        <f ca="1">IFERROR(_xll.SNL.Clients.Office.Excel.Functions.SPG($L41, $AX$3, AY$2,$AS$4)/1000,0)</f>
        <v>0</v>
      </c>
      <c r="AZ41" s="72">
        <f ca="1">IFERROR(_xll.SNL.Clients.Office.Excel.Functions.SPG($L41, $BA$3, AZ$2,$AS$4)/1000,0)</f>
        <v>0</v>
      </c>
      <c r="BA41" s="72">
        <f ca="1">IFERROR(_xll.SNL.Clients.Office.Excel.Functions.SPG($L41, $BA$3, BA$2,$AS$4)/1000,0)</f>
        <v>0</v>
      </c>
      <c r="BB41" s="72">
        <f ca="1">IFERROR(_xll.SNL.Clients.Office.Excel.Functions.SPG($L41, $BA$3, BB$2,$AS$4)/1000,0)</f>
        <v>0</v>
      </c>
      <c r="BC41" s="72">
        <f ca="1">IFERROR(_xll.SNL.Clients.Office.Excel.Functions.SPG($L41, $BC$3, BC$2,$AS$4)/1000,0)</f>
        <v>0</v>
      </c>
      <c r="BD41" s="72">
        <f ca="1">IFERROR(_xll.SNL.Clients.Office.Excel.Functions.SPG($L41, $BC$3, BD$2,$AS$4)/1000,0)</f>
        <v>0</v>
      </c>
      <c r="BE41" s="72">
        <f ca="1">IFERROR(_xll.SNL.Clients.Office.Excel.Functions.SPG($L41, $BF$3, BE$2,$AS$4)/1000,0)</f>
        <v>0</v>
      </c>
      <c r="BF41" s="72">
        <f ca="1">IFERROR(_xll.SNL.Clients.Office.Excel.Functions.SPG($L41, $BF$3, BF$2,$AS$4)/1000,0)</f>
        <v>0</v>
      </c>
      <c r="BG41" s="72">
        <f ca="1">IFERROR(_xll.SNL.Clients.Office.Excel.Functions.SPG($L41, $BF$3, BG$2,$AS$4)/1000,0)</f>
        <v>0</v>
      </c>
      <c r="BH41" s="72">
        <f t="shared" ref="BH41:BH65" ca="1" si="189">AS41+AT41*agprice/auprice+AU41*cuprice/auprice+AV41*znprice/auprice+AW41*pbprice/auprice</f>
        <v>0</v>
      </c>
      <c r="BI41" s="72">
        <f t="shared" ref="BI41:BI65" ca="1" si="190">AX41+AY41*agprice/auprice+AZ41*cuprice/auprice+BA41*znprice/auprice+BB41*pbprice/auprice+BH41</f>
        <v>0</v>
      </c>
      <c r="BJ41" s="72">
        <f t="shared" ref="BJ41:BJ65" ca="1" si="191">BC41+BD41*agprice/auprice+BE41*cuprice/auprice+BF41*znprice/auprice+BG41*pbprice/auprice+BH41</f>
        <v>0</v>
      </c>
      <c r="BK41" s="77" t="e">
        <f t="shared" ca="1" si="185"/>
        <v>#NAME?</v>
      </c>
      <c r="BL41" s="72" t="e">
        <f t="shared" ca="1" si="185"/>
        <v>#NAME?</v>
      </c>
      <c r="BM41" s="78" t="e">
        <f t="shared" ca="1" si="185"/>
        <v>#NAME?</v>
      </c>
      <c r="BN41" s="72" t="e">
        <f ca="1">_xll.SNL.Clients.Office.Excel.Functions.SPG($L41, $BN$3, BN$2, "Au", "Options:Curr=USD")</f>
        <v>#NAME?</v>
      </c>
      <c r="BO41" s="72" t="e">
        <f ca="1">_xll.SNL.Clients.Office.Excel.Functions.SPG($L41, $BN$3, BO$2, "Au", "Options:Curr=USD")</f>
        <v>#NAME?</v>
      </c>
      <c r="BP41" s="72" t="e">
        <f ca="1">_xll.SNL.Clients.Office.Excel.Functions.SPG($L41, $BN$3, BP$2, "Au", "Options:Curr=USD")</f>
        <v>#NAME?</v>
      </c>
      <c r="BQ41" s="78" t="e">
        <f ca="1">_xll.SNL.Clients.Office.Excel.Functions.SPG($L41, $BN$3, BQ$2, "Au", "Options:Curr=USD")</f>
        <v>#NAME?</v>
      </c>
      <c r="BR41" s="72" t="str">
        <f ca="1">IFERROR(AVERAGE(_xll.SNL.Clients.Office.Excel.Functions.SPG($L41,$BR$4,"Au",BR$2, "Options:Curr=USD"),_xll.SNL.Clients.Office.Excel.Functions.SPG($L41,$BR$3,"Au",BR$2, "Options:Curr=USD")),"NA")</f>
        <v>NA</v>
      </c>
      <c r="BS41" s="72" t="str">
        <f ca="1">IFERROR(AVERAGE(_xll.SNL.Clients.Office.Excel.Functions.SPG($L41,$BR$4,"Au",BS$2, "Options:Curr=USD"),_xll.SNL.Clients.Office.Excel.Functions.SPG($L41,$BR$3,"Au",BS$2, "Options:Curr=USD")),"NA")</f>
        <v>NA</v>
      </c>
      <c r="BT41" s="78" t="str">
        <f ca="1">IFERROR(AVERAGE(_xll.SNL.Clients.Office.Excel.Functions.SPG($L41,$BR$4,"Au",BT$2, "Options:Curr=USD"),_xll.SNL.Clients.Office.Excel.Functions.SPG($L41,$BR$3,"Au",BT$2, "Options:Curr=USD")),"NA")</f>
        <v>NA</v>
      </c>
      <c r="BV41" s="36" t="s">
        <v>88</v>
      </c>
      <c r="BW41" s="36"/>
      <c r="BX41" s="36" t="s">
        <v>195</v>
      </c>
      <c r="BY41" s="36"/>
    </row>
    <row r="42" spans="1:77" ht="13.8" x14ac:dyDescent="0.25">
      <c r="A42" s="56" t="e">
        <f ca="1">_xll.SNL.Clients.Office.Excel.Functions.SPG($L42, A$3)</f>
        <v>#NAME?</v>
      </c>
      <c r="B42" s="56" t="e">
        <f ca="1">_xll.BDP($K42,B$3)</f>
        <v>#NAME?</v>
      </c>
      <c r="C42" s="56" t="e">
        <f ca="1">_xll.BDP($K42,C$3)</f>
        <v>#NAME?</v>
      </c>
      <c r="D42" s="56" t="e">
        <f ca="1">_xll.BDP($K42,D$3)</f>
        <v>#NAME?</v>
      </c>
      <c r="E42" s="57" t="s">
        <v>207</v>
      </c>
      <c r="F42" s="57" t="s">
        <v>107</v>
      </c>
      <c r="G42" s="57" t="s">
        <v>84</v>
      </c>
      <c r="H42" s="58" t="e">
        <f ca="1">_xll.SNL.Clients.Office.Excel.Functions.SPG($L42, "IQ_TEV", "Options: Curr=USD")</f>
        <v>#NAME?</v>
      </c>
      <c r="I42" s="58" t="e">
        <f ca="1">_xll.SNL.Clients.Office.Excel.Functions.SPG($L42, "SP_MARKETCAP", "Options: Curr=USD")</f>
        <v>#NAME?</v>
      </c>
      <c r="J42" s="59" t="s">
        <v>208</v>
      </c>
      <c r="K42" s="3" t="s">
        <v>209</v>
      </c>
      <c r="L42" s="3" t="s">
        <v>210</v>
      </c>
      <c r="M42" s="60" t="str" cm="1">
        <f t="array" aca="1" ref="M42" ca="1">IFERROR(_xll.SNL.Clients.Office.Excel.Functions.SPG($L42, $M$3)/100,"NA")</f>
        <v>NA</v>
      </c>
      <c r="N42" s="61" t="e" cm="1">
        <f t="array" aca="1" ref="N42" ca="1">_xll.SNL.Clients.Office.Excel.Functions.SPG($L42, "SP_PCFPS_FWD",N$2)</f>
        <v>#NAME?</v>
      </c>
      <c r="O42" s="62" t="e" cm="1">
        <f t="array" aca="1" ref="O42" ca="1">_xll.SNL.Clients.Office.Excel.Functions.SPG($L42, "SP_PCFPS_FWD",O$2)</f>
        <v>#NAME?</v>
      </c>
      <c r="P42" s="63" t="e" cm="1">
        <f t="array" aca="1" ref="P42" ca="1">_xll.SNL.Clients.Office.Excel.Functions.SPG($L42, "SP_PCFPS_FWD",P$2)</f>
        <v>#NAME?</v>
      </c>
      <c r="Q42" s="64" t="str">
        <f ca="1">IFERROR(_xll.SNL.Clients.Office.Excel.Functions.SPG($L42, "SP_FCF_EST",Q$2, "Options: Curr=USD")/1000/I42,"NA")</f>
        <v>NA</v>
      </c>
      <c r="R42" s="64" t="str">
        <f ca="1">IFERROR(_xll.SNL.Clients.Office.Excel.Functions.SPG($L42, "SP_FCF_EST",R$2, "Options: Curr=USD")/1000/I42,"NA")</f>
        <v>NA</v>
      </c>
      <c r="S42" s="64" t="e">
        <f ca="1">_xll.SNL.Clients.Office.Excel.Functions.SPG($L42, "SP_FCF_EST",S$2, "Options: Curr=USD")/1000/$I42</f>
        <v>#NAME?</v>
      </c>
      <c r="T42" s="61" t="e" cm="1">
        <f t="array" aca="1" ref="T42" ca="1">_xll.SNL.Clients.Office.Excel.Functions.SPG($L42, "SP_PE_FWD",T$2)</f>
        <v>#NAME?</v>
      </c>
      <c r="U42" s="63" t="e" cm="1">
        <f t="array" aca="1" ref="U42" ca="1">_xll.SNL.Clients.Office.Excel.Functions.SPG($L42, "SP_PE_FWD",U$2)</f>
        <v>#NAME?</v>
      </c>
      <c r="V42" s="80" t="e" cm="1">
        <f t="array" aca="1" ref="V42" ca="1">_xll.SNL.Clients.Office.Excel.Functions.SPG($L42, $V$3,V$2)</f>
        <v>#NAME?</v>
      </c>
      <c r="W42" s="81" t="e" cm="1">
        <f t="array" aca="1" ref="W42" ca="1">_xll.SNL.Clients.Office.Excel.Functions.SPG($L42, $V$3,W$2)</f>
        <v>#NAME?</v>
      </c>
      <c r="X42" s="82" t="e" cm="1">
        <f t="array" aca="1" ref="X42" ca="1">_xll.SNL.Clients.Office.Excel.Functions.SPG($L42, $V$3,X$2)</f>
        <v>#NAME?</v>
      </c>
      <c r="Y42" s="69" t="e" cm="1">
        <f t="array" aca="1" ref="Y42" ca="1">IF((_xll.SNL.Clients.Office.Excel.Functions.SPG($L42,Y$3,Y$4,"Options: Curr=USD") / _xll.SNL.Clients.Office.Excel.Functions.SPG($L42,"SP_EBITDA_EST",Y$2,"Options: Curr=USD")) &lt; 0, "NM", (_xll.SNL.Clients.Office.Excel.Functions.SPG($L42,Y$3,Y$4,"Options: Curr=USD") / _xll.SNL.Clients.Office.Excel.Functions.SPG($L42,"SP_EBITDA_EST",Y$2,"Options: Curr=USD")))</f>
        <v>#NAME?</v>
      </c>
      <c r="Z42" s="70" t="e" cm="1">
        <f t="array" aca="1" ref="Z42" ca="1">_xll.SNL.Clients.Office.Excel.Functions.SPG($L42, Z$3,Z$4)</f>
        <v>#NAME?</v>
      </c>
      <c r="AA42" s="77" t="str">
        <f ca="1">IFERROR(0.001*AVERAGE(_xll.SNL.Clients.Office.Excel.Functions.SPG($L42,$AA$4,"Au",AA$2),_xll.SNL.Clients.Office.Excel.Functions.SPG($L42,$AA$3,"Au",AA$2)),"NA")</f>
        <v>NA</v>
      </c>
      <c r="AB42" s="72" t="str">
        <f ca="1">IFERROR(0.001*AVERAGE(_xll.SNL.Clients.Office.Excel.Functions.SPG($L42,$AA$4,"Au",AB$2),_xll.SNL.Clients.Office.Excel.Functions.SPG($L42,$AA$3,"Au",AB$2)),"NA")</f>
        <v>NA</v>
      </c>
      <c r="AC42" s="78" t="str">
        <f ca="1">IFERROR(0.001*AVERAGE(_xll.SNL.Clients.Office.Excel.Functions.SPG($L42,$AA$4,"Au",AC$2),_xll.SNL.Clients.Office.Excel.Functions.SPG($L42,$AA$3,"Au",AC$2)),"NA")</f>
        <v>NA</v>
      </c>
      <c r="AD42" s="72" t="e">
        <f ca="1" xml:space="preserve"> IF(ISNUMBER(SEARCH("na",_xll.SNL.Clients.Office.Excel.Functions.SPG($L42, $AD$4, AD$2))), 0,_xll.SNL.Clients.Office.Excel.Functions.SPG($L42, $AD$4, AD$2))</f>
        <v>#NAME?</v>
      </c>
      <c r="AE42" s="72" t="e">
        <f ca="1" xml:space="preserve"> IF(ISNUMBER(SEARCH("na",_xll.SNL.Clients.Office.Excel.Functions.SPG($L42, $AD$4, AE$2))), 0,_xll.SNL.Clients.Office.Excel.Functions.SPG($L42, $AD$4, AE$2))</f>
        <v>#NAME?</v>
      </c>
      <c r="AF42" s="72" t="e">
        <f ca="1" xml:space="preserve"> IF(ISNUMBER(SEARCH("na",_xll.SNL.Clients.Office.Excel.Functions.SPG($L42, $AD$4, AF$2))), 0,_xll.SNL.Clients.Office.Excel.Functions.SPG($L42, $AD$4, AF$2))</f>
        <v>#NAME?</v>
      </c>
      <c r="AG42" s="72" t="e">
        <f ca="1" xml:space="preserve"> IF(ISNUMBER(SEARCH("na",_xll.SNL.Clients.Office.Excel.Functions.SPG($L42, $AG$4, AG$2))), 0,_xll.SNL.Clients.Office.Excel.Functions.SPG($L42, $AG$4, AG$2))</f>
        <v>#NAME?</v>
      </c>
      <c r="AH42" s="72" t="e">
        <f ca="1" xml:space="preserve"> IF(ISNUMBER(SEARCH("na",_xll.SNL.Clients.Office.Excel.Functions.SPG($L42, $AG$4, AH$2))), 0,_xll.SNL.Clients.Office.Excel.Functions.SPG($L42, $AG$4, AH$2))</f>
        <v>#NAME?</v>
      </c>
      <c r="AI42" s="72" t="e">
        <f ca="1" xml:space="preserve"> IF(ISNUMBER(SEARCH("na",_xll.SNL.Clients.Office.Excel.Functions.SPG($L42, $AG$4, AI$2))), 0,_xll.SNL.Clients.Office.Excel.Functions.SPG($L42, $AG$4, AI$2))</f>
        <v>#NAME?</v>
      </c>
      <c r="AJ42" s="72" t="e">
        <f ca="1" xml:space="preserve"> IF(ISNUMBER(SEARCH("na",_xll.SNL.Clients.Office.Excel.Functions.SPG($L42, $AJ$4, AJ$2))), 0,_xll.SNL.Clients.Office.Excel.Functions.SPG($L42, $AJ$4, AJ$2))</f>
        <v>#NAME?</v>
      </c>
      <c r="AK42" s="72" t="e">
        <f ca="1" xml:space="preserve"> IF(ISNUMBER(SEARCH("na",_xll.SNL.Clients.Office.Excel.Functions.SPG($L42, $AJ$4, AK$2))), 0,_xll.SNL.Clients.Office.Excel.Functions.SPG($L42, $AJ$4, AK$2))</f>
        <v>#NAME?</v>
      </c>
      <c r="AL42" s="72" t="e">
        <f ca="1" xml:space="preserve"> IF(ISNUMBER(SEARCH("na",_xll.SNL.Clients.Office.Excel.Functions.SPG($L42, $AJ$4, AL$2))), 0,_xll.SNL.Clients.Office.Excel.Functions.SPG($L42, $AJ$4, AL$2))</f>
        <v>#NAME?</v>
      </c>
      <c r="AM42" s="72" t="e">
        <f t="shared" ref="AM42:AM66" ca="1" si="192">AD42+AG42*agprice/auprice+AJ42*cuprice/auprice</f>
        <v>#NAME?</v>
      </c>
      <c r="AN42" s="72" t="e">
        <f t="shared" ref="AN42:AN66" ca="1" si="193">AE42+AH42*agprice/auprice+AK42*cuprice/auprice</f>
        <v>#NAME?</v>
      </c>
      <c r="AO42" s="72" t="e">
        <f t="shared" ref="AO42:AO66" ca="1" si="194">AF42+AI42*agprice/auprice+AL42*cuprice/auprice</f>
        <v>#NAME?</v>
      </c>
      <c r="AP42" s="83" t="str">
        <f t="shared" ca="1" si="181"/>
        <v>NA</v>
      </c>
      <c r="AQ42" s="84" t="str">
        <f t="shared" ca="1" si="181"/>
        <v>NA</v>
      </c>
      <c r="AR42" s="85" t="str">
        <f t="shared" ca="1" si="181"/>
        <v>NA</v>
      </c>
      <c r="AS42" s="72">
        <f ca="1">IFERROR(_xll.SNL.Clients.Office.Excel.Functions.SPG($L42, $AS$3, AS$2,$AS$4)/1000,0)</f>
        <v>0</v>
      </c>
      <c r="AT42" s="72">
        <f ca="1">IFERROR(_xll.SNL.Clients.Office.Excel.Functions.SPG($L42, $AS$3, AT$2,$AS$4)/1000,0)</f>
        <v>0</v>
      </c>
      <c r="AU42" s="72">
        <f ca="1">IFERROR(_xll.SNL.Clients.Office.Excel.Functions.SPG($L42, $AV$3, AU$2,$AS$4)/1000,0)</f>
        <v>0</v>
      </c>
      <c r="AV42" s="72">
        <f ca="1">IFERROR(_xll.SNL.Clients.Office.Excel.Functions.SPG($L42, $AV$3, AV$2,$AS$4)/1000,0)</f>
        <v>0</v>
      </c>
      <c r="AW42" s="72">
        <f ca="1">IFERROR(_xll.SNL.Clients.Office.Excel.Functions.SPG($L42, $AV$3, AW$2,$AS$4)/1000,0)</f>
        <v>0</v>
      </c>
      <c r="AX42" s="72">
        <f ca="1">IFERROR(_xll.SNL.Clients.Office.Excel.Functions.SPG($L42, $AX$3, AX$2,$AS$4)/1000,0)</f>
        <v>0</v>
      </c>
      <c r="AY42" s="72">
        <f ca="1">IFERROR(_xll.SNL.Clients.Office.Excel.Functions.SPG($L42, $AX$3, AY$2,$AS$4)/1000,0)</f>
        <v>0</v>
      </c>
      <c r="AZ42" s="72">
        <f ca="1">IFERROR(_xll.SNL.Clients.Office.Excel.Functions.SPG($L42, $BA$3, AZ$2,$AS$4)/1000,0)</f>
        <v>0</v>
      </c>
      <c r="BA42" s="72">
        <f ca="1">IFERROR(_xll.SNL.Clients.Office.Excel.Functions.SPG($L42, $BA$3, BA$2,$AS$4)/1000,0)</f>
        <v>0</v>
      </c>
      <c r="BB42" s="72">
        <f ca="1">IFERROR(_xll.SNL.Clients.Office.Excel.Functions.SPG($L42, $BA$3, BB$2,$AS$4)/1000,0)</f>
        <v>0</v>
      </c>
      <c r="BC42" s="72">
        <f ca="1">IFERROR(_xll.SNL.Clients.Office.Excel.Functions.SPG($L42, $BC$3, BC$2,$AS$4)/1000,0)</f>
        <v>0</v>
      </c>
      <c r="BD42" s="72">
        <f ca="1">IFERROR(_xll.SNL.Clients.Office.Excel.Functions.SPG($L42, $BC$3, BD$2,$AS$4)/1000,0)</f>
        <v>0</v>
      </c>
      <c r="BE42" s="72">
        <f ca="1">IFERROR(_xll.SNL.Clients.Office.Excel.Functions.SPG($L42, $BF$3, BE$2,$AS$4)/1000,0)</f>
        <v>0</v>
      </c>
      <c r="BF42" s="72">
        <f ca="1">IFERROR(_xll.SNL.Clients.Office.Excel.Functions.SPG($L42, $BF$3, BF$2,$AS$4)/1000,0)</f>
        <v>0</v>
      </c>
      <c r="BG42" s="72">
        <f ca="1">IFERROR(_xll.SNL.Clients.Office.Excel.Functions.SPG($L42, $BF$3, BG$2,$AS$4)/1000,0)</f>
        <v>0</v>
      </c>
      <c r="BH42" s="72">
        <f t="shared" ref="BH42:BH66" ca="1" si="195">AS42+AT42*agprice/auprice+AU42*cuprice/auprice+AV42*znprice/auprice+AW42*pbprice/auprice</f>
        <v>0</v>
      </c>
      <c r="BI42" s="72">
        <f t="shared" ref="BI42:BI66" ca="1" si="196">AX42+AY42*agprice/auprice+AZ42*cuprice/auprice+BA42*znprice/auprice+BB42*pbprice/auprice+BH42</f>
        <v>0</v>
      </c>
      <c r="BJ42" s="72">
        <f t="shared" ref="BJ42:BJ66" ca="1" si="197">BC42+BD42*agprice/auprice+BE42*cuprice/auprice+BF42*znprice/auprice+BG42*pbprice/auprice+BH42</f>
        <v>0</v>
      </c>
      <c r="BK42" s="77" t="e">
        <f t="shared" ca="1" si="185"/>
        <v>#NAME?</v>
      </c>
      <c r="BL42" s="72" t="e">
        <f t="shared" ca="1" si="185"/>
        <v>#NAME?</v>
      </c>
      <c r="BM42" s="78" t="e">
        <f t="shared" ca="1" si="185"/>
        <v>#NAME?</v>
      </c>
      <c r="BN42" s="72" t="e">
        <f ca="1">_xll.SNL.Clients.Office.Excel.Functions.SPG($L42, $BN$3, BN$2, "Au", "Options:Curr=USD")</f>
        <v>#NAME?</v>
      </c>
      <c r="BO42" s="72" t="e">
        <f ca="1">_xll.SNL.Clients.Office.Excel.Functions.SPG($L42, $BN$3, BO$2, "Au", "Options:Curr=USD")</f>
        <v>#NAME?</v>
      </c>
      <c r="BP42" s="72" t="e">
        <f ca="1">_xll.SNL.Clients.Office.Excel.Functions.SPG($L42, $BN$3, BP$2, "Au", "Options:Curr=USD")</f>
        <v>#NAME?</v>
      </c>
      <c r="BQ42" s="78" t="e">
        <f ca="1">_xll.SNL.Clients.Office.Excel.Functions.SPG($L42, $BN$3, BQ$2, "Au", "Options:Curr=USD")</f>
        <v>#NAME?</v>
      </c>
      <c r="BR42" s="72" t="str">
        <f ca="1">IFERROR(AVERAGE(_xll.SNL.Clients.Office.Excel.Functions.SPG($L42,$BR$4,"Au",BR$2, "Options:Curr=USD"),_xll.SNL.Clients.Office.Excel.Functions.SPG($L42,$BR$3,"Au",BR$2, "Options:Curr=USD")),"NA")</f>
        <v>NA</v>
      </c>
      <c r="BS42" s="72" t="str">
        <f ca="1">IFERROR(AVERAGE(_xll.SNL.Clients.Office.Excel.Functions.SPG($L42,$BR$4,"Au",BS$2, "Options:Curr=USD"),_xll.SNL.Clients.Office.Excel.Functions.SPG($L42,$BR$3,"Au",BS$2, "Options:Curr=USD")),"NA")</f>
        <v>NA</v>
      </c>
      <c r="BT42" s="78" t="str">
        <f ca="1">IFERROR(AVERAGE(_xll.SNL.Clients.Office.Excel.Functions.SPG($L42,$BR$4,"Au",BT$2, "Options:Curr=USD"),_xll.SNL.Clients.Office.Excel.Functions.SPG($L42,$BR$3,"Au",BT$2, "Options:Curr=USD")),"NA")</f>
        <v>NA</v>
      </c>
      <c r="BV42" s="112" t="s">
        <v>169</v>
      </c>
      <c r="BW42" s="112"/>
      <c r="BX42" s="36" t="s">
        <v>195</v>
      </c>
      <c r="BY42" s="36"/>
    </row>
    <row r="43" spans="1:77" ht="13.8" x14ac:dyDescent="0.25">
      <c r="A43" s="56" t="e">
        <f ca="1">_xll.SNL.Clients.Office.Excel.Functions.SPG($L43, A$3)</f>
        <v>#NAME?</v>
      </c>
      <c r="B43" s="56" t="e">
        <f ca="1">_xll.BDP($K43,B$3)</f>
        <v>#NAME?</v>
      </c>
      <c r="C43" s="56" t="e">
        <f ca="1">_xll.BDP($K43,C$3)</f>
        <v>#NAME?</v>
      </c>
      <c r="D43" s="56" t="e">
        <f ca="1">_xll.BDP($K43,D$3)</f>
        <v>#NAME?</v>
      </c>
      <c r="E43" s="57" t="s">
        <v>211</v>
      </c>
      <c r="F43" s="57" t="s">
        <v>107</v>
      </c>
      <c r="G43" s="57" t="s">
        <v>84</v>
      </c>
      <c r="H43" s="58" t="e">
        <f ca="1">_xll.SNL.Clients.Office.Excel.Functions.SPG($L43, "IQ_TEV", "Options: Curr=USD")</f>
        <v>#NAME?</v>
      </c>
      <c r="I43" s="58" t="e">
        <f ca="1">_xll.SNL.Clients.Office.Excel.Functions.SPG($L43, "SP_MARKETCAP", "Options: Curr=USD")</f>
        <v>#NAME?</v>
      </c>
      <c r="J43" s="59" t="s">
        <v>212</v>
      </c>
      <c r="K43" s="3" t="s">
        <v>213</v>
      </c>
      <c r="L43" s="3" t="s">
        <v>214</v>
      </c>
      <c r="M43" s="60" t="str" cm="1">
        <f t="array" aca="1" ref="M43" ca="1">IFERROR(_xll.SNL.Clients.Office.Excel.Functions.SPG($L43, $M$3)/100,"NA")</f>
        <v>NA</v>
      </c>
      <c r="N43" s="61" t="e" cm="1">
        <f t="array" aca="1" ref="N43" ca="1">_xll.SNL.Clients.Office.Excel.Functions.SPG($L43, "SP_PCFPS_FWD",N$2)</f>
        <v>#NAME?</v>
      </c>
      <c r="O43" s="62" t="e" cm="1">
        <f t="array" aca="1" ref="O43" ca="1">_xll.SNL.Clients.Office.Excel.Functions.SPG($L43, "SP_PCFPS_FWD",O$2)</f>
        <v>#NAME?</v>
      </c>
      <c r="P43" s="63" t="e" cm="1">
        <f t="array" aca="1" ref="P43" ca="1">_xll.SNL.Clients.Office.Excel.Functions.SPG($L43, "SP_PCFPS_FWD",P$2)</f>
        <v>#NAME?</v>
      </c>
      <c r="Q43" s="64" t="str">
        <f ca="1">IFERROR(_xll.SNL.Clients.Office.Excel.Functions.SPG($L43, "SP_FCF_EST",Q$2, "Options: Curr=USD")/1000/I43,"NA")</f>
        <v>NA</v>
      </c>
      <c r="R43" s="64" t="str">
        <f ca="1">IFERROR(_xll.SNL.Clients.Office.Excel.Functions.SPG($L43, "SP_FCF_EST",R$2, "Options: Curr=USD")/1000/I43,"NA")</f>
        <v>NA</v>
      </c>
      <c r="S43" s="64" t="e">
        <f ca="1">_xll.SNL.Clients.Office.Excel.Functions.SPG($L43, "SP_FCF_EST",S$2, "Options: Curr=USD")/1000/$I43</f>
        <v>#NAME?</v>
      </c>
      <c r="T43" s="61" t="e" cm="1">
        <f t="array" aca="1" ref="T43" ca="1">_xll.SNL.Clients.Office.Excel.Functions.SPG($L43, "SP_PE_FWD",T$2)</f>
        <v>#NAME?</v>
      </c>
      <c r="U43" s="63" t="e" cm="1">
        <f t="array" aca="1" ref="U43" ca="1">_xll.SNL.Clients.Office.Excel.Functions.SPG($L43, "SP_PE_FWD",U$2)</f>
        <v>#NAME?</v>
      </c>
      <c r="V43" s="80" t="e" cm="1">
        <f t="array" aca="1" ref="V43" ca="1">_xll.SNL.Clients.Office.Excel.Functions.SPG($L43, $V$3,V$2)</f>
        <v>#NAME?</v>
      </c>
      <c r="W43" s="81" t="e" cm="1">
        <f t="array" aca="1" ref="W43" ca="1">_xll.SNL.Clients.Office.Excel.Functions.SPG($L43, $V$3,W$2)</f>
        <v>#NAME?</v>
      </c>
      <c r="X43" s="82" t="e" cm="1">
        <f t="array" aca="1" ref="X43" ca="1">_xll.SNL.Clients.Office.Excel.Functions.SPG($L43, $V$3,X$2)</f>
        <v>#NAME?</v>
      </c>
      <c r="Y43" s="69" t="e" cm="1">
        <f t="array" aca="1" ref="Y43" ca="1">IF((_xll.SNL.Clients.Office.Excel.Functions.SPG($L43,Y$3,Y$4,"Options: Curr=USD") / _xll.SNL.Clients.Office.Excel.Functions.SPG($L43,"SP_EBITDA_EST",Y$2,"Options: Curr=USD")) &lt; 0, "NM", (_xll.SNL.Clients.Office.Excel.Functions.SPG($L43,Y$3,Y$4,"Options: Curr=USD") / _xll.SNL.Clients.Office.Excel.Functions.SPG($L43,"SP_EBITDA_EST",Y$2,"Options: Curr=USD")))</f>
        <v>#NAME?</v>
      </c>
      <c r="Z43" s="70" t="e" cm="1">
        <f t="array" aca="1" ref="Z43" ca="1">_xll.SNL.Clients.Office.Excel.Functions.SPG($L43, Z$3,Z$4)</f>
        <v>#NAME?</v>
      </c>
      <c r="AA43" s="77" t="str">
        <f ca="1">IFERROR(0.001*AVERAGE(_xll.SNL.Clients.Office.Excel.Functions.SPG($L43,$AA$4,"Au",AA$2),_xll.SNL.Clients.Office.Excel.Functions.SPG($L43,$AA$3,"Au",AA$2)),"NA")</f>
        <v>NA</v>
      </c>
      <c r="AB43" s="72" t="str">
        <f ca="1">IFERROR(0.001*AVERAGE(_xll.SNL.Clients.Office.Excel.Functions.SPG($L43,$AA$4,"Au",AB$2),_xll.SNL.Clients.Office.Excel.Functions.SPG($L43,$AA$3,"Au",AB$2)),"NA")</f>
        <v>NA</v>
      </c>
      <c r="AC43" s="78" t="str">
        <f ca="1">IFERROR(0.001*AVERAGE(_xll.SNL.Clients.Office.Excel.Functions.SPG($L43,$AA$4,"Au",AC$2),_xll.SNL.Clients.Office.Excel.Functions.SPG($L43,$AA$3,"Au",AC$2)),"NA")</f>
        <v>NA</v>
      </c>
      <c r="AD43" s="72" t="e">
        <f ca="1" xml:space="preserve"> IF(ISNUMBER(SEARCH("na",_xll.SNL.Clients.Office.Excel.Functions.SPG($L43, $AD$4, AD$2))), 0,_xll.SNL.Clients.Office.Excel.Functions.SPG($L43, $AD$4, AD$2))</f>
        <v>#NAME?</v>
      </c>
      <c r="AE43" s="72" t="e">
        <f ca="1" xml:space="preserve"> IF(ISNUMBER(SEARCH("na",_xll.SNL.Clients.Office.Excel.Functions.SPG($L43, $AD$4, AE$2))), 0,_xll.SNL.Clients.Office.Excel.Functions.SPG($L43, $AD$4, AE$2))</f>
        <v>#NAME?</v>
      </c>
      <c r="AF43" s="72" t="e">
        <f ca="1" xml:space="preserve"> IF(ISNUMBER(SEARCH("na",_xll.SNL.Clients.Office.Excel.Functions.SPG($L43, $AD$4, AF$2))), 0,_xll.SNL.Clients.Office.Excel.Functions.SPG($L43, $AD$4, AF$2))</f>
        <v>#NAME?</v>
      </c>
      <c r="AG43" s="72" t="e">
        <f ca="1" xml:space="preserve"> IF(ISNUMBER(SEARCH("na",_xll.SNL.Clients.Office.Excel.Functions.SPG($L43, $AG$4, AG$2))), 0,_xll.SNL.Clients.Office.Excel.Functions.SPG($L43, $AG$4, AG$2))</f>
        <v>#NAME?</v>
      </c>
      <c r="AH43" s="72" t="e">
        <f ca="1" xml:space="preserve"> IF(ISNUMBER(SEARCH("na",_xll.SNL.Clients.Office.Excel.Functions.SPG($L43, $AG$4, AH$2))), 0,_xll.SNL.Clients.Office.Excel.Functions.SPG($L43, $AG$4, AH$2))</f>
        <v>#NAME?</v>
      </c>
      <c r="AI43" s="72" t="e">
        <f ca="1" xml:space="preserve"> IF(ISNUMBER(SEARCH("na",_xll.SNL.Clients.Office.Excel.Functions.SPG($L43, $AG$4, AI$2))), 0,_xll.SNL.Clients.Office.Excel.Functions.SPG($L43, $AG$4, AI$2))</f>
        <v>#NAME?</v>
      </c>
      <c r="AJ43" s="72" t="e">
        <f ca="1" xml:space="preserve"> IF(ISNUMBER(SEARCH("na",_xll.SNL.Clients.Office.Excel.Functions.SPG($L43, $AJ$4, AJ$2))), 0,_xll.SNL.Clients.Office.Excel.Functions.SPG($L43, $AJ$4, AJ$2))</f>
        <v>#NAME?</v>
      </c>
      <c r="AK43" s="72" t="e">
        <f ca="1" xml:space="preserve"> IF(ISNUMBER(SEARCH("na",_xll.SNL.Clients.Office.Excel.Functions.SPG($L43, $AJ$4, AK$2))), 0,_xll.SNL.Clients.Office.Excel.Functions.SPG($L43, $AJ$4, AK$2))</f>
        <v>#NAME?</v>
      </c>
      <c r="AL43" s="72" t="e">
        <f ca="1" xml:space="preserve"> IF(ISNUMBER(SEARCH("na",_xll.SNL.Clients.Office.Excel.Functions.SPG($L43, $AJ$4, AL$2))), 0,_xll.SNL.Clients.Office.Excel.Functions.SPG($L43, $AJ$4, AL$2))</f>
        <v>#NAME?</v>
      </c>
      <c r="AM43" s="72" t="e">
        <f t="shared" ref="AM43:AM67" ca="1" si="198">AD43+AG43*agprice/auprice+AJ43*cuprice/auprice</f>
        <v>#NAME?</v>
      </c>
      <c r="AN43" s="72" t="e">
        <f t="shared" ref="AN43:AN67" ca="1" si="199">AE43+AH43*agprice/auprice+AK43*cuprice/auprice</f>
        <v>#NAME?</v>
      </c>
      <c r="AO43" s="72" t="e">
        <f t="shared" ref="AO43:AO67" ca="1" si="200">AF43+AI43*agprice/auprice+AL43*cuprice/auprice</f>
        <v>#NAME?</v>
      </c>
      <c r="AP43" s="83" t="str">
        <f t="shared" ca="1" si="181"/>
        <v>NA</v>
      </c>
      <c r="AQ43" s="84" t="str">
        <f t="shared" ca="1" si="181"/>
        <v>NA</v>
      </c>
      <c r="AR43" s="85" t="str">
        <f t="shared" ca="1" si="181"/>
        <v>NA</v>
      </c>
      <c r="AS43" s="72">
        <f ca="1">IFERROR(_xll.SNL.Clients.Office.Excel.Functions.SPG($L43, $AS$3, AS$2,$AS$4)/1000,0)</f>
        <v>0</v>
      </c>
      <c r="AT43" s="72">
        <f ca="1">IFERROR(_xll.SNL.Clients.Office.Excel.Functions.SPG($L43, $AS$3, AT$2,$AS$4)/1000,0)</f>
        <v>0</v>
      </c>
      <c r="AU43" s="72">
        <f ca="1">IFERROR(_xll.SNL.Clients.Office.Excel.Functions.SPG($L43, $AV$3, AU$2,$AS$4)/1000,0)</f>
        <v>0</v>
      </c>
      <c r="AV43" s="72">
        <f ca="1">IFERROR(_xll.SNL.Clients.Office.Excel.Functions.SPG($L43, $AV$3, AV$2,$AS$4)/1000,0)</f>
        <v>0</v>
      </c>
      <c r="AW43" s="72">
        <f ca="1">IFERROR(_xll.SNL.Clients.Office.Excel.Functions.SPG($L43, $AV$3, AW$2,$AS$4)/1000,0)</f>
        <v>0</v>
      </c>
      <c r="AX43" s="72">
        <f ca="1">IFERROR(_xll.SNL.Clients.Office.Excel.Functions.SPG($L43, $AX$3, AX$2,$AS$4)/1000,0)</f>
        <v>0</v>
      </c>
      <c r="AY43" s="72">
        <f ca="1">IFERROR(_xll.SNL.Clients.Office.Excel.Functions.SPG($L43, $AX$3, AY$2,$AS$4)/1000,0)</f>
        <v>0</v>
      </c>
      <c r="AZ43" s="72">
        <f ca="1">IFERROR(_xll.SNL.Clients.Office.Excel.Functions.SPG($L43, $BA$3, AZ$2,$AS$4)/1000,0)</f>
        <v>0</v>
      </c>
      <c r="BA43" s="72">
        <f ca="1">IFERROR(_xll.SNL.Clients.Office.Excel.Functions.SPG($L43, $BA$3, BA$2,$AS$4)/1000,0)</f>
        <v>0</v>
      </c>
      <c r="BB43" s="72">
        <f ca="1">IFERROR(_xll.SNL.Clients.Office.Excel.Functions.SPG($L43, $BA$3, BB$2,$AS$4)/1000,0)</f>
        <v>0</v>
      </c>
      <c r="BC43" s="72">
        <f ca="1">IFERROR(_xll.SNL.Clients.Office.Excel.Functions.SPG($L43, $BC$3, BC$2,$AS$4)/1000,0)</f>
        <v>0</v>
      </c>
      <c r="BD43" s="72">
        <f ca="1">IFERROR(_xll.SNL.Clients.Office.Excel.Functions.SPG($L43, $BC$3, BD$2,$AS$4)/1000,0)</f>
        <v>0</v>
      </c>
      <c r="BE43" s="72">
        <f ca="1">IFERROR(_xll.SNL.Clients.Office.Excel.Functions.SPG($L43, $BF$3, BE$2,$AS$4)/1000,0)</f>
        <v>0</v>
      </c>
      <c r="BF43" s="72">
        <f ca="1">IFERROR(_xll.SNL.Clients.Office.Excel.Functions.SPG($L43, $BF$3, BF$2,$AS$4)/1000,0)</f>
        <v>0</v>
      </c>
      <c r="BG43" s="72">
        <f ca="1">IFERROR(_xll.SNL.Clients.Office.Excel.Functions.SPG($L43, $BF$3, BG$2,$AS$4)/1000,0)</f>
        <v>0</v>
      </c>
      <c r="BH43" s="72">
        <f t="shared" ref="BH43:BH67" ca="1" si="201">AS43+AT43*agprice/auprice+AU43*cuprice/auprice+AV43*znprice/auprice+AW43*pbprice/auprice</f>
        <v>0</v>
      </c>
      <c r="BI43" s="72">
        <f t="shared" ref="BI43:BI67" ca="1" si="202">AX43+AY43*agprice/auprice+AZ43*cuprice/auprice+BA43*znprice/auprice+BB43*pbprice/auprice+BH43</f>
        <v>0</v>
      </c>
      <c r="BJ43" s="72">
        <f t="shared" ref="BJ43:BJ67" ca="1" si="203">BC43+BD43*agprice/auprice+BE43*cuprice/auprice+BF43*znprice/auprice+BG43*pbprice/auprice+BH43</f>
        <v>0</v>
      </c>
      <c r="BK43" s="77" t="e">
        <f t="shared" ca="1" si="185"/>
        <v>#NAME?</v>
      </c>
      <c r="BL43" s="72" t="e">
        <f t="shared" ca="1" si="185"/>
        <v>#NAME?</v>
      </c>
      <c r="BM43" s="78" t="e">
        <f t="shared" ca="1" si="185"/>
        <v>#NAME?</v>
      </c>
      <c r="BN43" s="72" t="e">
        <f ca="1">_xll.SNL.Clients.Office.Excel.Functions.SPG($L43, $BN$3, BN$2, "Au", "Options:Curr=USD")</f>
        <v>#NAME?</v>
      </c>
      <c r="BO43" s="72" t="e">
        <f ca="1">_xll.SNL.Clients.Office.Excel.Functions.SPG($L43, $BN$3, BO$2, "Au", "Options:Curr=USD")</f>
        <v>#NAME?</v>
      </c>
      <c r="BP43" s="72" t="e">
        <f ca="1">_xll.SNL.Clients.Office.Excel.Functions.SPG($L43, $BN$3, BP$2, "Au", "Options:Curr=USD")</f>
        <v>#NAME?</v>
      </c>
      <c r="BQ43" s="78" t="e">
        <f ca="1">_xll.SNL.Clients.Office.Excel.Functions.SPG($L43, $BN$3, BQ$2, "Au", "Options:Curr=USD")</f>
        <v>#NAME?</v>
      </c>
      <c r="BR43" s="72" t="str">
        <f ca="1">IFERROR(AVERAGE(_xll.SNL.Clients.Office.Excel.Functions.SPG($L43,$BR$4,"Au",BR$2, "Options:Curr=USD"),_xll.SNL.Clients.Office.Excel.Functions.SPG($L43,$BR$3,"Au",BR$2, "Options:Curr=USD")),"NA")</f>
        <v>NA</v>
      </c>
      <c r="BS43" s="72" t="str">
        <f ca="1">IFERROR(AVERAGE(_xll.SNL.Clients.Office.Excel.Functions.SPG($L43,$BR$4,"Au",BS$2, "Options:Curr=USD"),_xll.SNL.Clients.Office.Excel.Functions.SPG($L43,$BR$3,"Au",BS$2, "Options:Curr=USD")),"NA")</f>
        <v>NA</v>
      </c>
      <c r="BT43" s="78" t="str">
        <f ca="1">IFERROR(AVERAGE(_xll.SNL.Clients.Office.Excel.Functions.SPG($L43,$BR$4,"Au",BT$2, "Options:Curr=USD"),_xll.SNL.Clients.Office.Excel.Functions.SPG($L43,$BR$3,"Au",BT$2, "Options:Curr=USD")),"NA")</f>
        <v>NA</v>
      </c>
      <c r="BV43" s="36" t="s">
        <v>88</v>
      </c>
      <c r="BW43" s="36"/>
      <c r="BX43" s="36" t="s">
        <v>195</v>
      </c>
      <c r="BY43" s="36"/>
    </row>
    <row r="44" spans="1:77" ht="13.8" x14ac:dyDescent="0.25">
      <c r="A44" s="56" t="e">
        <f ca="1">_xll.SNL.Clients.Office.Excel.Functions.SPG($L44, A$3)</f>
        <v>#NAME?</v>
      </c>
      <c r="B44" s="56" t="e">
        <f ca="1">_xll.BDP($K44,B$3)</f>
        <v>#NAME?</v>
      </c>
      <c r="C44" s="56" t="e">
        <f ca="1">_xll.BDP($K44,C$3)</f>
        <v>#NAME?</v>
      </c>
      <c r="D44" s="56" t="e">
        <f ca="1">_xll.BDP($K44,D$3)</f>
        <v>#NAME?</v>
      </c>
      <c r="E44" s="57" t="s">
        <v>182</v>
      </c>
      <c r="F44" s="57" t="s">
        <v>107</v>
      </c>
      <c r="G44" s="57" t="s">
        <v>84</v>
      </c>
      <c r="H44" s="58" t="e">
        <f ca="1">_xll.SNL.Clients.Office.Excel.Functions.SPG($L44, "IQ_TEV", "Options: Curr=USD")</f>
        <v>#NAME?</v>
      </c>
      <c r="I44" s="58" t="e">
        <f ca="1">_xll.SNL.Clients.Office.Excel.Functions.SPG($L44, "SP_MARKETCAP", "Options: Curr=USD")</f>
        <v>#NAME?</v>
      </c>
      <c r="J44" s="59" t="s">
        <v>215</v>
      </c>
      <c r="K44" s="3" t="s">
        <v>216</v>
      </c>
      <c r="L44" s="18" t="s">
        <v>217</v>
      </c>
      <c r="M44" s="60" t="str" cm="1">
        <f t="array" aca="1" ref="M44" ca="1">IFERROR(_xll.SNL.Clients.Office.Excel.Functions.SPG($L44, $M$3)/100,"NA")</f>
        <v>NA</v>
      </c>
      <c r="N44" s="61" t="e" cm="1">
        <f t="array" aca="1" ref="N44" ca="1">_xll.SNL.Clients.Office.Excel.Functions.SPG($L44, "SP_PCFPS_FWD",N$2)</f>
        <v>#NAME?</v>
      </c>
      <c r="O44" s="62" t="e" cm="1">
        <f t="array" aca="1" ref="O44" ca="1">_xll.SNL.Clients.Office.Excel.Functions.SPG($L44, "SP_PCFPS_FWD",O$2)</f>
        <v>#NAME?</v>
      </c>
      <c r="P44" s="63" t="e" cm="1">
        <f t="array" aca="1" ref="P44" ca="1">_xll.SNL.Clients.Office.Excel.Functions.SPG($L44, "SP_PCFPS_FWD",P$2)</f>
        <v>#NAME?</v>
      </c>
      <c r="Q44" s="64" t="str">
        <f ca="1">IFERROR(_xll.SNL.Clients.Office.Excel.Functions.SPG($L44, "SP_FCF_EST",Q$2, "Options: Curr=USD")/1000/I44,"NA")</f>
        <v>NA</v>
      </c>
      <c r="R44" s="64" t="str">
        <f ca="1">IFERROR(_xll.SNL.Clients.Office.Excel.Functions.SPG($L44, "SP_FCF_EST",R$2, "Options: Curr=USD")/1000/I44,"NA")</f>
        <v>NA</v>
      </c>
      <c r="S44" s="64" t="e">
        <f ca="1">_xll.SNL.Clients.Office.Excel.Functions.SPG($L44, "SP_FCF_EST",S$2, "Options: Curr=USD")/1000/$I44</f>
        <v>#NAME?</v>
      </c>
      <c r="T44" s="61" t="e" cm="1">
        <f t="array" aca="1" ref="T44" ca="1">_xll.SNL.Clients.Office.Excel.Functions.SPG($L44, "SP_PE_FWD",T$2)</f>
        <v>#NAME?</v>
      </c>
      <c r="U44" s="63" t="e" cm="1">
        <f t="array" aca="1" ref="U44" ca="1">_xll.SNL.Clients.Office.Excel.Functions.SPG($L44, "SP_PE_FWD",U$2)</f>
        <v>#NAME?</v>
      </c>
      <c r="V44" s="80" t="e" cm="1">
        <f t="array" aca="1" ref="V44" ca="1">_xll.SNL.Clients.Office.Excel.Functions.SPG($L44, $V$3,V$2)</f>
        <v>#NAME?</v>
      </c>
      <c r="W44" s="81" t="e" cm="1">
        <f t="array" aca="1" ref="W44" ca="1">_xll.SNL.Clients.Office.Excel.Functions.SPG($L44, $V$3,W$2)</f>
        <v>#NAME?</v>
      </c>
      <c r="X44" s="82" t="e" cm="1">
        <f t="array" aca="1" ref="X44" ca="1">_xll.SNL.Clients.Office.Excel.Functions.SPG($L44, $V$3,X$2)</f>
        <v>#NAME?</v>
      </c>
      <c r="Y44" s="69" t="e" cm="1">
        <f t="array" aca="1" ref="Y44" ca="1">IF((_xll.SNL.Clients.Office.Excel.Functions.SPG($L44,Y$3,Y$4,"Options: Curr=USD") / _xll.SNL.Clients.Office.Excel.Functions.SPG($L44,"SP_EBITDA_EST",Y$2,"Options: Curr=USD")) &lt; 0, "NM", (_xll.SNL.Clients.Office.Excel.Functions.SPG($L44,Y$3,Y$4,"Options: Curr=USD") / _xll.SNL.Clients.Office.Excel.Functions.SPG($L44,"SP_EBITDA_EST",Y$2,"Options: Curr=USD")))</f>
        <v>#NAME?</v>
      </c>
      <c r="Z44" s="70" t="e" cm="1">
        <f t="array" aca="1" ref="Z44" ca="1">_xll.SNL.Clients.Office.Excel.Functions.SPG($L44, Z$3,Z$4)</f>
        <v>#NAME?</v>
      </c>
      <c r="AA44" s="77" t="str">
        <f ca="1">IFERROR(0.001*AVERAGE(_xll.SNL.Clients.Office.Excel.Functions.SPG($L44,$AA$4,"Au",AA$2),_xll.SNL.Clients.Office.Excel.Functions.SPG($L44,$AA$3,"Au",AA$2)),"NA")</f>
        <v>NA</v>
      </c>
      <c r="AB44" s="72" t="str">
        <f ca="1">IFERROR(0.001*AVERAGE(_xll.SNL.Clients.Office.Excel.Functions.SPG($L44,$AA$4,"Au",AB$2),_xll.SNL.Clients.Office.Excel.Functions.SPG($L44,$AA$3,"Au",AB$2)),"NA")</f>
        <v>NA</v>
      </c>
      <c r="AC44" s="78" t="str">
        <f ca="1">IFERROR(0.001*AVERAGE(_xll.SNL.Clients.Office.Excel.Functions.SPG($L44,$AA$4,"Au",AC$2),_xll.SNL.Clients.Office.Excel.Functions.SPG($L44,$AA$3,"Au",AC$2)),"NA")</f>
        <v>NA</v>
      </c>
      <c r="AD44" s="72" t="e">
        <f ca="1" xml:space="preserve"> IF(ISNUMBER(SEARCH("na",_xll.SNL.Clients.Office.Excel.Functions.SPG($L44, $AD$4, AD$2))), 0,_xll.SNL.Clients.Office.Excel.Functions.SPG($L44, $AD$4, AD$2))</f>
        <v>#NAME?</v>
      </c>
      <c r="AE44" s="72" t="e">
        <f ca="1" xml:space="preserve"> IF(ISNUMBER(SEARCH("na",_xll.SNL.Clients.Office.Excel.Functions.SPG($L44, $AD$4, AE$2))), 0,_xll.SNL.Clients.Office.Excel.Functions.SPG($L44, $AD$4, AE$2))</f>
        <v>#NAME?</v>
      </c>
      <c r="AF44" s="72" t="e">
        <f ca="1" xml:space="preserve"> IF(ISNUMBER(SEARCH("na",_xll.SNL.Clients.Office.Excel.Functions.SPG($L44, $AD$4, AF$2))), 0,_xll.SNL.Clients.Office.Excel.Functions.SPG($L44, $AD$4, AF$2))</f>
        <v>#NAME?</v>
      </c>
      <c r="AG44" s="72" t="e">
        <f ca="1" xml:space="preserve"> IF(ISNUMBER(SEARCH("na",_xll.SNL.Clients.Office.Excel.Functions.SPG($L44, $AG$4, AG$2))), 0,_xll.SNL.Clients.Office.Excel.Functions.SPG($L44, $AG$4, AG$2))</f>
        <v>#NAME?</v>
      </c>
      <c r="AH44" s="72" t="e">
        <f ca="1" xml:space="preserve"> IF(ISNUMBER(SEARCH("na",_xll.SNL.Clients.Office.Excel.Functions.SPG($L44, $AG$4, AH$2))), 0,_xll.SNL.Clients.Office.Excel.Functions.SPG($L44, $AG$4, AH$2))</f>
        <v>#NAME?</v>
      </c>
      <c r="AI44" s="72" t="e">
        <f ca="1" xml:space="preserve"> IF(ISNUMBER(SEARCH("na",_xll.SNL.Clients.Office.Excel.Functions.SPG($L44, $AG$4, AI$2))), 0,_xll.SNL.Clients.Office.Excel.Functions.SPG($L44, $AG$4, AI$2))</f>
        <v>#NAME?</v>
      </c>
      <c r="AJ44" s="72" t="e">
        <f ca="1" xml:space="preserve"> IF(ISNUMBER(SEARCH("na",_xll.SNL.Clients.Office.Excel.Functions.SPG($L44, $AJ$4, AJ$2))), 0,_xll.SNL.Clients.Office.Excel.Functions.SPG($L44, $AJ$4, AJ$2))</f>
        <v>#NAME?</v>
      </c>
      <c r="AK44" s="72" t="e">
        <f ca="1" xml:space="preserve"> IF(ISNUMBER(SEARCH("na",_xll.SNL.Clients.Office.Excel.Functions.SPG($L44, $AJ$4, AK$2))), 0,_xll.SNL.Clients.Office.Excel.Functions.SPG($L44, $AJ$4, AK$2))</f>
        <v>#NAME?</v>
      </c>
      <c r="AL44" s="72" t="e">
        <f ca="1" xml:space="preserve"> IF(ISNUMBER(SEARCH("na",_xll.SNL.Clients.Office.Excel.Functions.SPG($L44, $AJ$4, AL$2))), 0,_xll.SNL.Clients.Office.Excel.Functions.SPG($L44, $AJ$4, AL$2))</f>
        <v>#NAME?</v>
      </c>
      <c r="AM44" s="72" t="e">
        <f t="shared" ref="AM44:AM68" ca="1" si="204">AD44+AG44*agprice/auprice+AJ44*cuprice/auprice</f>
        <v>#NAME?</v>
      </c>
      <c r="AN44" s="72" t="e">
        <f t="shared" ref="AN44:AN68" ca="1" si="205">AE44+AH44*agprice/auprice+AK44*cuprice/auprice</f>
        <v>#NAME?</v>
      </c>
      <c r="AO44" s="72" t="e">
        <f t="shared" ref="AO44:AO68" ca="1" si="206">AF44+AI44*agprice/auprice+AL44*cuprice/auprice</f>
        <v>#NAME?</v>
      </c>
      <c r="AP44" s="83" t="str">
        <f t="shared" ca="1" si="181"/>
        <v>NA</v>
      </c>
      <c r="AQ44" s="84" t="str">
        <f t="shared" ca="1" si="181"/>
        <v>NA</v>
      </c>
      <c r="AR44" s="85" t="str">
        <f t="shared" ca="1" si="181"/>
        <v>NA</v>
      </c>
      <c r="AS44" s="72">
        <f ca="1">IFERROR(_xll.SNL.Clients.Office.Excel.Functions.SPG($L44, $AS$3, AS$2,$AS$4)/1000,0)</f>
        <v>0</v>
      </c>
      <c r="AT44" s="72">
        <f ca="1">IFERROR(_xll.SNL.Clients.Office.Excel.Functions.SPG($L44, $AS$3, AT$2,$AS$4)/1000,0)</f>
        <v>0</v>
      </c>
      <c r="AU44" s="72">
        <f ca="1">IFERROR(_xll.SNL.Clients.Office.Excel.Functions.SPG($L44, $AV$3, AU$2,$AS$4)/1000,0)</f>
        <v>0</v>
      </c>
      <c r="AV44" s="72">
        <f ca="1">IFERROR(_xll.SNL.Clients.Office.Excel.Functions.SPG($L44, $AV$3, AV$2,$AS$4)/1000,0)</f>
        <v>0</v>
      </c>
      <c r="AW44" s="72">
        <f ca="1">IFERROR(_xll.SNL.Clients.Office.Excel.Functions.SPG($L44, $AV$3, AW$2,$AS$4)/1000,0)</f>
        <v>0</v>
      </c>
      <c r="AX44" s="72">
        <f ca="1">IFERROR(_xll.SNL.Clients.Office.Excel.Functions.SPG($L44, $AX$3, AX$2,$AS$4)/1000,0)</f>
        <v>0</v>
      </c>
      <c r="AY44" s="72">
        <f ca="1">IFERROR(_xll.SNL.Clients.Office.Excel.Functions.SPG($L44, $AX$3, AY$2,$AS$4)/1000,0)</f>
        <v>0</v>
      </c>
      <c r="AZ44" s="72">
        <f ca="1">IFERROR(_xll.SNL.Clients.Office.Excel.Functions.SPG($L44, $BA$3, AZ$2,$AS$4)/1000,0)</f>
        <v>0</v>
      </c>
      <c r="BA44" s="72">
        <f ca="1">IFERROR(_xll.SNL.Clients.Office.Excel.Functions.SPG($L44, $BA$3, BA$2,$AS$4)/1000,0)</f>
        <v>0</v>
      </c>
      <c r="BB44" s="72">
        <f ca="1">IFERROR(_xll.SNL.Clients.Office.Excel.Functions.SPG($L44, $BA$3, BB$2,$AS$4)/1000,0)</f>
        <v>0</v>
      </c>
      <c r="BC44" s="72">
        <f ca="1">IFERROR(_xll.SNL.Clients.Office.Excel.Functions.SPG($L44, $BC$3, BC$2,$AS$4)/1000,0)</f>
        <v>0</v>
      </c>
      <c r="BD44" s="72">
        <f ca="1">IFERROR(_xll.SNL.Clients.Office.Excel.Functions.SPG($L44, $BC$3, BD$2,$AS$4)/1000,0)</f>
        <v>0</v>
      </c>
      <c r="BE44" s="72">
        <f ca="1">IFERROR(_xll.SNL.Clients.Office.Excel.Functions.SPG($L44, $BF$3, BE$2,$AS$4)/1000,0)</f>
        <v>0</v>
      </c>
      <c r="BF44" s="72">
        <f ca="1">IFERROR(_xll.SNL.Clients.Office.Excel.Functions.SPG($L44, $BF$3, BF$2,$AS$4)/1000,0)</f>
        <v>0</v>
      </c>
      <c r="BG44" s="72">
        <f ca="1">IFERROR(_xll.SNL.Clients.Office.Excel.Functions.SPG($L44, $BF$3, BG$2,$AS$4)/1000,0)</f>
        <v>0</v>
      </c>
      <c r="BH44" s="72">
        <f t="shared" ref="BH44:BH68" ca="1" si="207">AS44+AT44*agprice/auprice+AU44*cuprice/auprice+AV44*znprice/auprice+AW44*pbprice/auprice</f>
        <v>0</v>
      </c>
      <c r="BI44" s="72">
        <f t="shared" ref="BI44:BI68" ca="1" si="208">AX44+AY44*agprice/auprice+AZ44*cuprice/auprice+BA44*znprice/auprice+BB44*pbprice/auprice+BH44</f>
        <v>0</v>
      </c>
      <c r="BJ44" s="72">
        <f t="shared" ref="BJ44:BJ68" ca="1" si="209">BC44+BD44*agprice/auprice+BE44*cuprice/auprice+BF44*znprice/auprice+BG44*pbprice/auprice+BH44</f>
        <v>0</v>
      </c>
      <c r="BK44" s="77" t="e">
        <f t="shared" ca="1" si="185"/>
        <v>#NAME?</v>
      </c>
      <c r="BL44" s="72" t="e">
        <f t="shared" ca="1" si="185"/>
        <v>#NAME?</v>
      </c>
      <c r="BM44" s="78" t="e">
        <f t="shared" ca="1" si="185"/>
        <v>#NAME?</v>
      </c>
      <c r="BN44" s="72" t="e">
        <f ca="1">_xll.SNL.Clients.Office.Excel.Functions.SPG($L44, $BN$3, BN$2, "Au", "Options:Curr=USD")</f>
        <v>#NAME?</v>
      </c>
      <c r="BO44" s="72" t="e">
        <f ca="1">_xll.SNL.Clients.Office.Excel.Functions.SPG($L44, $BN$3, BO$2, "Au", "Options:Curr=USD")</f>
        <v>#NAME?</v>
      </c>
      <c r="BP44" s="72" t="e">
        <f ca="1">_xll.SNL.Clients.Office.Excel.Functions.SPG($L44, $BN$3, BP$2, "Au", "Options:Curr=USD")</f>
        <v>#NAME?</v>
      </c>
      <c r="BQ44" s="78" t="e">
        <f ca="1">_xll.SNL.Clients.Office.Excel.Functions.SPG($L44, $BN$3, BQ$2, "Au", "Options:Curr=USD")</f>
        <v>#NAME?</v>
      </c>
      <c r="BR44" s="72" t="str">
        <f ca="1">IFERROR(AVERAGE(_xll.SNL.Clients.Office.Excel.Functions.SPG($L44,$BR$4,"Au",BR$2, "Options:Curr=USD"),_xll.SNL.Clients.Office.Excel.Functions.SPG($L44,$BR$3,"Au",BR$2, "Options:Curr=USD")),"NA")</f>
        <v>NA</v>
      </c>
      <c r="BS44" s="72" t="str">
        <f ca="1">IFERROR(AVERAGE(_xll.SNL.Clients.Office.Excel.Functions.SPG($L44,$BR$4,"Au",BS$2, "Options:Curr=USD"),_xll.SNL.Clients.Office.Excel.Functions.SPG($L44,$BR$3,"Au",BS$2, "Options:Curr=USD")),"NA")</f>
        <v>NA</v>
      </c>
      <c r="BT44" s="78" t="str">
        <f ca="1">IFERROR(AVERAGE(_xll.SNL.Clients.Office.Excel.Functions.SPG($L44,$BR$4,"Au",BT$2, "Options:Curr=USD"),_xll.SNL.Clients.Office.Excel.Functions.SPG($L44,$BR$3,"Au",BT$2, "Options:Curr=USD")),"NA")</f>
        <v>NA</v>
      </c>
      <c r="BV44" s="36" t="s">
        <v>88</v>
      </c>
      <c r="BW44" s="36"/>
      <c r="BX44" s="36" t="s">
        <v>89</v>
      </c>
      <c r="BY44" s="36"/>
    </row>
    <row r="45" spans="1:77" ht="13.8" x14ac:dyDescent="0.25">
      <c r="A45" s="56"/>
      <c r="B45" s="56"/>
      <c r="C45" s="56"/>
      <c r="D45" s="56"/>
      <c r="E45" s="57"/>
      <c r="F45" s="57"/>
      <c r="G45" s="57"/>
      <c r="H45" s="58" t="e">
        <f ca="1">_xll.SNL.Clients.Office.Excel.Functions.SPG($L45, "IQ_TEV", "Options: Curr=USD")</f>
        <v>#NAME?</v>
      </c>
      <c r="I45" s="58" t="e">
        <f ca="1">_xll.SNL.Clients.Office.Excel.Functions.SPG($L45, "SP_MARKETCAP", "Options: Curr=USD")</f>
        <v>#NAME?</v>
      </c>
      <c r="J45" s="59" t="s">
        <v>218</v>
      </c>
      <c r="L45" s="18" t="s">
        <v>219</v>
      </c>
      <c r="M45" s="60" t="str" cm="1">
        <f t="array" aca="1" ref="M45" ca="1">IFERROR(_xll.SNL.Clients.Office.Excel.Functions.SPG($L45, $M$3)/100,"NA")</f>
        <v>NA</v>
      </c>
      <c r="N45" s="61" t="e" cm="1">
        <f t="array" aca="1" ref="N45" ca="1">_xll.SNL.Clients.Office.Excel.Functions.SPG($L45, "SP_PCFPS_FWD",N$2)</f>
        <v>#NAME?</v>
      </c>
      <c r="O45" s="62" t="e" cm="1">
        <f t="array" aca="1" ref="O45" ca="1">_xll.SNL.Clients.Office.Excel.Functions.SPG($L45, "SP_PCFPS_FWD",O$2)</f>
        <v>#NAME?</v>
      </c>
      <c r="P45" s="63" t="e" cm="1">
        <f t="array" aca="1" ref="P45" ca="1">_xll.SNL.Clients.Office.Excel.Functions.SPG($L45, "SP_PCFPS_FWD",P$2)</f>
        <v>#NAME?</v>
      </c>
      <c r="Q45" s="64" t="str">
        <f ca="1">IFERROR(_xll.SNL.Clients.Office.Excel.Functions.SPG($L45, "SP_FCF_EST",Q$2, "Options: Curr=USD")/1000/I45,"NA")</f>
        <v>NA</v>
      </c>
      <c r="R45" s="64" t="str">
        <f ca="1">IFERROR(_xll.SNL.Clients.Office.Excel.Functions.SPG($L45, "SP_FCF_EST",R$2, "Options: Curr=USD")/1000/I45,"NA")</f>
        <v>NA</v>
      </c>
      <c r="S45" s="64" t="e">
        <f ca="1">_xll.SNL.Clients.Office.Excel.Functions.SPG($L45, "SP_FCF_EST",S$2, "Options: Curr=USD")/1000/$I45</f>
        <v>#NAME?</v>
      </c>
      <c r="T45" s="61" t="e" cm="1">
        <f t="array" aca="1" ref="T45" ca="1">_xll.SNL.Clients.Office.Excel.Functions.SPG($L45, "SP_PE_FWD",T$2)</f>
        <v>#NAME?</v>
      </c>
      <c r="U45" s="63" t="e" cm="1">
        <f t="array" aca="1" ref="U45" ca="1">_xll.SNL.Clients.Office.Excel.Functions.SPG($L45, "SP_PE_FWD",U$2)</f>
        <v>#NAME?</v>
      </c>
      <c r="V45" s="80" t="e" cm="1">
        <f t="array" aca="1" ref="V45" ca="1">_xll.SNL.Clients.Office.Excel.Functions.SPG($L45, $V$3,V$2)</f>
        <v>#NAME?</v>
      </c>
      <c r="W45" s="81" t="e" cm="1">
        <f t="array" aca="1" ref="W45" ca="1">_xll.SNL.Clients.Office.Excel.Functions.SPG($L45, $V$3,W$2)</f>
        <v>#NAME?</v>
      </c>
      <c r="X45" s="82" t="e" cm="1">
        <f t="array" aca="1" ref="X45" ca="1">_xll.SNL.Clients.Office.Excel.Functions.SPG($L45, $V$3,X$2)</f>
        <v>#NAME?</v>
      </c>
      <c r="Y45" s="69" t="e" cm="1">
        <f t="array" aca="1" ref="Y45" ca="1">IF((_xll.SNL.Clients.Office.Excel.Functions.SPG($L45,Y$3,Y$4,"Options: Curr=USD") / _xll.SNL.Clients.Office.Excel.Functions.SPG($L45,"SP_EBITDA_EST",Y$2,"Options: Curr=USD")) &lt; 0, "NM", (_xll.SNL.Clients.Office.Excel.Functions.SPG($L45,Y$3,Y$4,"Options: Curr=USD") / _xll.SNL.Clients.Office.Excel.Functions.SPG($L45,"SP_EBITDA_EST",Y$2,"Options: Curr=USD")))</f>
        <v>#NAME?</v>
      </c>
      <c r="Z45" s="70" t="e" cm="1">
        <f t="array" aca="1" ref="Z45" ca="1">_xll.SNL.Clients.Office.Excel.Functions.SPG($L45, Z$3,Z$4)</f>
        <v>#NAME?</v>
      </c>
      <c r="AA45" s="77" t="str">
        <f ca="1">IFERROR(0.001*AVERAGE(_xll.SNL.Clients.Office.Excel.Functions.SPG($L45,$AA$4,"Au",AA$2),_xll.SNL.Clients.Office.Excel.Functions.SPG($L45,$AA$3,"Au",AA$2)),"NA")</f>
        <v>NA</v>
      </c>
      <c r="AB45" s="72" t="str">
        <f ca="1">IFERROR(0.001*AVERAGE(_xll.SNL.Clients.Office.Excel.Functions.SPG($L45,$AA$4,"Au",AB$2),_xll.SNL.Clients.Office.Excel.Functions.SPG($L45,$AA$3,"Au",AB$2)),"NA")</f>
        <v>NA</v>
      </c>
      <c r="AC45" s="78" t="str">
        <f ca="1">IFERROR(0.001*AVERAGE(_xll.SNL.Clients.Office.Excel.Functions.SPG($L45,$AA$4,"Au",AC$2),_xll.SNL.Clients.Office.Excel.Functions.SPG($L45,$AA$3,"Au",AC$2)),"NA")</f>
        <v>NA</v>
      </c>
      <c r="AD45" s="72" t="e">
        <f ca="1" xml:space="preserve"> IF(ISNUMBER(SEARCH("na",_xll.SNL.Clients.Office.Excel.Functions.SPG($L45, $AD$4, AD$2))), 0,_xll.SNL.Clients.Office.Excel.Functions.SPG($L45, $AD$4, AD$2))</f>
        <v>#NAME?</v>
      </c>
      <c r="AE45" s="72" t="e">
        <f ca="1" xml:space="preserve"> IF(ISNUMBER(SEARCH("na",_xll.SNL.Clients.Office.Excel.Functions.SPG($L45, $AD$4, AE$2))), 0,_xll.SNL.Clients.Office.Excel.Functions.SPG($L45, $AD$4, AE$2))</f>
        <v>#NAME?</v>
      </c>
      <c r="AF45" s="72" t="e">
        <f ca="1" xml:space="preserve"> IF(ISNUMBER(SEARCH("na",_xll.SNL.Clients.Office.Excel.Functions.SPG($L45, $AD$4, AF$2))), 0,_xll.SNL.Clients.Office.Excel.Functions.SPG($L45, $AD$4, AF$2))</f>
        <v>#NAME?</v>
      </c>
      <c r="AG45" s="72" t="e">
        <f ca="1" xml:space="preserve"> IF(ISNUMBER(SEARCH("na",_xll.SNL.Clients.Office.Excel.Functions.SPG($L45, $AG$4, AG$2))), 0,_xll.SNL.Clients.Office.Excel.Functions.SPG($L45, $AG$4, AG$2))</f>
        <v>#NAME?</v>
      </c>
      <c r="AH45" s="72" t="e">
        <f ca="1" xml:space="preserve"> IF(ISNUMBER(SEARCH("na",_xll.SNL.Clients.Office.Excel.Functions.SPG($L45, $AG$4, AH$2))), 0,_xll.SNL.Clients.Office.Excel.Functions.SPG($L45, $AG$4, AH$2))</f>
        <v>#NAME?</v>
      </c>
      <c r="AI45" s="72" t="e">
        <f ca="1" xml:space="preserve"> IF(ISNUMBER(SEARCH("na",_xll.SNL.Clients.Office.Excel.Functions.SPG($L45, $AG$4, AI$2))), 0,_xll.SNL.Clients.Office.Excel.Functions.SPG($L45, $AG$4, AI$2))</f>
        <v>#NAME?</v>
      </c>
      <c r="AJ45" s="72" t="e">
        <f ca="1" xml:space="preserve"> IF(ISNUMBER(SEARCH("na",_xll.SNL.Clients.Office.Excel.Functions.SPG($L45, $AJ$4, AJ$2))), 0,_xll.SNL.Clients.Office.Excel.Functions.SPG($L45, $AJ$4, AJ$2))</f>
        <v>#NAME?</v>
      </c>
      <c r="AK45" s="72" t="e">
        <f ca="1" xml:space="preserve"> IF(ISNUMBER(SEARCH("na",_xll.SNL.Clients.Office.Excel.Functions.SPG($L45, $AJ$4, AK$2))), 0,_xll.SNL.Clients.Office.Excel.Functions.SPG($L45, $AJ$4, AK$2))</f>
        <v>#NAME?</v>
      </c>
      <c r="AL45" s="72" t="e">
        <f ca="1" xml:space="preserve"> IF(ISNUMBER(SEARCH("na",_xll.SNL.Clients.Office.Excel.Functions.SPG($L45, $AJ$4, AL$2))), 0,_xll.SNL.Clients.Office.Excel.Functions.SPG($L45, $AJ$4, AL$2))</f>
        <v>#NAME?</v>
      </c>
      <c r="AM45" s="72" t="e">
        <f t="shared" ref="AM45" ca="1" si="210">AD45+AG45*agprice/auprice+AJ45*cuprice/auprice</f>
        <v>#NAME?</v>
      </c>
      <c r="AN45" s="72" t="e">
        <f t="shared" ref="AN45" ca="1" si="211">AE45+AH45*agprice/auprice+AK45*cuprice/auprice</f>
        <v>#NAME?</v>
      </c>
      <c r="AO45" s="72" t="e">
        <f t="shared" ref="AO45" ca="1" si="212">AF45+AI45*agprice/auprice+AL45*cuprice/auprice</f>
        <v>#NAME?</v>
      </c>
      <c r="AP45" s="83" t="str">
        <f ca="1">IFERROR($H45/AM45*1000,"NA")</f>
        <v>NA</v>
      </c>
      <c r="AQ45" s="84" t="str">
        <f ca="1">IFERROR($H45/AN45*1000,"NA")</f>
        <v>NA</v>
      </c>
      <c r="AR45" s="85" t="str">
        <f ca="1">IFERROR($H45/AO45*1000,"NA")</f>
        <v>NA</v>
      </c>
      <c r="AS45" s="72">
        <f ca="1">IFERROR(_xll.SNL.Clients.Office.Excel.Functions.SPG($L45, $AS$3, AS$2,$AS$4)/1000,0)</f>
        <v>0</v>
      </c>
      <c r="AT45" s="72">
        <f ca="1">IFERROR(_xll.SNL.Clients.Office.Excel.Functions.SPG($L45, $AS$3, AT$2,$AS$4)/1000,0)</f>
        <v>0</v>
      </c>
      <c r="AU45" s="72">
        <f ca="1">IFERROR(_xll.SNL.Clients.Office.Excel.Functions.SPG($L45, $AV$3, AU$2,$AS$4)/1000,0)</f>
        <v>0</v>
      </c>
      <c r="AV45" s="72">
        <f ca="1">IFERROR(_xll.SNL.Clients.Office.Excel.Functions.SPG($L45, $AV$3, AV$2,$AS$4)/1000,0)</f>
        <v>0</v>
      </c>
      <c r="AW45" s="72">
        <f ca="1">IFERROR(_xll.SNL.Clients.Office.Excel.Functions.SPG($L45, $AV$3, AW$2,$AS$4)/1000,0)</f>
        <v>0</v>
      </c>
      <c r="AX45" s="72">
        <f ca="1">IFERROR(_xll.SNL.Clients.Office.Excel.Functions.SPG($L45, $AX$3, AX$2,$AS$4)/1000,0)</f>
        <v>0</v>
      </c>
      <c r="AY45" s="72">
        <f ca="1">IFERROR(_xll.SNL.Clients.Office.Excel.Functions.SPG($L45, $AX$3, AY$2,$AS$4)/1000,0)</f>
        <v>0</v>
      </c>
      <c r="AZ45" s="72">
        <f ca="1">IFERROR(_xll.SNL.Clients.Office.Excel.Functions.SPG($L45, $BA$3, AZ$2,$AS$4)/1000,0)</f>
        <v>0</v>
      </c>
      <c r="BA45" s="72">
        <f ca="1">IFERROR(_xll.SNL.Clients.Office.Excel.Functions.SPG($L45, $BA$3, BA$2,$AS$4)/1000,0)</f>
        <v>0</v>
      </c>
      <c r="BB45" s="72">
        <f ca="1">IFERROR(_xll.SNL.Clients.Office.Excel.Functions.SPG($L45, $BA$3, BB$2,$AS$4)/1000,0)</f>
        <v>0</v>
      </c>
      <c r="BC45" s="72">
        <f ca="1">IFERROR(_xll.SNL.Clients.Office.Excel.Functions.SPG($L45, $BC$3, BC$2,$AS$4)/1000,0)</f>
        <v>0</v>
      </c>
      <c r="BD45" s="72">
        <f ca="1">IFERROR(_xll.SNL.Clients.Office.Excel.Functions.SPG($L45, $BC$3, BD$2,$AS$4)/1000,0)</f>
        <v>0</v>
      </c>
      <c r="BE45" s="72">
        <f ca="1">IFERROR(_xll.SNL.Clients.Office.Excel.Functions.SPG($L45, $BF$3, BE$2,$AS$4)/1000,0)</f>
        <v>0</v>
      </c>
      <c r="BF45" s="72">
        <f ca="1">IFERROR(_xll.SNL.Clients.Office.Excel.Functions.SPG($L45, $BF$3, BF$2,$AS$4)/1000,0)</f>
        <v>0</v>
      </c>
      <c r="BG45" s="72">
        <f ca="1">IFERROR(_xll.SNL.Clients.Office.Excel.Functions.SPG($L45, $BF$3, BG$2,$AS$4)/1000,0)</f>
        <v>0</v>
      </c>
      <c r="BH45" s="72">
        <f t="shared" ref="BH45" ca="1" si="213">AS45+AT45*agprice/auprice+AU45*cuprice/auprice+AV45*znprice/auprice+AW45*pbprice/auprice</f>
        <v>0</v>
      </c>
      <c r="BI45" s="72">
        <f t="shared" ref="BI45" ca="1" si="214">AX45+AY45*agprice/auprice+AZ45*cuprice/auprice+BA45*znprice/auprice+BB45*pbprice/auprice+BH45</f>
        <v>0</v>
      </c>
      <c r="BJ45" s="72">
        <f t="shared" ref="BJ45" ca="1" si="215">BC45+BD45*agprice/auprice+BE45*cuprice/auprice+BF45*znprice/auprice+BG45*pbprice/auprice+BH45</f>
        <v>0</v>
      </c>
      <c r="BK45" s="77" t="e">
        <f ca="1">$H45*1000/BH45</f>
        <v>#NAME?</v>
      </c>
      <c r="BL45" s="72" t="e">
        <f ca="1">$H45*1000/BI45</f>
        <v>#NAME?</v>
      </c>
      <c r="BM45" s="78" t="e">
        <f ca="1">$H45*1000/BJ45</f>
        <v>#NAME?</v>
      </c>
      <c r="BN45" s="72" t="e">
        <f ca="1">_xll.SNL.Clients.Office.Excel.Functions.SPG($L45, $BN$3, BN$2, "Au", "Options:Curr=USD")</f>
        <v>#NAME?</v>
      </c>
      <c r="BO45" s="72" t="e">
        <f ca="1">_xll.SNL.Clients.Office.Excel.Functions.SPG($L45, $BN$3, BO$2, "Au", "Options:Curr=USD")</f>
        <v>#NAME?</v>
      </c>
      <c r="BP45" s="72" t="e">
        <f ca="1">_xll.SNL.Clients.Office.Excel.Functions.SPG($L45, $BN$3, BP$2, "Au", "Options:Curr=USD")</f>
        <v>#NAME?</v>
      </c>
      <c r="BQ45" s="78" t="e">
        <f ca="1">_xll.SNL.Clients.Office.Excel.Functions.SPG($L45, $BN$3, BQ$2, "Au", "Options:Curr=USD")</f>
        <v>#NAME?</v>
      </c>
      <c r="BR45" s="72" t="str">
        <f ca="1">IFERROR(AVERAGE(_xll.SNL.Clients.Office.Excel.Functions.SPG($L45,$BR$4,"Au",BR$2, "Options:Curr=USD"),_xll.SNL.Clients.Office.Excel.Functions.SPG($L45,$BR$3,"Au",BR$2, "Options:Curr=USD")),"NA")</f>
        <v>NA</v>
      </c>
      <c r="BS45" s="72" t="str">
        <f ca="1">IFERROR(AVERAGE(_xll.SNL.Clients.Office.Excel.Functions.SPG($L45,$BR$4,"Au",BS$2, "Options:Curr=USD"),_xll.SNL.Clients.Office.Excel.Functions.SPG($L45,$BR$3,"Au",BS$2, "Options:Curr=USD")),"NA")</f>
        <v>NA</v>
      </c>
      <c r="BT45" s="78" t="str">
        <f ca="1">IFERROR(AVERAGE(_xll.SNL.Clients.Office.Excel.Functions.SPG($L45,$BR$4,"Au",BT$2, "Options:Curr=USD"),_xll.SNL.Clients.Office.Excel.Functions.SPG($L45,$BR$3,"Au",BT$2, "Options:Curr=USD")),"NA")</f>
        <v>NA</v>
      </c>
      <c r="BV45" s="36"/>
      <c r="BW45" s="36"/>
      <c r="BX45" s="36"/>
      <c r="BY45" s="36"/>
    </row>
    <row r="46" spans="1:77" ht="13.8" x14ac:dyDescent="0.25">
      <c r="A46" s="56" t="e">
        <f ca="1">_xll.SNL.Clients.Office.Excel.Functions.SPG($L46, A$3)</f>
        <v>#NAME?</v>
      </c>
      <c r="B46" s="56" t="e">
        <f ca="1">_xll.BDP($K46,B$3)</f>
        <v>#NAME?</v>
      </c>
      <c r="C46" s="56" t="e">
        <f ca="1">_xll.BDP($K46,C$3)</f>
        <v>#NAME?</v>
      </c>
      <c r="D46" s="56" t="e">
        <f ca="1">_xll.BDP($K46,D$3)</f>
        <v>#NAME?</v>
      </c>
      <c r="E46" s="57" t="s">
        <v>111</v>
      </c>
      <c r="F46" s="57" t="s">
        <v>107</v>
      </c>
      <c r="G46" s="57" t="s">
        <v>84</v>
      </c>
      <c r="H46" s="58" t="e">
        <f ca="1">_xll.SNL.Clients.Office.Excel.Functions.SPG("NYSE:DRD", "IQ_TEV", "Options: Curr=USD")</f>
        <v>#NAME?</v>
      </c>
      <c r="I46" s="58" t="e">
        <f ca="1">_xll.SNL.Clients.Office.Excel.Functions.SPG("NYSE:DRD", "SP_MARKETCAP", "Options: Curr=USD")</f>
        <v>#NAME?</v>
      </c>
      <c r="J46" s="59" t="s">
        <v>220</v>
      </c>
      <c r="K46" s="3" t="s">
        <v>221</v>
      </c>
      <c r="L46" s="18" t="s">
        <v>222</v>
      </c>
      <c r="M46" s="60" t="str" cm="1">
        <f t="array" aca="1" ref="M46" ca="1">IFERROR(_xll.SNL.Clients.Office.Excel.Functions.SPG($L46, $M$3)/100,"NA")</f>
        <v>NA</v>
      </c>
      <c r="N46" s="61" t="e" cm="1">
        <f t="array" aca="1" ref="N46" ca="1">_xll.SNL.Clients.Office.Excel.Functions.SPG($L46, "SP_PCFPS_FWD",N$2)</f>
        <v>#NAME?</v>
      </c>
      <c r="O46" s="62" t="e" cm="1">
        <f t="array" aca="1" ref="O46" ca="1">_xll.SNL.Clients.Office.Excel.Functions.SPG($L46, "SP_PCFPS_FWD",O$2)</f>
        <v>#NAME?</v>
      </c>
      <c r="P46" s="63" t="e" cm="1">
        <f t="array" aca="1" ref="P46" ca="1">_xll.SNL.Clients.Office.Excel.Functions.SPG($L46, "SP_PCFPS_FWD",P$2)</f>
        <v>#NAME?</v>
      </c>
      <c r="Q46" s="64" t="str">
        <f ca="1">IFERROR(_xll.SNL.Clients.Office.Excel.Functions.SPG($L46, "SP_FCF_EST",Q$2, "Options: Curr=USD")/1000/I46,"NA")</f>
        <v>NA</v>
      </c>
      <c r="R46" s="64" t="str">
        <f ca="1">IFERROR(_xll.SNL.Clients.Office.Excel.Functions.SPG($L46, "SP_FCF_EST",R$2, "Options: Curr=USD")/1000/I46,"NA")</f>
        <v>NA</v>
      </c>
      <c r="S46" s="64" t="e">
        <f ca="1">_xll.SNL.Clients.Office.Excel.Functions.SPG($L46, "SP_FCF_EST",S$2, "Options: Curr=USD")/1000/$I46</f>
        <v>#NAME?</v>
      </c>
      <c r="T46" s="61" t="e" cm="1">
        <f t="array" aca="1" ref="T46" ca="1">_xll.SNL.Clients.Office.Excel.Functions.SPG($L46, "SP_PE_FWD",T$2)</f>
        <v>#NAME?</v>
      </c>
      <c r="U46" s="63" t="e" cm="1">
        <f t="array" aca="1" ref="U46" ca="1">_xll.SNL.Clients.Office.Excel.Functions.SPG($L46, "SP_PE_FWD",U$2)</f>
        <v>#NAME?</v>
      </c>
      <c r="V46" s="80" t="e" cm="1">
        <f t="array" aca="1" ref="V46" ca="1">_xll.SNL.Clients.Office.Excel.Functions.SPG($L46, $V$3,V$2)</f>
        <v>#NAME?</v>
      </c>
      <c r="W46" s="81" t="e" cm="1">
        <f t="array" aca="1" ref="W46" ca="1">_xll.SNL.Clients.Office.Excel.Functions.SPG($L46, $V$3,W$2)</f>
        <v>#NAME?</v>
      </c>
      <c r="X46" s="82" t="e" cm="1">
        <f t="array" aca="1" ref="X46" ca="1">_xll.SNL.Clients.Office.Excel.Functions.SPG($L46, $V$3,X$2)</f>
        <v>#NAME?</v>
      </c>
      <c r="Y46" s="69" t="e" cm="1">
        <f t="array" aca="1" ref="Y46" ca="1">IF((_xll.SNL.Clients.Office.Excel.Functions.SPG($L46,Y$3,Y$4,"Options: Curr=USD") / _xll.SNL.Clients.Office.Excel.Functions.SPG($L46,"SP_EBITDA_EST",Y$2,"Options: Curr=USD")) &lt; 0, "NM", (_xll.SNL.Clients.Office.Excel.Functions.SPG($L46,Y$3,Y$4,"Options: Curr=USD") / _xll.SNL.Clients.Office.Excel.Functions.SPG($L46,"SP_EBITDA_EST",Y$2,"Options: Curr=USD")))</f>
        <v>#NAME?</v>
      </c>
      <c r="Z46" s="70" t="e" cm="1">
        <f t="array" aca="1" ref="Z46" ca="1">_xll.SNL.Clients.Office.Excel.Functions.SPG($L46, Z$3,Z$4)</f>
        <v>#NAME?</v>
      </c>
      <c r="AA46" s="77" t="str">
        <f ca="1">IFERROR(0.001*AVERAGE(_xll.SNL.Clients.Office.Excel.Functions.SPG($L46,$AA$4,"Au",AA$2),_xll.SNL.Clients.Office.Excel.Functions.SPG($L46,$AA$3,"Au",AA$2)),"NA")</f>
        <v>NA</v>
      </c>
      <c r="AB46" s="72" t="str">
        <f ca="1">IFERROR(0.001*AVERAGE(_xll.SNL.Clients.Office.Excel.Functions.SPG($L46,$AA$4,"Au",AB$2),_xll.SNL.Clients.Office.Excel.Functions.SPG($L46,$AA$3,"Au",AB$2)),"NA")</f>
        <v>NA</v>
      </c>
      <c r="AC46" s="78" t="str">
        <f ca="1">IFERROR(0.001*AVERAGE(_xll.SNL.Clients.Office.Excel.Functions.SPG($L46,$AA$4,"Au",AC$2),_xll.SNL.Clients.Office.Excel.Functions.SPG($L46,$AA$3,"Au",AC$2)),"NA")</f>
        <v>NA</v>
      </c>
      <c r="AD46" s="72" t="e">
        <f ca="1" xml:space="preserve"> IF(ISNUMBER(SEARCH("na",_xll.SNL.Clients.Office.Excel.Functions.SPG($L46, $AD$4, AD$2))), 0,_xll.SNL.Clients.Office.Excel.Functions.SPG($L46, $AD$4, AD$2))</f>
        <v>#NAME?</v>
      </c>
      <c r="AE46" s="72" t="e">
        <f ca="1" xml:space="preserve"> IF(ISNUMBER(SEARCH("na",_xll.SNL.Clients.Office.Excel.Functions.SPG($L46, $AD$4, AE$2))), 0,_xll.SNL.Clients.Office.Excel.Functions.SPG($L46, $AD$4, AE$2))</f>
        <v>#NAME?</v>
      </c>
      <c r="AF46" s="72" t="e">
        <f ca="1" xml:space="preserve"> IF(ISNUMBER(SEARCH("na",_xll.SNL.Clients.Office.Excel.Functions.SPG($L46, $AD$4, AF$2))), 0,_xll.SNL.Clients.Office.Excel.Functions.SPG($L46, $AD$4, AF$2))</f>
        <v>#NAME?</v>
      </c>
      <c r="AG46" s="72" t="e">
        <f ca="1" xml:space="preserve"> IF(ISNUMBER(SEARCH("na",_xll.SNL.Clients.Office.Excel.Functions.SPG($L46, $AG$4, AG$2))), 0,_xll.SNL.Clients.Office.Excel.Functions.SPG($L46, $AG$4, AG$2))</f>
        <v>#NAME?</v>
      </c>
      <c r="AH46" s="72" t="e">
        <f ca="1" xml:space="preserve"> IF(ISNUMBER(SEARCH("na",_xll.SNL.Clients.Office.Excel.Functions.SPG($L46, $AG$4, AH$2))), 0,_xll.SNL.Clients.Office.Excel.Functions.SPG($L46, $AG$4, AH$2))</f>
        <v>#NAME?</v>
      </c>
      <c r="AI46" s="72" t="e">
        <f ca="1" xml:space="preserve"> IF(ISNUMBER(SEARCH("na",_xll.SNL.Clients.Office.Excel.Functions.SPG($L46, $AG$4, AI$2))), 0,_xll.SNL.Clients.Office.Excel.Functions.SPG($L46, $AG$4, AI$2))</f>
        <v>#NAME?</v>
      </c>
      <c r="AJ46" s="72" t="e">
        <f ca="1" xml:space="preserve"> IF(ISNUMBER(SEARCH("na",_xll.SNL.Clients.Office.Excel.Functions.SPG($L46, $AJ$4, AJ$2))), 0,_xll.SNL.Clients.Office.Excel.Functions.SPG($L46, $AJ$4, AJ$2))</f>
        <v>#NAME?</v>
      </c>
      <c r="AK46" s="72" t="e">
        <f ca="1" xml:space="preserve"> IF(ISNUMBER(SEARCH("na",_xll.SNL.Clients.Office.Excel.Functions.SPG($L46, $AJ$4, AK$2))), 0,_xll.SNL.Clients.Office.Excel.Functions.SPG($L46, $AJ$4, AK$2))</f>
        <v>#NAME?</v>
      </c>
      <c r="AL46" s="72" t="e">
        <f ca="1" xml:space="preserve"> IF(ISNUMBER(SEARCH("na",_xll.SNL.Clients.Office.Excel.Functions.SPG($L46, $AJ$4, AL$2))), 0,_xll.SNL.Clients.Office.Excel.Functions.SPG($L46, $AJ$4, AL$2))</f>
        <v>#NAME?</v>
      </c>
      <c r="AM46" s="72" t="e">
        <f t="shared" ref="AM46:AM70" ca="1" si="216">AD46+AG46*agprice/auprice+AJ46*cuprice/auprice</f>
        <v>#NAME?</v>
      </c>
      <c r="AN46" s="72" t="e">
        <f t="shared" ref="AN46:AN70" ca="1" si="217">AE46+AH46*agprice/auprice+AK46*cuprice/auprice</f>
        <v>#NAME?</v>
      </c>
      <c r="AO46" s="72" t="e">
        <f t="shared" ref="AO46:AO70" ca="1" si="218">AF46+AI46*agprice/auprice+AL46*cuprice/auprice</f>
        <v>#NAME?</v>
      </c>
      <c r="AP46" s="83" t="str">
        <f t="shared" ref="AP46:AR70" ca="1" si="219">IFERROR($H46/AM46*1000,"NA")</f>
        <v>NA</v>
      </c>
      <c r="AQ46" s="84" t="str">
        <f t="shared" ca="1" si="219"/>
        <v>NA</v>
      </c>
      <c r="AR46" s="85" t="str">
        <f t="shared" ca="1" si="219"/>
        <v>NA</v>
      </c>
      <c r="AS46" s="72">
        <f ca="1">IFERROR(_xll.SNL.Clients.Office.Excel.Functions.SPG($L46, $AS$3, AS$2,$AS$4)/1000,0)</f>
        <v>0</v>
      </c>
      <c r="AT46" s="72">
        <f ca="1">IFERROR(_xll.SNL.Clients.Office.Excel.Functions.SPG($L46, $AS$3, AT$2,$AS$4)/1000,0)</f>
        <v>0</v>
      </c>
      <c r="AU46" s="72">
        <f ca="1">IFERROR(_xll.SNL.Clients.Office.Excel.Functions.SPG($L46, $AV$3, AU$2,$AS$4)/1000,0)</f>
        <v>0</v>
      </c>
      <c r="AV46" s="72">
        <f ca="1">IFERROR(_xll.SNL.Clients.Office.Excel.Functions.SPG($L46, $AV$3, AV$2,$AS$4)/1000,0)</f>
        <v>0</v>
      </c>
      <c r="AW46" s="72">
        <f ca="1">IFERROR(_xll.SNL.Clients.Office.Excel.Functions.SPG($L46, $AV$3, AW$2,$AS$4)/1000,0)</f>
        <v>0</v>
      </c>
      <c r="AX46" s="72">
        <f ca="1">IFERROR(_xll.SNL.Clients.Office.Excel.Functions.SPG($L46, $AX$3, AX$2,$AS$4)/1000,0)</f>
        <v>0</v>
      </c>
      <c r="AY46" s="72">
        <f ca="1">IFERROR(_xll.SNL.Clients.Office.Excel.Functions.SPG($L46, $AX$3, AY$2,$AS$4)/1000,0)</f>
        <v>0</v>
      </c>
      <c r="AZ46" s="72">
        <f ca="1">IFERROR(_xll.SNL.Clients.Office.Excel.Functions.SPG($L46, $BA$3, AZ$2,$AS$4)/1000,0)</f>
        <v>0</v>
      </c>
      <c r="BA46" s="72">
        <f ca="1">IFERROR(_xll.SNL.Clients.Office.Excel.Functions.SPG($L46, $BA$3, BA$2,$AS$4)/1000,0)</f>
        <v>0</v>
      </c>
      <c r="BB46" s="72">
        <f ca="1">IFERROR(_xll.SNL.Clients.Office.Excel.Functions.SPG($L46, $BA$3, BB$2,$AS$4)/1000,0)</f>
        <v>0</v>
      </c>
      <c r="BC46" s="72">
        <f ca="1">IFERROR(_xll.SNL.Clients.Office.Excel.Functions.SPG($L46, $BC$3, BC$2,$AS$4)/1000,0)</f>
        <v>0</v>
      </c>
      <c r="BD46" s="72">
        <f ca="1">IFERROR(_xll.SNL.Clients.Office.Excel.Functions.SPG($L46, $BC$3, BD$2,$AS$4)/1000,0)</f>
        <v>0</v>
      </c>
      <c r="BE46" s="72">
        <f ca="1">IFERROR(_xll.SNL.Clients.Office.Excel.Functions.SPG($L46, $BF$3, BE$2,$AS$4)/1000,0)</f>
        <v>0</v>
      </c>
      <c r="BF46" s="72">
        <f ca="1">IFERROR(_xll.SNL.Clients.Office.Excel.Functions.SPG($L46, $BF$3, BF$2,$AS$4)/1000,0)</f>
        <v>0</v>
      </c>
      <c r="BG46" s="72">
        <f ca="1">IFERROR(_xll.SNL.Clients.Office.Excel.Functions.SPG($L46, $BF$3, BG$2,$AS$4)/1000,0)</f>
        <v>0</v>
      </c>
      <c r="BH46" s="72">
        <f t="shared" ref="BH46:BH70" ca="1" si="220">AS46+AT46*agprice/auprice+AU46*cuprice/auprice+AV46*znprice/auprice+AW46*pbprice/auprice</f>
        <v>0</v>
      </c>
      <c r="BI46" s="72">
        <f t="shared" ref="BI46:BI70" ca="1" si="221">AX46+AY46*agprice/auprice+AZ46*cuprice/auprice+BA46*znprice/auprice+BB46*pbprice/auprice+BH46</f>
        <v>0</v>
      </c>
      <c r="BJ46" s="72">
        <f t="shared" ref="BJ46:BJ70" ca="1" si="222">BC46+BD46*agprice/auprice+BE46*cuprice/auprice+BF46*znprice/auprice+BG46*pbprice/auprice+BH46</f>
        <v>0</v>
      </c>
      <c r="BK46" s="77" t="e">
        <f t="shared" ref="BK46:BM71" ca="1" si="223">$H46*1000/BH46</f>
        <v>#NAME?</v>
      </c>
      <c r="BL46" s="72" t="e">
        <f t="shared" ca="1" si="223"/>
        <v>#NAME?</v>
      </c>
      <c r="BM46" s="78" t="e">
        <f t="shared" ca="1" si="223"/>
        <v>#NAME?</v>
      </c>
      <c r="BN46" s="72" t="e">
        <f ca="1">_xll.SNL.Clients.Office.Excel.Functions.SPG($L46, $BN$3, BN$2, "Au", "Options:Curr=USD")</f>
        <v>#NAME?</v>
      </c>
      <c r="BO46" s="72" t="e">
        <f ca="1">_xll.SNL.Clients.Office.Excel.Functions.SPG($L46, $BN$3, BO$2, "Au", "Options:Curr=USD")</f>
        <v>#NAME?</v>
      </c>
      <c r="BP46" s="72" t="e">
        <f ca="1">_xll.SNL.Clients.Office.Excel.Functions.SPG($L46, $BN$3, BP$2, "Au", "Options:Curr=USD")</f>
        <v>#NAME?</v>
      </c>
      <c r="BQ46" s="78" t="e">
        <f ca="1">_xll.SNL.Clients.Office.Excel.Functions.SPG($L46, $BN$3, BQ$2, "Au", "Options:Curr=USD")</f>
        <v>#NAME?</v>
      </c>
      <c r="BR46" s="72" t="str">
        <f ca="1">IFERROR(AVERAGE(_xll.SNL.Clients.Office.Excel.Functions.SPG($L46,$BR$4,"Au",BR$2, "Options:Curr=USD"),_xll.SNL.Clients.Office.Excel.Functions.SPG($L46,$BR$3,"Au",BR$2, "Options:Curr=USD")),"NA")</f>
        <v>NA</v>
      </c>
      <c r="BS46" s="72" t="str">
        <f ca="1">IFERROR(AVERAGE(_xll.SNL.Clients.Office.Excel.Functions.SPG($L46,$BR$4,"Au",BS$2, "Options:Curr=USD"),_xll.SNL.Clients.Office.Excel.Functions.SPG($L46,$BR$3,"Au",BS$2, "Options:Curr=USD")),"NA")</f>
        <v>NA</v>
      </c>
      <c r="BT46" s="78" t="str">
        <f ca="1">IFERROR(AVERAGE(_xll.SNL.Clients.Office.Excel.Functions.SPG($L46,$BR$4,"Au",BT$2, "Options:Curr=USD"),_xll.SNL.Clients.Office.Excel.Functions.SPG($L46,$BR$3,"Au",BT$2, "Options:Curr=USD")),"NA")</f>
        <v>NA</v>
      </c>
      <c r="BV46" s="36" t="s">
        <v>88</v>
      </c>
      <c r="BW46" s="36"/>
      <c r="BX46" s="36" t="s">
        <v>195</v>
      </c>
      <c r="BY46" s="36"/>
    </row>
    <row r="47" spans="1:77" ht="13.8" x14ac:dyDescent="0.25">
      <c r="A47" s="56" t="e">
        <f ca="1">_xll.SNL.Clients.Office.Excel.Functions.SPG($L47, A$3)</f>
        <v>#NAME?</v>
      </c>
      <c r="B47" s="56" t="e">
        <f ca="1">_xll.BDP($K47,B$3)</f>
        <v>#NAME?</v>
      </c>
      <c r="C47" s="56" t="e">
        <f ca="1">_xll.BDP($K47,C$3)</f>
        <v>#NAME?</v>
      </c>
      <c r="D47" s="56" t="e">
        <f ca="1">_xll.BDP($K47,D$3)</f>
        <v>#NAME?</v>
      </c>
      <c r="E47" s="57" t="s">
        <v>223</v>
      </c>
      <c r="F47" s="57" t="s">
        <v>107</v>
      </c>
      <c r="G47" s="57" t="s">
        <v>84</v>
      </c>
      <c r="H47" s="58" t="e">
        <f ca="1">_xll.SNL.Clients.Office.Excel.Functions.SPG($L47, "IQ_TEV", "Options: Curr=USD")</f>
        <v>#NAME?</v>
      </c>
      <c r="I47" s="58" t="e">
        <f ca="1">_xll.SNL.Clients.Office.Excel.Functions.SPG($L47, "SP_MARKETCAP", "Options: Curr=USD")</f>
        <v>#NAME?</v>
      </c>
      <c r="J47" s="59" t="s">
        <v>224</v>
      </c>
      <c r="K47" s="3" t="s">
        <v>225</v>
      </c>
      <c r="L47" s="18" t="s">
        <v>226</v>
      </c>
      <c r="M47" s="60" t="str" cm="1">
        <f t="array" aca="1" ref="M47" ca="1">IFERROR(_xll.SNL.Clients.Office.Excel.Functions.SPG($L47, $M$3)/100,"NA")</f>
        <v>NA</v>
      </c>
      <c r="N47" s="61" t="e" cm="1">
        <f t="array" aca="1" ref="N47" ca="1">_xll.SNL.Clients.Office.Excel.Functions.SPG($L47, "SP_PCFPS_FWD",N$2)</f>
        <v>#NAME?</v>
      </c>
      <c r="O47" s="62" t="e" cm="1">
        <f t="array" aca="1" ref="O47" ca="1">_xll.SNL.Clients.Office.Excel.Functions.SPG($L47, "SP_PCFPS_FWD",O$2)</f>
        <v>#NAME?</v>
      </c>
      <c r="P47" s="63" t="e" cm="1">
        <f t="array" aca="1" ref="P47" ca="1">_xll.SNL.Clients.Office.Excel.Functions.SPG($L47, "SP_PCFPS_FWD",P$2)</f>
        <v>#NAME?</v>
      </c>
      <c r="Q47" s="64" t="str">
        <f ca="1">IFERROR(_xll.SNL.Clients.Office.Excel.Functions.SPG($L47, "SP_FCF_EST",Q$2, "Options: Curr=USD")/1000/I47,"NA")</f>
        <v>NA</v>
      </c>
      <c r="R47" s="64" t="str">
        <f ca="1">IFERROR(_xll.SNL.Clients.Office.Excel.Functions.SPG($L47, "SP_FCF_EST",R$2, "Options: Curr=USD")/1000/I47,"NA")</f>
        <v>NA</v>
      </c>
      <c r="S47" s="64" t="e">
        <f ca="1">_xll.SNL.Clients.Office.Excel.Functions.SPG($L47, "SP_FCF_EST",S$2, "Options: Curr=USD")/1000/$I47</f>
        <v>#NAME?</v>
      </c>
      <c r="T47" s="61" t="e" cm="1">
        <f t="array" aca="1" ref="T47" ca="1">_xll.SNL.Clients.Office.Excel.Functions.SPG($L47, "SP_PE_FWD",T$2)</f>
        <v>#NAME?</v>
      </c>
      <c r="U47" s="63" t="e" cm="1">
        <f t="array" aca="1" ref="U47" ca="1">_xll.SNL.Clients.Office.Excel.Functions.SPG($L47, "SP_PE_FWD",U$2)</f>
        <v>#NAME?</v>
      </c>
      <c r="V47" s="80" t="e" cm="1">
        <f t="array" aca="1" ref="V47" ca="1">_xll.SNL.Clients.Office.Excel.Functions.SPG($L47, $V$3,V$2)</f>
        <v>#NAME?</v>
      </c>
      <c r="W47" s="81" t="e" cm="1">
        <f t="array" aca="1" ref="W47" ca="1">_xll.SNL.Clients.Office.Excel.Functions.SPG($L47, $V$3,W$2)</f>
        <v>#NAME?</v>
      </c>
      <c r="X47" s="82" t="e" cm="1">
        <f t="array" aca="1" ref="X47" ca="1">_xll.SNL.Clients.Office.Excel.Functions.SPG($L47, $V$3,X$2)</f>
        <v>#NAME?</v>
      </c>
      <c r="Y47" s="69" t="e" cm="1">
        <f t="array" aca="1" ref="Y47" ca="1">IF((_xll.SNL.Clients.Office.Excel.Functions.SPG($L47,Y$3,Y$4,"Options: Curr=USD") / _xll.SNL.Clients.Office.Excel.Functions.SPG($L47,"SP_EBITDA_EST",Y$2,"Options: Curr=USD")) &lt; 0, "NM", (_xll.SNL.Clients.Office.Excel.Functions.SPG($L47,Y$3,Y$4,"Options: Curr=USD") / _xll.SNL.Clients.Office.Excel.Functions.SPG($L47,"SP_EBITDA_EST",Y$2,"Options: Curr=USD")))</f>
        <v>#NAME?</v>
      </c>
      <c r="Z47" s="70" t="e" cm="1">
        <f t="array" aca="1" ref="Z47" ca="1">_xll.SNL.Clients.Office.Excel.Functions.SPG($L47, Z$3,Z$4)</f>
        <v>#NAME?</v>
      </c>
      <c r="AA47" s="77" t="str">
        <f ca="1">IFERROR(0.001*AVERAGE(_xll.SNL.Clients.Office.Excel.Functions.SPG($L47,$AA$4,"Au",AA$2),_xll.SNL.Clients.Office.Excel.Functions.SPG($L47,$AA$3,"Au",AA$2)),"NA")</f>
        <v>NA</v>
      </c>
      <c r="AB47" s="72" t="str">
        <f ca="1">IFERROR(0.001*AVERAGE(_xll.SNL.Clients.Office.Excel.Functions.SPG($L47,$AA$4,"Au",AB$2),_xll.SNL.Clients.Office.Excel.Functions.SPG($L47,$AA$3,"Au",AB$2)),"NA")</f>
        <v>NA</v>
      </c>
      <c r="AC47" s="78" t="str">
        <f ca="1">IFERROR(0.001*AVERAGE(_xll.SNL.Clients.Office.Excel.Functions.SPG($L47,$AA$4,"Au",AC$2),_xll.SNL.Clients.Office.Excel.Functions.SPG($L47,$AA$3,"Au",AC$2)),"NA")</f>
        <v>NA</v>
      </c>
      <c r="AD47" s="72" t="e">
        <f ca="1" xml:space="preserve"> IF(ISNUMBER(SEARCH("na",_xll.SNL.Clients.Office.Excel.Functions.SPG($L47, $AD$4, AD$2))), 0,_xll.SNL.Clients.Office.Excel.Functions.SPG($L47, $AD$4, AD$2))</f>
        <v>#NAME?</v>
      </c>
      <c r="AE47" s="72" t="e">
        <f ca="1" xml:space="preserve"> IF(ISNUMBER(SEARCH("na",_xll.SNL.Clients.Office.Excel.Functions.SPG($L47, $AD$4, AE$2))), 0,_xll.SNL.Clients.Office.Excel.Functions.SPG($L47, $AD$4, AE$2))</f>
        <v>#NAME?</v>
      </c>
      <c r="AF47" s="72" t="e">
        <f ca="1" xml:space="preserve"> IF(ISNUMBER(SEARCH("na",_xll.SNL.Clients.Office.Excel.Functions.SPG($L47, $AD$4, AF$2))), 0,_xll.SNL.Clients.Office.Excel.Functions.SPG($L47, $AD$4, AF$2))</f>
        <v>#NAME?</v>
      </c>
      <c r="AG47" s="72" t="e">
        <f ca="1" xml:space="preserve"> IF(ISNUMBER(SEARCH("na",_xll.SNL.Clients.Office.Excel.Functions.SPG($L47, $AG$4, AG$2))), 0,_xll.SNL.Clients.Office.Excel.Functions.SPG($L47, $AG$4, AG$2))</f>
        <v>#NAME?</v>
      </c>
      <c r="AH47" s="72" t="e">
        <f ca="1" xml:space="preserve"> IF(ISNUMBER(SEARCH("na",_xll.SNL.Clients.Office.Excel.Functions.SPG($L47, $AG$4, AH$2))), 0,_xll.SNL.Clients.Office.Excel.Functions.SPG($L47, $AG$4, AH$2))</f>
        <v>#NAME?</v>
      </c>
      <c r="AI47" s="72" t="e">
        <f ca="1" xml:space="preserve"> IF(ISNUMBER(SEARCH("na",_xll.SNL.Clients.Office.Excel.Functions.SPG($L47, $AG$4, AI$2))), 0,_xll.SNL.Clients.Office.Excel.Functions.SPG($L47, $AG$4, AI$2))</f>
        <v>#NAME?</v>
      </c>
      <c r="AJ47" s="72" t="e">
        <f ca="1" xml:space="preserve"> IF(ISNUMBER(SEARCH("na",_xll.SNL.Clients.Office.Excel.Functions.SPG($L47, $AJ$4, AJ$2))), 0,_xll.SNL.Clients.Office.Excel.Functions.SPG($L47, $AJ$4, AJ$2))</f>
        <v>#NAME?</v>
      </c>
      <c r="AK47" s="72" t="e">
        <f ca="1" xml:space="preserve"> IF(ISNUMBER(SEARCH("na",_xll.SNL.Clients.Office.Excel.Functions.SPG($L47, $AJ$4, AK$2))), 0,_xll.SNL.Clients.Office.Excel.Functions.SPG($L47, $AJ$4, AK$2))</f>
        <v>#NAME?</v>
      </c>
      <c r="AL47" s="72" t="e">
        <f ca="1" xml:space="preserve"> IF(ISNUMBER(SEARCH("na",_xll.SNL.Clients.Office.Excel.Functions.SPG($L47, $AJ$4, AL$2))), 0,_xll.SNL.Clients.Office.Excel.Functions.SPG($L47, $AJ$4, AL$2))</f>
        <v>#NAME?</v>
      </c>
      <c r="AM47" s="72" t="e">
        <f t="shared" ref="AM47:AM71" ca="1" si="224">AD47+AG47*agprice/auprice+AJ47*cuprice/auprice</f>
        <v>#NAME?</v>
      </c>
      <c r="AN47" s="72" t="e">
        <f t="shared" ref="AN47:AN71" ca="1" si="225">AE47+AH47*agprice/auprice+AK47*cuprice/auprice</f>
        <v>#NAME?</v>
      </c>
      <c r="AO47" s="72" t="e">
        <f t="shared" ref="AO47:AO71" ca="1" si="226">AF47+AI47*agprice/auprice+AL47*cuprice/auprice</f>
        <v>#NAME?</v>
      </c>
      <c r="AP47" s="83" t="str">
        <f t="shared" ca="1" si="219"/>
        <v>NA</v>
      </c>
      <c r="AQ47" s="84" t="str">
        <f t="shared" ca="1" si="219"/>
        <v>NA</v>
      </c>
      <c r="AR47" s="85" t="str">
        <f t="shared" ca="1" si="219"/>
        <v>NA</v>
      </c>
      <c r="AS47" s="72">
        <f ca="1">IFERROR(_xll.SNL.Clients.Office.Excel.Functions.SPG($L47, $AS$3, AS$2,$AS$4)/1000,0)</f>
        <v>0</v>
      </c>
      <c r="AT47" s="72">
        <f ca="1">IFERROR(_xll.SNL.Clients.Office.Excel.Functions.SPG($L47, $AS$3, AT$2,$AS$4)/1000,0)</f>
        <v>0</v>
      </c>
      <c r="AU47" s="72">
        <f ca="1">IFERROR(_xll.SNL.Clients.Office.Excel.Functions.SPG($L47, $AV$3, AU$2,$AS$4)/1000,0)</f>
        <v>0</v>
      </c>
      <c r="AV47" s="72">
        <f ca="1">IFERROR(_xll.SNL.Clients.Office.Excel.Functions.SPG($L47, $AV$3, AV$2,$AS$4)/1000,0)</f>
        <v>0</v>
      </c>
      <c r="AW47" s="72">
        <f ca="1">IFERROR(_xll.SNL.Clients.Office.Excel.Functions.SPG($L47, $AV$3, AW$2,$AS$4)/1000,0)</f>
        <v>0</v>
      </c>
      <c r="AX47" s="72">
        <f ca="1">IFERROR(_xll.SNL.Clients.Office.Excel.Functions.SPG($L47, $AX$3, AX$2,$AS$4)/1000,0)</f>
        <v>0</v>
      </c>
      <c r="AY47" s="72">
        <f ca="1">IFERROR(_xll.SNL.Clients.Office.Excel.Functions.SPG($L47, $AX$3, AY$2,$AS$4)/1000,0)</f>
        <v>0</v>
      </c>
      <c r="AZ47" s="72">
        <f ca="1">IFERROR(_xll.SNL.Clients.Office.Excel.Functions.SPG($L47, $BA$3, AZ$2,$AS$4)/1000,0)</f>
        <v>0</v>
      </c>
      <c r="BA47" s="72">
        <f ca="1">IFERROR(_xll.SNL.Clients.Office.Excel.Functions.SPG($L47, $BA$3, BA$2,$AS$4)/1000,0)</f>
        <v>0</v>
      </c>
      <c r="BB47" s="72">
        <f ca="1">IFERROR(_xll.SNL.Clients.Office.Excel.Functions.SPG($L47, $BA$3, BB$2,$AS$4)/1000,0)</f>
        <v>0</v>
      </c>
      <c r="BC47" s="72">
        <f ca="1">IFERROR(_xll.SNL.Clients.Office.Excel.Functions.SPG($L47, $BC$3, BC$2,$AS$4)/1000,0)</f>
        <v>0</v>
      </c>
      <c r="BD47" s="72">
        <f ca="1">IFERROR(_xll.SNL.Clients.Office.Excel.Functions.SPG($L47, $BC$3, BD$2,$AS$4)/1000,0)</f>
        <v>0</v>
      </c>
      <c r="BE47" s="72">
        <f ca="1">IFERROR(_xll.SNL.Clients.Office.Excel.Functions.SPG($L47, $BF$3, BE$2,$AS$4)/1000,0)</f>
        <v>0</v>
      </c>
      <c r="BF47" s="72">
        <f ca="1">IFERROR(_xll.SNL.Clients.Office.Excel.Functions.SPG($L47, $BF$3, BF$2,$AS$4)/1000,0)</f>
        <v>0</v>
      </c>
      <c r="BG47" s="72">
        <f ca="1">IFERROR(_xll.SNL.Clients.Office.Excel.Functions.SPG($L47, $BF$3, BG$2,$AS$4)/1000,0)</f>
        <v>0</v>
      </c>
      <c r="BH47" s="72">
        <f t="shared" ref="BH47:BH71" ca="1" si="227">AS47+AT47*agprice/auprice+AU47*cuprice/auprice+AV47*znprice/auprice+AW47*pbprice/auprice</f>
        <v>0</v>
      </c>
      <c r="BI47" s="72">
        <f t="shared" ref="BI47:BI71" ca="1" si="228">AX47+AY47*agprice/auprice+AZ47*cuprice/auprice+BA47*znprice/auprice+BB47*pbprice/auprice+BH47</f>
        <v>0</v>
      </c>
      <c r="BJ47" s="72">
        <f t="shared" ref="BJ47:BJ71" ca="1" si="229">BC47+BD47*agprice/auprice+BE47*cuprice/auprice+BF47*znprice/auprice+BG47*pbprice/auprice+BH47</f>
        <v>0</v>
      </c>
      <c r="BK47" s="77" t="e">
        <f t="shared" ca="1" si="223"/>
        <v>#NAME?</v>
      </c>
      <c r="BL47" s="72" t="e">
        <f t="shared" ca="1" si="223"/>
        <v>#NAME?</v>
      </c>
      <c r="BM47" s="78" t="e">
        <f t="shared" ca="1" si="223"/>
        <v>#NAME?</v>
      </c>
      <c r="BN47" s="72" t="e">
        <f ca="1">_xll.SNL.Clients.Office.Excel.Functions.SPG($L47, $BN$3, BN$2, "Au", "Options:Curr=USD")</f>
        <v>#NAME?</v>
      </c>
      <c r="BO47" s="72" t="e">
        <f ca="1">_xll.SNL.Clients.Office.Excel.Functions.SPG($L47, $BN$3, BO$2, "Au", "Options:Curr=USD")</f>
        <v>#NAME?</v>
      </c>
      <c r="BP47" s="72" t="e">
        <f ca="1">_xll.SNL.Clients.Office.Excel.Functions.SPG($L47, $BN$3, BP$2, "Au", "Options:Curr=USD")</f>
        <v>#NAME?</v>
      </c>
      <c r="BQ47" s="78" t="e">
        <f ca="1">_xll.SNL.Clients.Office.Excel.Functions.SPG($L47, $BN$3, BQ$2, "Au", "Options:Curr=USD")</f>
        <v>#NAME?</v>
      </c>
      <c r="BR47" s="72" t="str">
        <f ca="1">IFERROR(AVERAGE(_xll.SNL.Clients.Office.Excel.Functions.SPG($L47,$BR$4,"Au",BR$2, "Options:Curr=USD"),_xll.SNL.Clients.Office.Excel.Functions.SPG($L47,$BR$3,"Au",BR$2, "Options:Curr=USD")),"NA")</f>
        <v>NA</v>
      </c>
      <c r="BS47" s="72" t="str">
        <f ca="1">IFERROR(AVERAGE(_xll.SNL.Clients.Office.Excel.Functions.SPG($L47,$BR$4,"Au",BS$2, "Options:Curr=USD"),_xll.SNL.Clients.Office.Excel.Functions.SPG($L47,$BR$3,"Au",BS$2, "Options:Curr=USD")),"NA")</f>
        <v>NA</v>
      </c>
      <c r="BT47" s="78" t="str">
        <f ca="1">IFERROR(AVERAGE(_xll.SNL.Clients.Office.Excel.Functions.SPG($L47,$BR$4,"Au",BT$2, "Options:Curr=USD"),_xll.SNL.Clients.Office.Excel.Functions.SPG($L47,$BR$3,"Au",BT$2, "Options:Curr=USD")),"NA")</f>
        <v>NA</v>
      </c>
      <c r="BV47" s="36" t="s">
        <v>88</v>
      </c>
      <c r="BW47" s="36"/>
      <c r="BX47" s="36" t="s">
        <v>89</v>
      </c>
      <c r="BY47" s="36"/>
    </row>
    <row r="48" spans="1:77" ht="13.8" x14ac:dyDescent="0.25">
      <c r="A48" s="56" t="e">
        <f ca="1">_xll.SNL.Clients.Office.Excel.Functions.SPG($L48, A$3)</f>
        <v>#NAME?</v>
      </c>
      <c r="B48" s="56" t="e">
        <f ca="1">_xll.BDP($K48,B$3)</f>
        <v>#NAME?</v>
      </c>
      <c r="C48" s="56" t="e">
        <f ca="1">_xll.BDP($K48,C$3)</f>
        <v>#NAME?</v>
      </c>
      <c r="D48" s="56" t="e">
        <f ca="1">_xll.BDP($K48,D$3)</f>
        <v>#NAME?</v>
      </c>
      <c r="E48" s="57" t="s">
        <v>94</v>
      </c>
      <c r="F48" s="57" t="s">
        <v>83</v>
      </c>
      <c r="G48" s="57" t="s">
        <v>84</v>
      </c>
      <c r="H48" s="58" t="e">
        <f ca="1">_xll.SNL.Clients.Office.Excel.Functions.SPG($L48, "IQ_TEV", "Options: Curr=USD")</f>
        <v>#NAME?</v>
      </c>
      <c r="I48" s="58" t="e">
        <f ca="1">_xll.SNL.Clients.Office.Excel.Functions.SPG($L48, "SP_MARKETCAP", "Options: Curr=USD")</f>
        <v>#NAME?</v>
      </c>
      <c r="J48" s="59" t="s">
        <v>227</v>
      </c>
      <c r="K48" s="3" t="s">
        <v>228</v>
      </c>
      <c r="L48" s="18" t="s">
        <v>229</v>
      </c>
      <c r="M48" s="60" t="str" cm="1">
        <f t="array" aca="1" ref="M48" ca="1">IFERROR(_xll.SNL.Clients.Office.Excel.Functions.SPG($L48, $M$3)/100,"NA")</f>
        <v>NA</v>
      </c>
      <c r="N48" s="61" t="e" cm="1">
        <f t="array" aca="1" ref="N48" ca="1">_xll.SNL.Clients.Office.Excel.Functions.SPG($L48, "SP_PCFPS_FWD",N$2)</f>
        <v>#NAME?</v>
      </c>
      <c r="O48" s="62" t="e" cm="1">
        <f t="array" aca="1" ref="O48" ca="1">_xll.SNL.Clients.Office.Excel.Functions.SPG($L48, "SP_PCFPS_FWD",O$2)</f>
        <v>#NAME?</v>
      </c>
      <c r="P48" s="63" t="e" cm="1">
        <f t="array" aca="1" ref="P48" ca="1">_xll.SNL.Clients.Office.Excel.Functions.SPG($L48, "SP_PCFPS_FWD",P$2)</f>
        <v>#NAME?</v>
      </c>
      <c r="Q48" s="64" t="str">
        <f ca="1">IFERROR(_xll.SNL.Clients.Office.Excel.Functions.SPG($L48, "SP_FCF_EST",Q$2, "Options: Curr=USD")/1000/I48,"NA")</f>
        <v>NA</v>
      </c>
      <c r="R48" s="64" t="str">
        <f ca="1">IFERROR(_xll.SNL.Clients.Office.Excel.Functions.SPG($L48, "SP_FCF_EST",R$2, "Options: Curr=USD")/1000/I48,"NA")</f>
        <v>NA</v>
      </c>
      <c r="S48" s="64" t="e">
        <f ca="1">_xll.SNL.Clients.Office.Excel.Functions.SPG($L48, "SP_FCF_EST",S$2, "Options: Curr=USD")/1000/$I48</f>
        <v>#NAME?</v>
      </c>
      <c r="T48" s="61" t="e" cm="1">
        <f t="array" aca="1" ref="T48" ca="1">_xll.SNL.Clients.Office.Excel.Functions.SPG($L48, "SP_PE_FWD",T$2)</f>
        <v>#NAME?</v>
      </c>
      <c r="U48" s="63" t="e" cm="1">
        <f t="array" aca="1" ref="U48" ca="1">_xll.SNL.Clients.Office.Excel.Functions.SPG($L48, "SP_PE_FWD",U$2)</f>
        <v>#NAME?</v>
      </c>
      <c r="V48" s="80" t="e" cm="1">
        <f t="array" aca="1" ref="V48" ca="1">_xll.SNL.Clients.Office.Excel.Functions.SPG($L48, $V$3,V$2)</f>
        <v>#NAME?</v>
      </c>
      <c r="W48" s="81" t="e" cm="1">
        <f t="array" aca="1" ref="W48" ca="1">_xll.SNL.Clients.Office.Excel.Functions.SPG($L48, $V$3,W$2)</f>
        <v>#NAME?</v>
      </c>
      <c r="X48" s="82" t="e" cm="1">
        <f t="array" aca="1" ref="X48" ca="1">_xll.SNL.Clients.Office.Excel.Functions.SPG($L48, $V$3,X$2)</f>
        <v>#NAME?</v>
      </c>
      <c r="Y48" s="69" t="e" cm="1">
        <f t="array" aca="1" ref="Y48" ca="1">IF((_xll.SNL.Clients.Office.Excel.Functions.SPG($L48,Y$3,Y$4,"Options: Curr=USD") / _xll.SNL.Clients.Office.Excel.Functions.SPG($L48,"SP_EBITDA_EST",Y$2,"Options: Curr=USD")) &lt; 0, "NM", (_xll.SNL.Clients.Office.Excel.Functions.SPG($L48,Y$3,Y$4,"Options: Curr=USD") / _xll.SNL.Clients.Office.Excel.Functions.SPG($L48,"SP_EBITDA_EST",Y$2,"Options: Curr=USD")))</f>
        <v>#NAME?</v>
      </c>
      <c r="Z48" s="70" t="e" cm="1">
        <f t="array" aca="1" ref="Z48" ca="1">_xll.SNL.Clients.Office.Excel.Functions.SPG($L48, Z$3,Z$4)</f>
        <v>#NAME?</v>
      </c>
      <c r="AA48" s="77" t="str">
        <f ca="1">IFERROR(0.001*AVERAGE(_xll.SNL.Clients.Office.Excel.Functions.SPG($L48,$AA$4,"Au",AA$2),_xll.SNL.Clients.Office.Excel.Functions.SPG($L48,$AA$3,"Au",AA$2)),"NA")</f>
        <v>NA</v>
      </c>
      <c r="AB48" s="72" t="str">
        <f ca="1">IFERROR(0.001*AVERAGE(_xll.SNL.Clients.Office.Excel.Functions.SPG($L48,$AA$4,"Au",AB$2),_xll.SNL.Clients.Office.Excel.Functions.SPG($L48,$AA$3,"Au",AB$2)),"NA")</f>
        <v>NA</v>
      </c>
      <c r="AC48" s="78" t="str">
        <f ca="1">IFERROR(0.001*AVERAGE(_xll.SNL.Clients.Office.Excel.Functions.SPG($L48,$AA$4,"Au",AC$2),_xll.SNL.Clients.Office.Excel.Functions.SPG($L48,$AA$3,"Au",AC$2)),"NA")</f>
        <v>NA</v>
      </c>
      <c r="AD48" s="72" t="e">
        <f ca="1" xml:space="preserve"> IF(ISNUMBER(SEARCH("na",_xll.SNL.Clients.Office.Excel.Functions.SPG($L48, $AD$4, AD$2))), 0,_xll.SNL.Clients.Office.Excel.Functions.SPG($L48, $AD$4, AD$2))</f>
        <v>#NAME?</v>
      </c>
      <c r="AE48" s="72" t="e">
        <f ca="1" xml:space="preserve"> IF(ISNUMBER(SEARCH("na",_xll.SNL.Clients.Office.Excel.Functions.SPG($L48, $AD$4, AE$2))), 0,_xll.SNL.Clients.Office.Excel.Functions.SPG($L48, $AD$4, AE$2))</f>
        <v>#NAME?</v>
      </c>
      <c r="AF48" s="72" t="e">
        <f ca="1" xml:space="preserve"> IF(ISNUMBER(SEARCH("na",_xll.SNL.Clients.Office.Excel.Functions.SPG($L48, $AD$4, AF$2))), 0,_xll.SNL.Clients.Office.Excel.Functions.SPG($L48, $AD$4, AF$2))</f>
        <v>#NAME?</v>
      </c>
      <c r="AG48" s="72" t="e">
        <f ca="1" xml:space="preserve"> IF(ISNUMBER(SEARCH("na",_xll.SNL.Clients.Office.Excel.Functions.SPG($L48, $AG$4, AG$2))), 0,_xll.SNL.Clients.Office.Excel.Functions.SPG($L48, $AG$4, AG$2))</f>
        <v>#NAME?</v>
      </c>
      <c r="AH48" s="72" t="e">
        <f ca="1" xml:space="preserve"> IF(ISNUMBER(SEARCH("na",_xll.SNL.Clients.Office.Excel.Functions.SPG($L48, $AG$4, AH$2))), 0,_xll.SNL.Clients.Office.Excel.Functions.SPG($L48, $AG$4, AH$2))</f>
        <v>#NAME?</v>
      </c>
      <c r="AI48" s="72" t="e">
        <f ca="1" xml:space="preserve"> IF(ISNUMBER(SEARCH("na",_xll.SNL.Clients.Office.Excel.Functions.SPG($L48, $AG$4, AI$2))), 0,_xll.SNL.Clients.Office.Excel.Functions.SPG($L48, $AG$4, AI$2))</f>
        <v>#NAME?</v>
      </c>
      <c r="AJ48" s="72" t="e">
        <f ca="1" xml:space="preserve"> IF(ISNUMBER(SEARCH("na",_xll.SNL.Clients.Office.Excel.Functions.SPG($L48, $AJ$4, AJ$2))), 0,_xll.SNL.Clients.Office.Excel.Functions.SPG($L48, $AJ$4, AJ$2))</f>
        <v>#NAME?</v>
      </c>
      <c r="AK48" s="72" t="e">
        <f ca="1" xml:space="preserve"> IF(ISNUMBER(SEARCH("na",_xll.SNL.Clients.Office.Excel.Functions.SPG($L48, $AJ$4, AK$2))), 0,_xll.SNL.Clients.Office.Excel.Functions.SPG($L48, $AJ$4, AK$2))</f>
        <v>#NAME?</v>
      </c>
      <c r="AL48" s="72" t="e">
        <f ca="1" xml:space="preserve"> IF(ISNUMBER(SEARCH("na",_xll.SNL.Clients.Office.Excel.Functions.SPG($L48, $AJ$4, AL$2))), 0,_xll.SNL.Clients.Office.Excel.Functions.SPG($L48, $AJ$4, AL$2))</f>
        <v>#NAME?</v>
      </c>
      <c r="AM48" s="72" t="e">
        <f t="shared" ref="AM48:AM72" ca="1" si="230">AD48+AG48*agprice/auprice+AJ48*cuprice/auprice</f>
        <v>#NAME?</v>
      </c>
      <c r="AN48" s="72" t="e">
        <f t="shared" ref="AN48:AN72" ca="1" si="231">AE48+AH48*agprice/auprice+AK48*cuprice/auprice</f>
        <v>#NAME?</v>
      </c>
      <c r="AO48" s="72" t="e">
        <f t="shared" ref="AO48:AO72" ca="1" si="232">AF48+AI48*agprice/auprice+AL48*cuprice/auprice</f>
        <v>#NAME?</v>
      </c>
      <c r="AP48" s="83" t="str">
        <f t="shared" ca="1" si="219"/>
        <v>NA</v>
      </c>
      <c r="AQ48" s="84" t="str">
        <f t="shared" ca="1" si="219"/>
        <v>NA</v>
      </c>
      <c r="AR48" s="85" t="str">
        <f t="shared" ca="1" si="219"/>
        <v>NA</v>
      </c>
      <c r="AS48" s="72">
        <f ca="1">IFERROR(_xll.SNL.Clients.Office.Excel.Functions.SPG($L48, $AS$3, AS$2,$AS$4)/1000,0)</f>
        <v>0</v>
      </c>
      <c r="AT48" s="72">
        <f ca="1">IFERROR(_xll.SNL.Clients.Office.Excel.Functions.SPG($L48, $AS$3, AT$2,$AS$4)/1000,0)</f>
        <v>0</v>
      </c>
      <c r="AU48" s="72">
        <f ca="1">IFERROR(_xll.SNL.Clients.Office.Excel.Functions.SPG($L48, $AV$3, AU$2,$AS$4)/1000,0)</f>
        <v>0</v>
      </c>
      <c r="AV48" s="72">
        <f ca="1">IFERROR(_xll.SNL.Clients.Office.Excel.Functions.SPG($L48, $AV$3, AV$2,$AS$4)/1000,0)</f>
        <v>0</v>
      </c>
      <c r="AW48" s="72">
        <f ca="1">IFERROR(_xll.SNL.Clients.Office.Excel.Functions.SPG($L48, $AV$3, AW$2,$AS$4)/1000,0)</f>
        <v>0</v>
      </c>
      <c r="AX48" s="72">
        <f ca="1">IFERROR(_xll.SNL.Clients.Office.Excel.Functions.SPG($L48, $AX$3, AX$2,$AS$4)/1000,0)</f>
        <v>0</v>
      </c>
      <c r="AY48" s="72">
        <f ca="1">IFERROR(_xll.SNL.Clients.Office.Excel.Functions.SPG($L48, $AX$3, AY$2,$AS$4)/1000,0)</f>
        <v>0</v>
      </c>
      <c r="AZ48" s="72">
        <f ca="1">IFERROR(_xll.SNL.Clients.Office.Excel.Functions.SPG($L48, $BA$3, AZ$2,$AS$4)/1000,0)</f>
        <v>0</v>
      </c>
      <c r="BA48" s="72">
        <f ca="1">IFERROR(_xll.SNL.Clients.Office.Excel.Functions.SPG($L48, $BA$3, BA$2,$AS$4)/1000,0)</f>
        <v>0</v>
      </c>
      <c r="BB48" s="72">
        <f ca="1">IFERROR(_xll.SNL.Clients.Office.Excel.Functions.SPG($L48, $BA$3, BB$2,$AS$4)/1000,0)</f>
        <v>0</v>
      </c>
      <c r="BC48" s="72">
        <f ca="1">IFERROR(_xll.SNL.Clients.Office.Excel.Functions.SPG($L48, $BC$3, BC$2,$AS$4)/1000,0)</f>
        <v>0</v>
      </c>
      <c r="BD48" s="72">
        <f ca="1">IFERROR(_xll.SNL.Clients.Office.Excel.Functions.SPG($L48, $BC$3, BD$2,$AS$4)/1000,0)</f>
        <v>0</v>
      </c>
      <c r="BE48" s="72">
        <f ca="1">IFERROR(_xll.SNL.Clients.Office.Excel.Functions.SPG($L48, $BF$3, BE$2,$AS$4)/1000,0)</f>
        <v>0</v>
      </c>
      <c r="BF48" s="72">
        <f ca="1">IFERROR(_xll.SNL.Clients.Office.Excel.Functions.SPG($L48, $BF$3, BF$2,$AS$4)/1000,0)</f>
        <v>0</v>
      </c>
      <c r="BG48" s="72">
        <f ca="1">IFERROR(_xll.SNL.Clients.Office.Excel.Functions.SPG($L48, $BF$3, BG$2,$AS$4)/1000,0)</f>
        <v>0</v>
      </c>
      <c r="BH48" s="72">
        <f t="shared" ref="BH48:BH72" ca="1" si="233">AS48+AT48*agprice/auprice+AU48*cuprice/auprice+AV48*znprice/auprice+AW48*pbprice/auprice</f>
        <v>0</v>
      </c>
      <c r="BI48" s="72">
        <f t="shared" ref="BI48:BI72" ca="1" si="234">AX48+AY48*agprice/auprice+AZ48*cuprice/auprice+BA48*znprice/auprice+BB48*pbprice/auprice+BH48</f>
        <v>0</v>
      </c>
      <c r="BJ48" s="72">
        <f t="shared" ref="BJ48:BJ72" ca="1" si="235">BC48+BD48*agprice/auprice+BE48*cuprice/auprice+BF48*znprice/auprice+BG48*pbprice/auprice+BH48</f>
        <v>0</v>
      </c>
      <c r="BK48" s="77" t="e">
        <f t="shared" ca="1" si="223"/>
        <v>#NAME?</v>
      </c>
      <c r="BL48" s="72" t="e">
        <f t="shared" ca="1" si="223"/>
        <v>#NAME?</v>
      </c>
      <c r="BM48" s="78" t="e">
        <f t="shared" ca="1" si="223"/>
        <v>#NAME?</v>
      </c>
      <c r="BN48" s="72" t="e">
        <f ca="1">_xll.SNL.Clients.Office.Excel.Functions.SPG($L48, $BN$3, BN$2, "Au", "Options:Curr=USD")</f>
        <v>#NAME?</v>
      </c>
      <c r="BO48" s="72" t="e">
        <f ca="1">_xll.SNL.Clients.Office.Excel.Functions.SPG($L48, $BN$3, BO$2, "Au", "Options:Curr=USD")</f>
        <v>#NAME?</v>
      </c>
      <c r="BP48" s="72" t="e">
        <f ca="1">_xll.SNL.Clients.Office.Excel.Functions.SPG($L48, $BN$3, BP$2, "Au", "Options:Curr=USD")</f>
        <v>#NAME?</v>
      </c>
      <c r="BQ48" s="78" t="e">
        <f ca="1">_xll.SNL.Clients.Office.Excel.Functions.SPG($L48, $BN$3, BQ$2, "Au", "Options:Curr=USD")</f>
        <v>#NAME?</v>
      </c>
      <c r="BR48" s="72" t="str">
        <f ca="1">IFERROR(AVERAGE(_xll.SNL.Clients.Office.Excel.Functions.SPG($L48,$BR$4,"Au",BR$2, "Options:Curr=USD"),_xll.SNL.Clients.Office.Excel.Functions.SPG($L48,$BR$3,"Au",BR$2, "Options:Curr=USD")),"NA")</f>
        <v>NA</v>
      </c>
      <c r="BS48" s="72" t="str">
        <f ca="1">IFERROR(AVERAGE(_xll.SNL.Clients.Office.Excel.Functions.SPG($L48,$BR$4,"Au",BS$2, "Options:Curr=USD"),_xll.SNL.Clients.Office.Excel.Functions.SPG($L48,$BR$3,"Au",BS$2, "Options:Curr=USD")),"NA")</f>
        <v>NA</v>
      </c>
      <c r="BT48" s="78" t="str">
        <f ca="1">IFERROR(AVERAGE(_xll.SNL.Clients.Office.Excel.Functions.SPG($L48,$BR$4,"Au",BT$2, "Options:Curr=USD"),_xll.SNL.Clients.Office.Excel.Functions.SPG($L48,$BR$3,"Au",BT$2, "Options:Curr=USD")),"NA")</f>
        <v>NA</v>
      </c>
      <c r="BV48" s="36" t="s">
        <v>88</v>
      </c>
      <c r="BW48" s="36"/>
      <c r="BX48" s="36" t="s">
        <v>89</v>
      </c>
      <c r="BY48" s="36"/>
    </row>
    <row r="49" spans="1:77" ht="13.8" x14ac:dyDescent="0.25">
      <c r="A49" s="56" t="e">
        <f ca="1">_xll.SNL.Clients.Office.Excel.Functions.SPG($L49, A$3)</f>
        <v>#NAME?</v>
      </c>
      <c r="B49" s="56" t="e">
        <f ca="1">_xll.BDP($K49,B$3)</f>
        <v>#NAME?</v>
      </c>
      <c r="C49" s="56" t="e">
        <f ca="1">_xll.BDP($K49,C$3)</f>
        <v>#NAME?</v>
      </c>
      <c r="D49" s="56" t="e">
        <f ca="1">_xll.BDP($K49,D$3)</f>
        <v>#NAME?</v>
      </c>
      <c r="E49" s="57" t="s">
        <v>230</v>
      </c>
      <c r="F49" s="57" t="s">
        <v>107</v>
      </c>
      <c r="G49" s="57" t="s">
        <v>84</v>
      </c>
      <c r="H49" s="58" t="e">
        <f ca="1">_xll.SNL.Clients.Office.Excel.Functions.SPG($L49, "IQ_TEV", "Options: Curr=USD")</f>
        <v>#NAME?</v>
      </c>
      <c r="I49" s="58" t="e">
        <f ca="1">_xll.SNL.Clients.Office.Excel.Functions.SPG($L49, "SP_MARKETCAP", "Options: Curr=USD")</f>
        <v>#NAME?</v>
      </c>
      <c r="J49" s="59" t="s">
        <v>231</v>
      </c>
      <c r="K49" s="3" t="s">
        <v>232</v>
      </c>
      <c r="L49" s="18" t="s">
        <v>233</v>
      </c>
      <c r="M49" s="60" t="str" cm="1">
        <f t="array" aca="1" ref="M49" ca="1">IFERROR(_xll.SNL.Clients.Office.Excel.Functions.SPG($L49, $M$3)/100,"NA")</f>
        <v>NA</v>
      </c>
      <c r="N49" s="61" t="e" cm="1">
        <f t="array" aca="1" ref="N49" ca="1">_xll.SNL.Clients.Office.Excel.Functions.SPG($L49, "SP_PCFPS_FWD",N$2)</f>
        <v>#NAME?</v>
      </c>
      <c r="O49" s="62" t="e" cm="1">
        <f t="array" aca="1" ref="O49" ca="1">_xll.SNL.Clients.Office.Excel.Functions.SPG($L49, "SP_PCFPS_FWD",O$2)</f>
        <v>#NAME?</v>
      </c>
      <c r="P49" s="63" t="e" cm="1">
        <f t="array" aca="1" ref="P49" ca="1">_xll.SNL.Clients.Office.Excel.Functions.SPG($L49, "SP_PCFPS_FWD",P$2)</f>
        <v>#NAME?</v>
      </c>
      <c r="Q49" s="64" t="str">
        <f ca="1">IFERROR(_xll.SNL.Clients.Office.Excel.Functions.SPG($L49, "SP_FCF_EST",Q$2, "Options: Curr=USD")/1000/I49,"NA")</f>
        <v>NA</v>
      </c>
      <c r="R49" s="64" t="str">
        <f ca="1">IFERROR(_xll.SNL.Clients.Office.Excel.Functions.SPG($L49, "SP_FCF_EST",R$2, "Options: Curr=USD")/1000/I49,"NA")</f>
        <v>NA</v>
      </c>
      <c r="S49" s="64" t="e">
        <f ca="1">_xll.SNL.Clients.Office.Excel.Functions.SPG($L49, "SP_FCF_EST",S$2, "Options: Curr=USD")/1000/$I49</f>
        <v>#NAME?</v>
      </c>
      <c r="T49" s="61" t="e" cm="1">
        <f t="array" aca="1" ref="T49" ca="1">_xll.SNL.Clients.Office.Excel.Functions.SPG($L49, "SP_PE_FWD",T$2)</f>
        <v>#NAME?</v>
      </c>
      <c r="U49" s="63" t="e" cm="1">
        <f t="array" aca="1" ref="U49" ca="1">_xll.SNL.Clients.Office.Excel.Functions.SPG($L49, "SP_PE_FWD",U$2)</f>
        <v>#NAME?</v>
      </c>
      <c r="V49" s="80" t="e" cm="1">
        <f t="array" aca="1" ref="V49" ca="1">_xll.SNL.Clients.Office.Excel.Functions.SPG($L49, $V$3,V$2)</f>
        <v>#NAME?</v>
      </c>
      <c r="W49" s="81" t="e" cm="1">
        <f t="array" aca="1" ref="W49" ca="1">_xll.SNL.Clients.Office.Excel.Functions.SPG($L49, $V$3,W$2)</f>
        <v>#NAME?</v>
      </c>
      <c r="X49" s="82" t="e" cm="1">
        <f t="array" aca="1" ref="X49" ca="1">_xll.SNL.Clients.Office.Excel.Functions.SPG($L49, $V$3,X$2)</f>
        <v>#NAME?</v>
      </c>
      <c r="Y49" s="69" t="e" cm="1">
        <f t="array" aca="1" ref="Y49" ca="1">IF((_xll.SNL.Clients.Office.Excel.Functions.SPG($L49,Y$3,Y$4,"Options: Curr=USD") / _xll.SNL.Clients.Office.Excel.Functions.SPG($L49,"SP_EBITDA_EST",Y$2,"Options: Curr=USD")) &lt; 0, "NM", (_xll.SNL.Clients.Office.Excel.Functions.SPG($L49,Y$3,Y$4,"Options: Curr=USD") / _xll.SNL.Clients.Office.Excel.Functions.SPG($L49,"SP_EBITDA_EST",Y$2,"Options: Curr=USD")))</f>
        <v>#NAME?</v>
      </c>
      <c r="Z49" s="70" t="e" cm="1">
        <f t="array" aca="1" ref="Z49" ca="1">_xll.SNL.Clients.Office.Excel.Functions.SPG($L49, Z$3,Z$4)</f>
        <v>#NAME?</v>
      </c>
      <c r="AA49" s="77" t="str">
        <f ca="1">IFERROR(0.001*AVERAGE(_xll.SNL.Clients.Office.Excel.Functions.SPG($L49,$AA$4,"Au",AA$2),_xll.SNL.Clients.Office.Excel.Functions.SPG($L49,$AA$3,"Au",AA$2)),"NA")</f>
        <v>NA</v>
      </c>
      <c r="AB49" s="72" t="str">
        <f ca="1">IFERROR(0.001*AVERAGE(_xll.SNL.Clients.Office.Excel.Functions.SPG($L49,$AA$4,"Au",AB$2),_xll.SNL.Clients.Office.Excel.Functions.SPG($L49,$AA$3,"Au",AB$2)),"NA")</f>
        <v>NA</v>
      </c>
      <c r="AC49" s="78" t="str">
        <f ca="1">IFERROR(0.001*AVERAGE(_xll.SNL.Clients.Office.Excel.Functions.SPG($L49,$AA$4,"Au",AC$2),_xll.SNL.Clients.Office.Excel.Functions.SPG($L49,$AA$3,"Au",AC$2)),"NA")</f>
        <v>NA</v>
      </c>
      <c r="AD49" s="72" t="e">
        <f ca="1" xml:space="preserve"> IF(ISNUMBER(SEARCH("na",_xll.SNL.Clients.Office.Excel.Functions.SPG($L49, $AD$4, AD$2))), 0,_xll.SNL.Clients.Office.Excel.Functions.SPG($L49, $AD$4, AD$2))</f>
        <v>#NAME?</v>
      </c>
      <c r="AE49" s="72" t="e">
        <f ca="1" xml:space="preserve"> IF(ISNUMBER(SEARCH("na",_xll.SNL.Clients.Office.Excel.Functions.SPG($L49, $AD$4, AE$2))), 0,_xll.SNL.Clients.Office.Excel.Functions.SPG($L49, $AD$4, AE$2))</f>
        <v>#NAME?</v>
      </c>
      <c r="AF49" s="72" t="e">
        <f ca="1" xml:space="preserve"> IF(ISNUMBER(SEARCH("na",_xll.SNL.Clients.Office.Excel.Functions.SPG($L49, $AD$4, AF$2))), 0,_xll.SNL.Clients.Office.Excel.Functions.SPG($L49, $AD$4, AF$2))</f>
        <v>#NAME?</v>
      </c>
      <c r="AG49" s="72" t="e">
        <f ca="1" xml:space="preserve"> IF(ISNUMBER(SEARCH("na",_xll.SNL.Clients.Office.Excel.Functions.SPG($L49, $AG$4, AG$2))), 0,_xll.SNL.Clients.Office.Excel.Functions.SPG($L49, $AG$4, AG$2))</f>
        <v>#NAME?</v>
      </c>
      <c r="AH49" s="72" t="e">
        <f ca="1" xml:space="preserve"> IF(ISNUMBER(SEARCH("na",_xll.SNL.Clients.Office.Excel.Functions.SPG($L49, $AG$4, AH$2))), 0,_xll.SNL.Clients.Office.Excel.Functions.SPG($L49, $AG$4, AH$2))</f>
        <v>#NAME?</v>
      </c>
      <c r="AI49" s="72" t="e">
        <f ca="1" xml:space="preserve"> IF(ISNUMBER(SEARCH("na",_xll.SNL.Clients.Office.Excel.Functions.SPG($L49, $AG$4, AI$2))), 0,_xll.SNL.Clients.Office.Excel.Functions.SPG($L49, $AG$4, AI$2))</f>
        <v>#NAME?</v>
      </c>
      <c r="AJ49" s="72" t="e">
        <f ca="1" xml:space="preserve"> IF(ISNUMBER(SEARCH("na",_xll.SNL.Clients.Office.Excel.Functions.SPG($L49, $AJ$4, AJ$2))), 0,_xll.SNL.Clients.Office.Excel.Functions.SPG($L49, $AJ$4, AJ$2))</f>
        <v>#NAME?</v>
      </c>
      <c r="AK49" s="72" t="e">
        <f ca="1" xml:space="preserve"> IF(ISNUMBER(SEARCH("na",_xll.SNL.Clients.Office.Excel.Functions.SPG($L49, $AJ$4, AK$2))), 0,_xll.SNL.Clients.Office.Excel.Functions.SPG($L49, $AJ$4, AK$2))</f>
        <v>#NAME?</v>
      </c>
      <c r="AL49" s="72" t="e">
        <f ca="1" xml:space="preserve"> IF(ISNUMBER(SEARCH("na",_xll.SNL.Clients.Office.Excel.Functions.SPG($L49, $AJ$4, AL$2))), 0,_xll.SNL.Clients.Office.Excel.Functions.SPG($L49, $AJ$4, AL$2))</f>
        <v>#NAME?</v>
      </c>
      <c r="AM49" s="72" t="e">
        <f t="shared" ref="AM49:AM73" ca="1" si="236">AD49+AG49*agprice/auprice+AJ49*cuprice/auprice</f>
        <v>#NAME?</v>
      </c>
      <c r="AN49" s="72" t="e">
        <f t="shared" ref="AN49:AN73" ca="1" si="237">AE49+AH49*agprice/auprice+AK49*cuprice/auprice</f>
        <v>#NAME?</v>
      </c>
      <c r="AO49" s="72" t="e">
        <f t="shared" ref="AO49:AO73" ca="1" si="238">AF49+AI49*agprice/auprice+AL49*cuprice/auprice</f>
        <v>#NAME?</v>
      </c>
      <c r="AP49" s="83" t="str">
        <f t="shared" ca="1" si="219"/>
        <v>NA</v>
      </c>
      <c r="AQ49" s="84" t="str">
        <f t="shared" ca="1" si="219"/>
        <v>NA</v>
      </c>
      <c r="AR49" s="85" t="str">
        <f t="shared" ca="1" si="219"/>
        <v>NA</v>
      </c>
      <c r="AS49" s="72">
        <f ca="1">IFERROR(_xll.SNL.Clients.Office.Excel.Functions.SPG($L49, $AS$3, AS$2,$AS$4)/1000,0)</f>
        <v>0</v>
      </c>
      <c r="AT49" s="72">
        <f ca="1">IFERROR(_xll.SNL.Clients.Office.Excel.Functions.SPG($L49, $AS$3, AT$2,$AS$4)/1000,0)</f>
        <v>0</v>
      </c>
      <c r="AU49" s="72">
        <f ca="1">IFERROR(_xll.SNL.Clients.Office.Excel.Functions.SPG($L49, $AV$3, AU$2,$AS$4)/1000,0)</f>
        <v>0</v>
      </c>
      <c r="AV49" s="72">
        <f ca="1">IFERROR(_xll.SNL.Clients.Office.Excel.Functions.SPG($L49, $AV$3, AV$2,$AS$4)/1000,0)</f>
        <v>0</v>
      </c>
      <c r="AW49" s="72">
        <f ca="1">IFERROR(_xll.SNL.Clients.Office.Excel.Functions.SPG($L49, $AV$3, AW$2,$AS$4)/1000,0)</f>
        <v>0</v>
      </c>
      <c r="AX49" s="72">
        <f ca="1">IFERROR(_xll.SNL.Clients.Office.Excel.Functions.SPG($L49, $AX$3, AX$2,$AS$4)/1000,0)</f>
        <v>0</v>
      </c>
      <c r="AY49" s="72">
        <f ca="1">IFERROR(_xll.SNL.Clients.Office.Excel.Functions.SPG($L49, $AX$3, AY$2,$AS$4)/1000,0)</f>
        <v>0</v>
      </c>
      <c r="AZ49" s="72">
        <f ca="1">IFERROR(_xll.SNL.Clients.Office.Excel.Functions.SPG($L49, $BA$3, AZ$2,$AS$4)/1000,0)</f>
        <v>0</v>
      </c>
      <c r="BA49" s="72">
        <f ca="1">IFERROR(_xll.SNL.Clients.Office.Excel.Functions.SPG($L49, $BA$3, BA$2,$AS$4)/1000,0)</f>
        <v>0</v>
      </c>
      <c r="BB49" s="72">
        <f ca="1">IFERROR(_xll.SNL.Clients.Office.Excel.Functions.SPG($L49, $BA$3, BB$2,$AS$4)/1000,0)</f>
        <v>0</v>
      </c>
      <c r="BC49" s="72">
        <f ca="1">IFERROR(_xll.SNL.Clients.Office.Excel.Functions.SPG($L49, $BC$3, BC$2,$AS$4)/1000,0)</f>
        <v>0</v>
      </c>
      <c r="BD49" s="72">
        <f ca="1">IFERROR(_xll.SNL.Clients.Office.Excel.Functions.SPG($L49, $BC$3, BD$2,$AS$4)/1000,0)</f>
        <v>0</v>
      </c>
      <c r="BE49" s="72">
        <f ca="1">IFERROR(_xll.SNL.Clients.Office.Excel.Functions.SPG($L49, $BF$3, BE$2,$AS$4)/1000,0)</f>
        <v>0</v>
      </c>
      <c r="BF49" s="72">
        <f ca="1">IFERROR(_xll.SNL.Clients.Office.Excel.Functions.SPG($L49, $BF$3, BF$2,$AS$4)/1000,0)</f>
        <v>0</v>
      </c>
      <c r="BG49" s="72">
        <f ca="1">IFERROR(_xll.SNL.Clients.Office.Excel.Functions.SPG($L49, $BF$3, BG$2,$AS$4)/1000,0)</f>
        <v>0</v>
      </c>
      <c r="BH49" s="72">
        <f t="shared" ref="BH49:BH73" ca="1" si="239">AS49+AT49*agprice/auprice+AU49*cuprice/auprice+AV49*znprice/auprice+AW49*pbprice/auprice</f>
        <v>0</v>
      </c>
      <c r="BI49" s="72">
        <f t="shared" ref="BI49:BI73" ca="1" si="240">AX49+AY49*agprice/auprice+AZ49*cuprice/auprice+BA49*znprice/auprice+BB49*pbprice/auprice+BH49</f>
        <v>0</v>
      </c>
      <c r="BJ49" s="72">
        <f t="shared" ref="BJ49:BJ73" ca="1" si="241">BC49+BD49*agprice/auprice+BE49*cuprice/auprice+BF49*znprice/auprice+BG49*pbprice/auprice+BH49</f>
        <v>0</v>
      </c>
      <c r="BK49" s="77" t="e">
        <f t="shared" ca="1" si="223"/>
        <v>#NAME?</v>
      </c>
      <c r="BL49" s="72" t="e">
        <f t="shared" ca="1" si="223"/>
        <v>#NAME?</v>
      </c>
      <c r="BM49" s="78" t="e">
        <f t="shared" ca="1" si="223"/>
        <v>#NAME?</v>
      </c>
      <c r="BN49" s="72" t="e">
        <f ca="1">_xll.SNL.Clients.Office.Excel.Functions.SPG($L49, $BN$3, BN$2, "Au", "Options:Curr=USD")</f>
        <v>#NAME?</v>
      </c>
      <c r="BO49" s="72" t="e">
        <f ca="1">_xll.SNL.Clients.Office.Excel.Functions.SPG($L49, $BN$3, BO$2, "Au", "Options:Curr=USD")</f>
        <v>#NAME?</v>
      </c>
      <c r="BP49" s="72" t="e">
        <f ca="1">_xll.SNL.Clients.Office.Excel.Functions.SPG($L49, $BN$3, BP$2, "Au", "Options:Curr=USD")</f>
        <v>#NAME?</v>
      </c>
      <c r="BQ49" s="78" t="e">
        <f ca="1">_xll.SNL.Clients.Office.Excel.Functions.SPG($L49, $BN$3, BQ$2, "Au", "Options:Curr=USD")</f>
        <v>#NAME?</v>
      </c>
      <c r="BR49" s="72" t="str">
        <f ca="1">IFERROR(AVERAGE(_xll.SNL.Clients.Office.Excel.Functions.SPG($L49,$BR$4,"Au",BR$2, "Options:Curr=USD"),_xll.SNL.Clients.Office.Excel.Functions.SPG($L49,$BR$3,"Au",BR$2, "Options:Curr=USD")),"NA")</f>
        <v>NA</v>
      </c>
      <c r="BS49" s="72" t="str">
        <f ca="1">IFERROR(AVERAGE(_xll.SNL.Clients.Office.Excel.Functions.SPG($L49,$BR$4,"Au",BS$2, "Options:Curr=USD"),_xll.SNL.Clients.Office.Excel.Functions.SPG($L49,$BR$3,"Au",BS$2, "Options:Curr=USD")),"NA")</f>
        <v>NA</v>
      </c>
      <c r="BT49" s="78" t="str">
        <f ca="1">IFERROR(AVERAGE(_xll.SNL.Clients.Office.Excel.Functions.SPG($L49,$BR$4,"Au",BT$2, "Options:Curr=USD"),_xll.SNL.Clients.Office.Excel.Functions.SPG($L49,$BR$3,"Au",BT$2, "Options:Curr=USD")),"NA")</f>
        <v>NA</v>
      </c>
      <c r="BV49" s="36" t="s">
        <v>88</v>
      </c>
      <c r="BW49" s="36"/>
      <c r="BX49" s="36" t="s">
        <v>89</v>
      </c>
      <c r="BY49" s="36"/>
    </row>
    <row r="50" spans="1:77" ht="13.8" x14ac:dyDescent="0.25">
      <c r="A50" s="56" t="e">
        <f ca="1">_xll.SNL.Clients.Office.Excel.Functions.SPG($L50, A$3)</f>
        <v>#NAME?</v>
      </c>
      <c r="B50" s="56" t="e">
        <f ca="1">_xll.BDP($K50,B$3)</f>
        <v>#NAME?</v>
      </c>
      <c r="C50" s="56" t="e">
        <f ca="1">_xll.BDP($K50,C$3)</f>
        <v>#NAME?</v>
      </c>
      <c r="D50" s="56" t="e">
        <f ca="1">_xll.BDP($K50,D$3)</f>
        <v>#NAME?</v>
      </c>
      <c r="E50" s="57" t="s">
        <v>223</v>
      </c>
      <c r="F50" s="57" t="s">
        <v>107</v>
      </c>
      <c r="G50" s="57" t="s">
        <v>84</v>
      </c>
      <c r="H50" s="58" t="e">
        <f ca="1">_xll.SNL.Clients.Office.Excel.Functions.SPG($L50, "IQ_TEV", "Options: Curr=USD")</f>
        <v>#NAME?</v>
      </c>
      <c r="I50" s="58" t="e">
        <f ca="1">_xll.SNL.Clients.Office.Excel.Functions.SPG($L50, "SP_MARKETCAP", "Options: Curr=USD")</f>
        <v>#NAME?</v>
      </c>
      <c r="J50" s="59" t="s">
        <v>234</v>
      </c>
      <c r="K50" s="3" t="s">
        <v>235</v>
      </c>
      <c r="L50" s="3" t="s">
        <v>236</v>
      </c>
      <c r="M50" s="60" t="str" cm="1">
        <f t="array" aca="1" ref="M50" ca="1">IFERROR(_xll.SNL.Clients.Office.Excel.Functions.SPG($L50, $M$3)/100,"NA")</f>
        <v>NA</v>
      </c>
      <c r="N50" s="61" t="e" cm="1">
        <f t="array" aca="1" ref="N50" ca="1">_xll.SNL.Clients.Office.Excel.Functions.SPG($L50, "SP_PCFPS_FWD",N$2)</f>
        <v>#NAME?</v>
      </c>
      <c r="O50" s="62" t="e" cm="1">
        <f t="array" aca="1" ref="O50" ca="1">_xll.SNL.Clients.Office.Excel.Functions.SPG($L50, "SP_PCFPS_FWD",O$2)</f>
        <v>#NAME?</v>
      </c>
      <c r="P50" s="63" t="e" cm="1">
        <f t="array" aca="1" ref="P50" ca="1">_xll.SNL.Clients.Office.Excel.Functions.SPG($L50, "SP_PCFPS_FWD",P$2)</f>
        <v>#NAME?</v>
      </c>
      <c r="Q50" s="64" t="str">
        <f ca="1">IFERROR(_xll.SNL.Clients.Office.Excel.Functions.SPG($L50, "SP_FCF_EST",Q$2, "Options: Curr=USD")/1000/I50,"NA")</f>
        <v>NA</v>
      </c>
      <c r="R50" s="64" t="str">
        <f ca="1">IFERROR(_xll.SNL.Clients.Office.Excel.Functions.SPG($L50, "SP_FCF_EST",R$2, "Options: Curr=USD")/1000/I50,"NA")</f>
        <v>NA</v>
      </c>
      <c r="S50" s="64" t="e">
        <f ca="1">_xll.SNL.Clients.Office.Excel.Functions.SPG($L50, "SP_FCF_EST",S$2, "Options: Curr=USD")/1000/$I50</f>
        <v>#NAME?</v>
      </c>
      <c r="T50" s="61" t="e" cm="1">
        <f t="array" aca="1" ref="T50" ca="1">_xll.SNL.Clients.Office.Excel.Functions.SPG($L50, "SP_PE_FWD",T$2)</f>
        <v>#NAME?</v>
      </c>
      <c r="U50" s="63" t="e" cm="1">
        <f t="array" aca="1" ref="U50" ca="1">_xll.SNL.Clients.Office.Excel.Functions.SPG($L50, "SP_PE_FWD",U$2)</f>
        <v>#NAME?</v>
      </c>
      <c r="V50" s="80" t="e" cm="1">
        <f t="array" aca="1" ref="V50" ca="1">_xll.SNL.Clients.Office.Excel.Functions.SPG($L50, $V$3,V$2)</f>
        <v>#NAME?</v>
      </c>
      <c r="W50" s="81" t="e" cm="1">
        <f t="array" aca="1" ref="W50" ca="1">_xll.SNL.Clients.Office.Excel.Functions.SPG($L50, $V$3,W$2)</f>
        <v>#NAME?</v>
      </c>
      <c r="X50" s="82" t="e" cm="1">
        <f t="array" aca="1" ref="X50" ca="1">_xll.SNL.Clients.Office.Excel.Functions.SPG($L50, $V$3,X$2)</f>
        <v>#NAME?</v>
      </c>
      <c r="Y50" s="69" t="e" cm="1">
        <f t="array" aca="1" ref="Y50" ca="1">IF((_xll.SNL.Clients.Office.Excel.Functions.SPG($L50,Y$3,Y$4,"Options: Curr=USD") / _xll.SNL.Clients.Office.Excel.Functions.SPG($L50,"SP_EBITDA_EST",Y$2,"Options: Curr=USD")) &lt; 0, "NM", (_xll.SNL.Clients.Office.Excel.Functions.SPG($L50,Y$3,Y$4,"Options: Curr=USD") / _xll.SNL.Clients.Office.Excel.Functions.SPG($L50,"SP_EBITDA_EST",Y$2,"Options: Curr=USD")))</f>
        <v>#NAME?</v>
      </c>
      <c r="Z50" s="70" t="e" cm="1">
        <f t="array" aca="1" ref="Z50" ca="1">_xll.SNL.Clients.Office.Excel.Functions.SPG($L50, Z$3,Z$4)</f>
        <v>#NAME?</v>
      </c>
      <c r="AA50" s="77" t="str">
        <f ca="1">IFERROR(0.001*AVERAGE(_xll.SNL.Clients.Office.Excel.Functions.SPG($L50,$AA$4,"Au",AA$2),_xll.SNL.Clients.Office.Excel.Functions.SPG($L50,$AA$3,"Au",AA$2)),"NA")</f>
        <v>NA</v>
      </c>
      <c r="AB50" s="72" t="str">
        <f ca="1">IFERROR(0.001*AVERAGE(_xll.SNL.Clients.Office.Excel.Functions.SPG($L50,$AA$4,"Au",AB$2),_xll.SNL.Clients.Office.Excel.Functions.SPG($L50,$AA$3,"Au",AB$2)),"NA")</f>
        <v>NA</v>
      </c>
      <c r="AC50" s="78" t="str">
        <f ca="1">IFERROR(0.001*AVERAGE(_xll.SNL.Clients.Office.Excel.Functions.SPG($L50,$AA$4,"Au",AC$2),_xll.SNL.Clients.Office.Excel.Functions.SPG($L50,$AA$3,"Au",AC$2)),"NA")</f>
        <v>NA</v>
      </c>
      <c r="AD50" s="72" t="e">
        <f ca="1" xml:space="preserve"> IF(ISNUMBER(SEARCH("na",_xll.SNL.Clients.Office.Excel.Functions.SPG($L50, $AD$4, AD$2))), 0,_xll.SNL.Clients.Office.Excel.Functions.SPG($L50, $AD$4, AD$2))</f>
        <v>#NAME?</v>
      </c>
      <c r="AE50" s="72" t="e">
        <f ca="1" xml:space="preserve"> IF(ISNUMBER(SEARCH("na",_xll.SNL.Clients.Office.Excel.Functions.SPG($L50, $AD$4, AE$2))), 0,_xll.SNL.Clients.Office.Excel.Functions.SPG($L50, $AD$4, AE$2))</f>
        <v>#NAME?</v>
      </c>
      <c r="AF50" s="72" t="e">
        <f ca="1" xml:space="preserve"> IF(ISNUMBER(SEARCH("na",_xll.SNL.Clients.Office.Excel.Functions.SPG($L50, $AD$4, AF$2))), 0,_xll.SNL.Clients.Office.Excel.Functions.SPG($L50, $AD$4, AF$2))</f>
        <v>#NAME?</v>
      </c>
      <c r="AG50" s="72" t="e">
        <f ca="1" xml:space="preserve"> IF(ISNUMBER(SEARCH("na",_xll.SNL.Clients.Office.Excel.Functions.SPG($L50, $AG$4, AG$2))), 0,_xll.SNL.Clients.Office.Excel.Functions.SPG($L50, $AG$4, AG$2))</f>
        <v>#NAME?</v>
      </c>
      <c r="AH50" s="72" t="e">
        <f ca="1" xml:space="preserve"> IF(ISNUMBER(SEARCH("na",_xll.SNL.Clients.Office.Excel.Functions.SPG($L50, $AG$4, AH$2))), 0,_xll.SNL.Clients.Office.Excel.Functions.SPG($L50, $AG$4, AH$2))</f>
        <v>#NAME?</v>
      </c>
      <c r="AI50" s="72" t="e">
        <f ca="1" xml:space="preserve"> IF(ISNUMBER(SEARCH("na",_xll.SNL.Clients.Office.Excel.Functions.SPG($L50, $AG$4, AI$2))), 0,_xll.SNL.Clients.Office.Excel.Functions.SPG($L50, $AG$4, AI$2))</f>
        <v>#NAME?</v>
      </c>
      <c r="AJ50" s="72" t="e">
        <f ca="1" xml:space="preserve"> IF(ISNUMBER(SEARCH("na",_xll.SNL.Clients.Office.Excel.Functions.SPG($L50, $AJ$4, AJ$2))), 0,_xll.SNL.Clients.Office.Excel.Functions.SPG($L50, $AJ$4, AJ$2))</f>
        <v>#NAME?</v>
      </c>
      <c r="AK50" s="72" t="e">
        <f ca="1" xml:space="preserve"> IF(ISNUMBER(SEARCH("na",_xll.SNL.Clients.Office.Excel.Functions.SPG($L50, $AJ$4, AK$2))), 0,_xll.SNL.Clients.Office.Excel.Functions.SPG($L50, $AJ$4, AK$2))</f>
        <v>#NAME?</v>
      </c>
      <c r="AL50" s="72" t="e">
        <f ca="1" xml:space="preserve"> IF(ISNUMBER(SEARCH("na",_xll.SNL.Clients.Office.Excel.Functions.SPG($L50, $AJ$4, AL$2))), 0,_xll.SNL.Clients.Office.Excel.Functions.SPG($L50, $AJ$4, AL$2))</f>
        <v>#NAME?</v>
      </c>
      <c r="AM50" s="72" t="e">
        <f t="shared" ref="AM50:AM74" ca="1" si="242">AD50+AG50*agprice/auprice+AJ50*cuprice/auprice</f>
        <v>#NAME?</v>
      </c>
      <c r="AN50" s="72" t="e">
        <f t="shared" ref="AN50:AN74" ca="1" si="243">AE50+AH50*agprice/auprice+AK50*cuprice/auprice</f>
        <v>#NAME?</v>
      </c>
      <c r="AO50" s="72" t="e">
        <f t="shared" ref="AO50:AO74" ca="1" si="244">AF50+AI50*agprice/auprice+AL50*cuprice/auprice</f>
        <v>#NAME?</v>
      </c>
      <c r="AP50" s="83" t="str">
        <f t="shared" ca="1" si="219"/>
        <v>NA</v>
      </c>
      <c r="AQ50" s="84" t="str">
        <f t="shared" ca="1" si="219"/>
        <v>NA</v>
      </c>
      <c r="AR50" s="85" t="str">
        <f t="shared" ca="1" si="219"/>
        <v>NA</v>
      </c>
      <c r="AS50" s="72">
        <f ca="1">IFERROR(_xll.SNL.Clients.Office.Excel.Functions.SPG($L50, $AS$3, AS$2,$AS$4)/1000,0)</f>
        <v>0</v>
      </c>
      <c r="AT50" s="72">
        <f ca="1">IFERROR(_xll.SNL.Clients.Office.Excel.Functions.SPG($L50, $AS$3, AT$2,$AS$4)/1000,0)</f>
        <v>0</v>
      </c>
      <c r="AU50" s="72">
        <f ca="1">IFERROR(_xll.SNL.Clients.Office.Excel.Functions.SPG($L50, $AV$3, AU$2,$AS$4)/1000,0)</f>
        <v>0</v>
      </c>
      <c r="AV50" s="72">
        <f ca="1">IFERROR(_xll.SNL.Clients.Office.Excel.Functions.SPG($L50, $AV$3, AV$2,$AS$4)/1000,0)</f>
        <v>0</v>
      </c>
      <c r="AW50" s="72">
        <f ca="1">IFERROR(_xll.SNL.Clients.Office.Excel.Functions.SPG($L50, $AV$3, AW$2,$AS$4)/1000,0)</f>
        <v>0</v>
      </c>
      <c r="AX50" s="72">
        <f ca="1">IFERROR(_xll.SNL.Clients.Office.Excel.Functions.SPG($L50, $AX$3, AX$2,$AS$4)/1000,0)</f>
        <v>0</v>
      </c>
      <c r="AY50" s="72">
        <f ca="1">IFERROR(_xll.SNL.Clients.Office.Excel.Functions.SPG($L50, $AX$3, AY$2,$AS$4)/1000,0)</f>
        <v>0</v>
      </c>
      <c r="AZ50" s="72">
        <f ca="1">IFERROR(_xll.SNL.Clients.Office.Excel.Functions.SPG($L50, $BA$3, AZ$2,$AS$4)/1000,0)</f>
        <v>0</v>
      </c>
      <c r="BA50" s="72">
        <f ca="1">IFERROR(_xll.SNL.Clients.Office.Excel.Functions.SPG($L50, $BA$3, BA$2,$AS$4)/1000,0)</f>
        <v>0</v>
      </c>
      <c r="BB50" s="72">
        <f ca="1">IFERROR(_xll.SNL.Clients.Office.Excel.Functions.SPG($L50, $BA$3, BB$2,$AS$4)/1000,0)</f>
        <v>0</v>
      </c>
      <c r="BC50" s="72">
        <f ca="1">IFERROR(_xll.SNL.Clients.Office.Excel.Functions.SPG($L50, $BC$3, BC$2,$AS$4)/1000,0)</f>
        <v>0</v>
      </c>
      <c r="BD50" s="72">
        <f ca="1">IFERROR(_xll.SNL.Clients.Office.Excel.Functions.SPG($L50, $BC$3, BD$2,$AS$4)/1000,0)</f>
        <v>0</v>
      </c>
      <c r="BE50" s="72">
        <f ca="1">IFERROR(_xll.SNL.Clients.Office.Excel.Functions.SPG($L50, $BF$3, BE$2,$AS$4)/1000,0)</f>
        <v>0</v>
      </c>
      <c r="BF50" s="72">
        <f ca="1">IFERROR(_xll.SNL.Clients.Office.Excel.Functions.SPG($L50, $BF$3, BF$2,$AS$4)/1000,0)</f>
        <v>0</v>
      </c>
      <c r="BG50" s="72">
        <f ca="1">IFERROR(_xll.SNL.Clients.Office.Excel.Functions.SPG($L50, $BF$3, BG$2,$AS$4)/1000,0)</f>
        <v>0</v>
      </c>
      <c r="BH50" s="72">
        <f t="shared" ref="BH50:BH74" ca="1" si="245">AS50+AT50*agprice/auprice+AU50*cuprice/auprice+AV50*znprice/auprice+AW50*pbprice/auprice</f>
        <v>0</v>
      </c>
      <c r="BI50" s="72">
        <f t="shared" ref="BI50:BI74" ca="1" si="246">AX50+AY50*agprice/auprice+AZ50*cuprice/auprice+BA50*znprice/auprice+BB50*pbprice/auprice+BH50</f>
        <v>0</v>
      </c>
      <c r="BJ50" s="72">
        <f t="shared" ref="BJ50:BJ74" ca="1" si="247">BC50+BD50*agprice/auprice+BE50*cuprice/auprice+BF50*znprice/auprice+BG50*pbprice/auprice+BH50</f>
        <v>0</v>
      </c>
      <c r="BK50" s="77" t="e">
        <f t="shared" ca="1" si="223"/>
        <v>#NAME?</v>
      </c>
      <c r="BL50" s="72" t="e">
        <f t="shared" ca="1" si="223"/>
        <v>#NAME?</v>
      </c>
      <c r="BM50" s="78" t="e">
        <f t="shared" ca="1" si="223"/>
        <v>#NAME?</v>
      </c>
      <c r="BN50" s="72" t="e">
        <f ca="1">_xll.SNL.Clients.Office.Excel.Functions.SPG($L50, $BN$3, BN$2, "Au", "Options:Curr=USD")</f>
        <v>#NAME?</v>
      </c>
      <c r="BO50" s="72" t="e">
        <f ca="1">_xll.SNL.Clients.Office.Excel.Functions.SPG($L50, $BN$3, BO$2, "Au", "Options:Curr=USD")</f>
        <v>#NAME?</v>
      </c>
      <c r="BP50" s="72" t="e">
        <f ca="1">_xll.SNL.Clients.Office.Excel.Functions.SPG($L50, $BN$3, BP$2, "Au", "Options:Curr=USD")</f>
        <v>#NAME?</v>
      </c>
      <c r="BQ50" s="78" t="e">
        <f ca="1">_xll.SNL.Clients.Office.Excel.Functions.SPG($L50, $BN$3, BQ$2, "Au", "Options:Curr=USD")</f>
        <v>#NAME?</v>
      </c>
      <c r="BR50" s="72" t="str">
        <f ca="1">IFERROR(AVERAGE(_xll.SNL.Clients.Office.Excel.Functions.SPG($L50,$BR$4,"Au",BR$2, "Options:Curr=USD"),_xll.SNL.Clients.Office.Excel.Functions.SPG($L50,$BR$3,"Au",BR$2, "Options:Curr=USD")),"NA")</f>
        <v>NA</v>
      </c>
      <c r="BS50" s="72" t="str">
        <f ca="1">IFERROR(AVERAGE(_xll.SNL.Clients.Office.Excel.Functions.SPG($L50,$BR$4,"Au",BS$2, "Options:Curr=USD"),_xll.SNL.Clients.Office.Excel.Functions.SPG($L50,$BR$3,"Au",BS$2, "Options:Curr=USD")),"NA")</f>
        <v>NA</v>
      </c>
      <c r="BT50" s="78" t="str">
        <f ca="1">IFERROR(AVERAGE(_xll.SNL.Clients.Office.Excel.Functions.SPG($L50,$BR$4,"Au",BT$2, "Options:Curr=USD"),_xll.SNL.Clients.Office.Excel.Functions.SPG($L50,$BR$3,"Au",BT$2, "Options:Curr=USD")),"NA")</f>
        <v>NA</v>
      </c>
      <c r="BV50" s="36" t="s">
        <v>88</v>
      </c>
      <c r="BW50" s="36"/>
      <c r="BX50" s="36" t="s">
        <v>89</v>
      </c>
      <c r="BY50" s="36"/>
    </row>
    <row r="51" spans="1:77" ht="13.8" x14ac:dyDescent="0.25">
      <c r="A51" s="56" t="e">
        <f ca="1">_xll.SNL.Clients.Office.Excel.Functions.SPG($L51, A$3)</f>
        <v>#NAME?</v>
      </c>
      <c r="B51" s="56" t="e">
        <f ca="1">_xll.BDP($K51,B$3)</f>
        <v>#NAME?</v>
      </c>
      <c r="C51" s="56" t="e">
        <f ca="1">_xll.BDP($K51,C$3)</f>
        <v>#NAME?</v>
      </c>
      <c r="D51" s="56" t="e">
        <f ca="1">_xll.BDP($K51,D$3)</f>
        <v>#NAME?</v>
      </c>
      <c r="E51" s="57" t="s">
        <v>223</v>
      </c>
      <c r="F51" s="57" t="s">
        <v>107</v>
      </c>
      <c r="G51" s="57" t="s">
        <v>84</v>
      </c>
      <c r="H51" s="58" t="e">
        <f ca="1">_xll.SNL.Clients.Office.Excel.Functions.SPG($L51, "IQ_TEV", "Options: Curr=USD")</f>
        <v>#NAME?</v>
      </c>
      <c r="I51" s="58" t="e">
        <f ca="1">_xll.SNL.Clients.Office.Excel.Functions.SPG($L51, "SP_MARKETCAP", "Options: Curr=USD")</f>
        <v>#NAME?</v>
      </c>
      <c r="J51" s="59" t="s">
        <v>237</v>
      </c>
      <c r="L51" s="3" t="s">
        <v>238</v>
      </c>
      <c r="M51" s="60" t="str" cm="1">
        <f t="array" aca="1" ref="M51" ca="1">IFERROR(_xll.SNL.Clients.Office.Excel.Functions.SPG($L51, $M$3)/100,"NA")</f>
        <v>NA</v>
      </c>
      <c r="N51" s="61" t="e" cm="1">
        <f t="array" aca="1" ref="N51" ca="1">_xll.SNL.Clients.Office.Excel.Functions.SPG($L51, "SP_PCFPS_FWD",N$2)</f>
        <v>#NAME?</v>
      </c>
      <c r="O51" s="62" t="e" cm="1">
        <f t="array" aca="1" ref="O51" ca="1">_xll.SNL.Clients.Office.Excel.Functions.SPG($L51, "SP_PCFPS_FWD",O$2)</f>
        <v>#NAME?</v>
      </c>
      <c r="P51" s="63" t="e" cm="1">
        <f t="array" aca="1" ref="P51" ca="1">_xll.SNL.Clients.Office.Excel.Functions.SPG($L51, "SP_PCFPS_FWD",P$2)</f>
        <v>#NAME?</v>
      </c>
      <c r="Q51" s="64" t="str">
        <f ca="1">IFERROR(_xll.SNL.Clients.Office.Excel.Functions.SPG($L51, "SP_FCF_EST",Q$2, "Options: Curr=USD")/1000/I51,"NA")</f>
        <v>NA</v>
      </c>
      <c r="R51" s="64" t="str">
        <f ca="1">IFERROR(_xll.SNL.Clients.Office.Excel.Functions.SPG($L51, "SP_FCF_EST",R$2, "Options: Curr=USD")/1000/I51,"NA")</f>
        <v>NA</v>
      </c>
      <c r="S51" s="64" t="e">
        <f ca="1">_xll.SNL.Clients.Office.Excel.Functions.SPG($L51, "SP_FCF_EST",S$2, "Options: Curr=USD")/1000/$I51</f>
        <v>#NAME?</v>
      </c>
      <c r="T51" s="61" t="e" cm="1">
        <f t="array" aca="1" ref="T51" ca="1">_xll.SNL.Clients.Office.Excel.Functions.SPG($L51, "SP_PE_FWD",T$2)</f>
        <v>#NAME?</v>
      </c>
      <c r="U51" s="63" t="e" cm="1">
        <f t="array" aca="1" ref="U51" ca="1">_xll.SNL.Clients.Office.Excel.Functions.SPG($L51, "SP_PE_FWD",U$2)</f>
        <v>#NAME?</v>
      </c>
      <c r="V51" s="80" t="e" cm="1">
        <f t="array" aca="1" ref="V51" ca="1">_xll.SNL.Clients.Office.Excel.Functions.SPG($L51, $V$3,V$2)</f>
        <v>#NAME?</v>
      </c>
      <c r="W51" s="81" t="e" cm="1">
        <f t="array" aca="1" ref="W51" ca="1">_xll.SNL.Clients.Office.Excel.Functions.SPG($L51, $V$3,W$2)</f>
        <v>#NAME?</v>
      </c>
      <c r="X51" s="82" t="e" cm="1">
        <f t="array" aca="1" ref="X51" ca="1">_xll.SNL.Clients.Office.Excel.Functions.SPG($L51, $V$3,X$2)</f>
        <v>#NAME?</v>
      </c>
      <c r="Y51" s="69" t="e" cm="1">
        <f t="array" aca="1" ref="Y51" ca="1">IF((_xll.SNL.Clients.Office.Excel.Functions.SPG($L51,Y$3,Y$4,"Options: Curr=USD") / _xll.SNL.Clients.Office.Excel.Functions.SPG($L51,"SP_EBITDA_EST",Y$2,"Options: Curr=USD")) &lt; 0, "NM", (_xll.SNL.Clients.Office.Excel.Functions.SPG($L51,Y$3,Y$4,"Options: Curr=USD") / _xll.SNL.Clients.Office.Excel.Functions.SPG($L51,"SP_EBITDA_EST",Y$2,"Options: Curr=USD")))</f>
        <v>#NAME?</v>
      </c>
      <c r="Z51" s="70" t="e" cm="1">
        <f t="array" aca="1" ref="Z51" ca="1">_xll.SNL.Clients.Office.Excel.Functions.SPG($L51, Z$3,Z$4)</f>
        <v>#NAME?</v>
      </c>
      <c r="AA51" s="77" t="str">
        <f ca="1">IFERROR(0.001*AVERAGE(_xll.SNL.Clients.Office.Excel.Functions.SPG($L51,$AA$4,"Au",AA$2),_xll.SNL.Clients.Office.Excel.Functions.SPG($L51,$AA$3,"Au",AA$2)),"NA")</f>
        <v>NA</v>
      </c>
      <c r="AB51" s="72" t="str">
        <f ca="1">IFERROR(0.001*AVERAGE(_xll.SNL.Clients.Office.Excel.Functions.SPG($L51,$AA$4,"Au",AB$2),_xll.SNL.Clients.Office.Excel.Functions.SPG($L51,$AA$3,"Au",AB$2)),"NA")</f>
        <v>NA</v>
      </c>
      <c r="AC51" s="78" t="str">
        <f ca="1">IFERROR(0.001*AVERAGE(_xll.SNL.Clients.Office.Excel.Functions.SPG($L51,$AA$4,"Au",AC$2),_xll.SNL.Clients.Office.Excel.Functions.SPG($L51,$AA$3,"Au",AC$2)),"NA")</f>
        <v>NA</v>
      </c>
      <c r="AD51" s="72" t="e">
        <f ca="1" xml:space="preserve"> IF(ISNUMBER(SEARCH("na",_xll.SNL.Clients.Office.Excel.Functions.SPG($L51, $AD$4, AD$2))), 0,_xll.SNL.Clients.Office.Excel.Functions.SPG($L51, $AD$4, AD$2))</f>
        <v>#NAME?</v>
      </c>
      <c r="AE51" s="72" t="e">
        <f ca="1" xml:space="preserve"> IF(ISNUMBER(SEARCH("na",_xll.SNL.Clients.Office.Excel.Functions.SPG($L51, $AD$4, AE$2))), 0,_xll.SNL.Clients.Office.Excel.Functions.SPG($L51, $AD$4, AE$2))</f>
        <v>#NAME?</v>
      </c>
      <c r="AF51" s="72" t="e">
        <f ca="1" xml:space="preserve"> IF(ISNUMBER(SEARCH("na",_xll.SNL.Clients.Office.Excel.Functions.SPG($L51, $AD$4, AF$2))), 0,_xll.SNL.Clients.Office.Excel.Functions.SPG($L51, $AD$4, AF$2))</f>
        <v>#NAME?</v>
      </c>
      <c r="AG51" s="72" t="e">
        <f ca="1" xml:space="preserve"> IF(ISNUMBER(SEARCH("na",_xll.SNL.Clients.Office.Excel.Functions.SPG($L51, $AG$4, AG$2))), 0,_xll.SNL.Clients.Office.Excel.Functions.SPG($L51, $AG$4, AG$2))</f>
        <v>#NAME?</v>
      </c>
      <c r="AH51" s="72" t="e">
        <f ca="1" xml:space="preserve"> IF(ISNUMBER(SEARCH("na",_xll.SNL.Clients.Office.Excel.Functions.SPG($L51, $AG$4, AH$2))), 0,_xll.SNL.Clients.Office.Excel.Functions.SPG($L51, $AG$4, AH$2))</f>
        <v>#NAME?</v>
      </c>
      <c r="AI51" s="72" t="e">
        <f ca="1" xml:space="preserve"> IF(ISNUMBER(SEARCH("na",_xll.SNL.Clients.Office.Excel.Functions.SPG($L51, $AG$4, AI$2))), 0,_xll.SNL.Clients.Office.Excel.Functions.SPG($L51, $AG$4, AI$2))</f>
        <v>#NAME?</v>
      </c>
      <c r="AJ51" s="72" t="e">
        <f ca="1" xml:space="preserve"> IF(ISNUMBER(SEARCH("na",_xll.SNL.Clients.Office.Excel.Functions.SPG($L51, $AJ$4, AJ$2))), 0,_xll.SNL.Clients.Office.Excel.Functions.SPG($L51, $AJ$4, AJ$2))</f>
        <v>#NAME?</v>
      </c>
      <c r="AK51" s="72" t="e">
        <f ca="1" xml:space="preserve"> IF(ISNUMBER(SEARCH("na",_xll.SNL.Clients.Office.Excel.Functions.SPG($L51, $AJ$4, AK$2))), 0,_xll.SNL.Clients.Office.Excel.Functions.SPG($L51, $AJ$4, AK$2))</f>
        <v>#NAME?</v>
      </c>
      <c r="AL51" s="72" t="e">
        <f ca="1" xml:space="preserve"> IF(ISNUMBER(SEARCH("na",_xll.SNL.Clients.Office.Excel.Functions.SPG($L51, $AJ$4, AL$2))), 0,_xll.SNL.Clients.Office.Excel.Functions.SPG($L51, $AJ$4, AL$2))</f>
        <v>#NAME?</v>
      </c>
      <c r="AM51" s="72" t="e">
        <f t="shared" ref="AM51" ca="1" si="248">AD51+AG51*agprice/auprice+AJ51*cuprice/auprice</f>
        <v>#NAME?</v>
      </c>
      <c r="AN51" s="72" t="e">
        <f t="shared" ref="AN51" ca="1" si="249">AE51+AH51*agprice/auprice+AK51*cuprice/auprice</f>
        <v>#NAME?</v>
      </c>
      <c r="AO51" s="72" t="e">
        <f t="shared" ref="AO51" ca="1" si="250">AF51+AI51*agprice/auprice+AL51*cuprice/auprice</f>
        <v>#NAME?</v>
      </c>
      <c r="AP51" s="83" t="str">
        <f t="shared" ca="1" si="219"/>
        <v>NA</v>
      </c>
      <c r="AQ51" s="84" t="str">
        <f t="shared" ca="1" si="219"/>
        <v>NA</v>
      </c>
      <c r="AR51" s="85" t="str">
        <f t="shared" ca="1" si="219"/>
        <v>NA</v>
      </c>
      <c r="AS51" s="72">
        <f ca="1">IFERROR(_xll.SNL.Clients.Office.Excel.Functions.SPG($L51, $AS$3, AS$2,$AS$4)/1000,0)</f>
        <v>0</v>
      </c>
      <c r="AT51" s="72">
        <f ca="1">IFERROR(_xll.SNL.Clients.Office.Excel.Functions.SPG($L51, $AS$3, AT$2,$AS$4)/1000,0)</f>
        <v>0</v>
      </c>
      <c r="AU51" s="72">
        <f ca="1">IFERROR(_xll.SNL.Clients.Office.Excel.Functions.SPG($L51, $AV$3, AU$2,$AS$4)/1000,0)</f>
        <v>0</v>
      </c>
      <c r="AV51" s="72">
        <f ca="1">IFERROR(_xll.SNL.Clients.Office.Excel.Functions.SPG($L51, $AV$3, AV$2,$AS$4)/1000,0)</f>
        <v>0</v>
      </c>
      <c r="AW51" s="72">
        <f ca="1">IFERROR(_xll.SNL.Clients.Office.Excel.Functions.SPG($L51, $AV$3, AW$2,$AS$4)/1000,0)</f>
        <v>0</v>
      </c>
      <c r="AX51" s="72">
        <f ca="1">IFERROR(_xll.SNL.Clients.Office.Excel.Functions.SPG($L51, $AX$3, AX$2,$AS$4)/1000,0)</f>
        <v>0</v>
      </c>
      <c r="AY51" s="72">
        <f ca="1">IFERROR(_xll.SNL.Clients.Office.Excel.Functions.SPG($L51, $AX$3, AY$2,$AS$4)/1000,0)</f>
        <v>0</v>
      </c>
      <c r="AZ51" s="72">
        <f ca="1">IFERROR(_xll.SNL.Clients.Office.Excel.Functions.SPG($L51, $BA$3, AZ$2,$AS$4)/1000,0)</f>
        <v>0</v>
      </c>
      <c r="BA51" s="72">
        <f ca="1">IFERROR(_xll.SNL.Clients.Office.Excel.Functions.SPG($L51, $BA$3, BA$2,$AS$4)/1000,0)</f>
        <v>0</v>
      </c>
      <c r="BB51" s="72">
        <f ca="1">IFERROR(_xll.SNL.Clients.Office.Excel.Functions.SPG($L51, $BA$3, BB$2,$AS$4)/1000,0)</f>
        <v>0</v>
      </c>
      <c r="BC51" s="72">
        <f ca="1">IFERROR(_xll.SNL.Clients.Office.Excel.Functions.SPG($L51, $BC$3, BC$2,$AS$4)/1000,0)</f>
        <v>0</v>
      </c>
      <c r="BD51" s="72">
        <f ca="1">IFERROR(_xll.SNL.Clients.Office.Excel.Functions.SPG($L51, $BC$3, BD$2,$AS$4)/1000,0)</f>
        <v>0</v>
      </c>
      <c r="BE51" s="72">
        <f ca="1">IFERROR(_xll.SNL.Clients.Office.Excel.Functions.SPG($L51, $BF$3, BE$2,$AS$4)/1000,0)</f>
        <v>0</v>
      </c>
      <c r="BF51" s="72">
        <f ca="1">IFERROR(_xll.SNL.Clients.Office.Excel.Functions.SPG($L51, $BF$3, BF$2,$AS$4)/1000,0)</f>
        <v>0</v>
      </c>
      <c r="BG51" s="72">
        <f ca="1">IFERROR(_xll.SNL.Clients.Office.Excel.Functions.SPG($L51, $BF$3, BG$2,$AS$4)/1000,0)</f>
        <v>0</v>
      </c>
      <c r="BH51" s="72">
        <f t="shared" ref="BH51" ca="1" si="251">AS51+AT51*agprice/auprice+AU51*cuprice/auprice+AV51*znprice/auprice+AW51*pbprice/auprice</f>
        <v>0</v>
      </c>
      <c r="BI51" s="72">
        <f t="shared" ref="BI51" ca="1" si="252">AX51+AY51*agprice/auprice+AZ51*cuprice/auprice+BA51*znprice/auprice+BB51*pbprice/auprice+BH51</f>
        <v>0</v>
      </c>
      <c r="BJ51" s="72">
        <f t="shared" ref="BJ51" ca="1" si="253">BC51+BD51*agprice/auprice+BE51*cuprice/auprice+BF51*znprice/auprice+BG51*pbprice/auprice+BH51</f>
        <v>0</v>
      </c>
      <c r="BK51" s="77" t="e">
        <f t="shared" ca="1" si="223"/>
        <v>#NAME?</v>
      </c>
      <c r="BL51" s="72" t="e">
        <f t="shared" ca="1" si="223"/>
        <v>#NAME?</v>
      </c>
      <c r="BM51" s="78" t="e">
        <f t="shared" ca="1" si="223"/>
        <v>#NAME?</v>
      </c>
      <c r="BN51" s="72" t="e">
        <f ca="1">_xll.SNL.Clients.Office.Excel.Functions.SPG($L51, $BN$3, BN$2, "Au", "Options:Curr=USD")</f>
        <v>#NAME?</v>
      </c>
      <c r="BO51" s="72" t="e">
        <f ca="1">_xll.SNL.Clients.Office.Excel.Functions.SPG($L51, $BN$3, BO$2, "Au", "Options:Curr=USD")</f>
        <v>#NAME?</v>
      </c>
      <c r="BP51" s="72" t="e">
        <f ca="1">_xll.SNL.Clients.Office.Excel.Functions.SPG($L51, $BN$3, BP$2, "Au", "Options:Curr=USD")</f>
        <v>#NAME?</v>
      </c>
      <c r="BQ51" s="78" t="e">
        <f ca="1">_xll.SNL.Clients.Office.Excel.Functions.SPG($L51, $BN$3, BQ$2, "Au", "Options:Curr=USD")</f>
        <v>#NAME?</v>
      </c>
      <c r="BR51" s="72" t="str">
        <f ca="1">IFERROR(AVERAGE(_xll.SNL.Clients.Office.Excel.Functions.SPG($L51,$BR$4,"Au",BR$2, "Options:Curr=USD"),_xll.SNL.Clients.Office.Excel.Functions.SPG($L51,$BR$3,"Au",BR$2, "Options:Curr=USD")),"NA")</f>
        <v>NA</v>
      </c>
      <c r="BS51" s="72" t="str">
        <f ca="1">IFERROR(AVERAGE(_xll.SNL.Clients.Office.Excel.Functions.SPG($L51,$BR$4,"Au",BS$2, "Options:Curr=USD"),_xll.SNL.Clients.Office.Excel.Functions.SPG($L51,$BR$3,"Au",BS$2, "Options:Curr=USD")),"NA")</f>
        <v>NA</v>
      </c>
      <c r="BT51" s="78" t="str">
        <f ca="1">IFERROR(AVERAGE(_xll.SNL.Clients.Office.Excel.Functions.SPG($L51,$BR$4,"Au",BT$2, "Options:Curr=USD"),_xll.SNL.Clients.Office.Excel.Functions.SPG($L51,$BR$3,"Au",BT$2, "Options:Curr=USD")),"NA")</f>
        <v>NA</v>
      </c>
      <c r="BV51" s="36"/>
      <c r="BW51" s="36"/>
      <c r="BX51" s="36"/>
      <c r="BY51" s="36"/>
    </row>
    <row r="52" spans="1:77" ht="13.8" x14ac:dyDescent="0.25">
      <c r="A52" s="56" t="e">
        <f ca="1">_xll.SNL.Clients.Office.Excel.Functions.SPG($L52, A$3)</f>
        <v>#NAME?</v>
      </c>
      <c r="B52" s="56" t="e">
        <f ca="1">_xll.BDP($K52,B$3)</f>
        <v>#NAME?</v>
      </c>
      <c r="C52" s="56" t="e">
        <f ca="1">_xll.BDP($K52,C$3)</f>
        <v>#NAME?</v>
      </c>
      <c r="D52" s="56" t="e">
        <f ca="1">_xll.BDP($K52,D$3)</f>
        <v>#NAME?</v>
      </c>
      <c r="E52" s="57" t="s">
        <v>239</v>
      </c>
      <c r="F52" s="57" t="s">
        <v>107</v>
      </c>
      <c r="G52" s="57" t="s">
        <v>240</v>
      </c>
      <c r="H52" s="58" t="e">
        <f ca="1">_xll.SNL.Clients.Office.Excel.Functions.SPG($L52, "IQ_TEV", "Options: Curr=USD")</f>
        <v>#NAME?</v>
      </c>
      <c r="I52" s="58" t="e">
        <f ca="1">_xll.SNL.Clients.Office.Excel.Functions.SPG($L52, "SP_MARKETCAP", "Options: Curr=USD")</f>
        <v>#NAME?</v>
      </c>
      <c r="J52" s="59" t="s">
        <v>241</v>
      </c>
      <c r="K52" s="3" t="s">
        <v>242</v>
      </c>
      <c r="L52" s="3" t="s">
        <v>243</v>
      </c>
      <c r="M52" s="60" t="str" cm="1">
        <f t="array" aca="1" ref="M52" ca="1">IFERROR(_xll.SNL.Clients.Office.Excel.Functions.SPG($L52, $M$3)/100,"NA")</f>
        <v>NA</v>
      </c>
      <c r="N52" s="61" t="e" cm="1">
        <f t="array" aca="1" ref="N52" ca="1">_xll.SNL.Clients.Office.Excel.Functions.SPG($L52, "SP_PCFPS_FWD",N$2)</f>
        <v>#NAME?</v>
      </c>
      <c r="O52" s="62" t="e" cm="1">
        <f t="array" aca="1" ref="O52" ca="1">_xll.SNL.Clients.Office.Excel.Functions.SPG($L52, "SP_PCFPS_FWD",O$2)</f>
        <v>#NAME?</v>
      </c>
      <c r="P52" s="63" t="e" cm="1">
        <f t="array" aca="1" ref="P52" ca="1">_xll.SNL.Clients.Office.Excel.Functions.SPG($L52, "SP_PCFPS_FWD",P$2)</f>
        <v>#NAME?</v>
      </c>
      <c r="Q52" s="64" t="str">
        <f ca="1">IFERROR(_xll.SNL.Clients.Office.Excel.Functions.SPG($L52, "SP_FCF_EST",Q$2, "Options: Curr=USD")/1000/I52,"NA")</f>
        <v>NA</v>
      </c>
      <c r="R52" s="64" t="str">
        <f ca="1">IFERROR(_xll.SNL.Clients.Office.Excel.Functions.SPG($L52, "SP_FCF_EST",R$2, "Options: Curr=USD")/1000/I52,"NA")</f>
        <v>NA</v>
      </c>
      <c r="S52" s="64" t="e">
        <f ca="1">_xll.SNL.Clients.Office.Excel.Functions.SPG($L52, "SP_FCF_EST",S$2, "Options: Curr=USD")/1000/$I52</f>
        <v>#NAME?</v>
      </c>
      <c r="T52" s="61" t="e" cm="1">
        <f t="array" aca="1" ref="T52" ca="1">_xll.SNL.Clients.Office.Excel.Functions.SPG($L52, "SP_PE_FWD",T$2)</f>
        <v>#NAME?</v>
      </c>
      <c r="U52" s="63" t="e" cm="1">
        <f t="array" aca="1" ref="U52" ca="1">_xll.SNL.Clients.Office.Excel.Functions.SPG($L52, "SP_PE_FWD",U$2)</f>
        <v>#NAME?</v>
      </c>
      <c r="V52" s="80" t="e" cm="1">
        <f t="array" aca="1" ref="V52" ca="1">_xll.SNL.Clients.Office.Excel.Functions.SPG($L52, $V$3,V$2)</f>
        <v>#NAME?</v>
      </c>
      <c r="W52" s="81" t="e" cm="1">
        <f t="array" aca="1" ref="W52" ca="1">_xll.SNL.Clients.Office.Excel.Functions.SPG($L52, $V$3,W$2)</f>
        <v>#NAME?</v>
      </c>
      <c r="X52" s="82" t="e" cm="1">
        <f t="array" aca="1" ref="X52" ca="1">_xll.SNL.Clients.Office.Excel.Functions.SPG($L52, $V$3,X$2)</f>
        <v>#NAME?</v>
      </c>
      <c r="Y52" s="69" t="e" cm="1">
        <f t="array" aca="1" ref="Y52" ca="1">IF((_xll.SNL.Clients.Office.Excel.Functions.SPG($L52,Y$3,Y$4,"Options: Curr=USD") / _xll.SNL.Clients.Office.Excel.Functions.SPG($L52,"SP_EBITDA_EST",Y$2,"Options: Curr=USD")) &lt; 0, "NM", (_xll.SNL.Clients.Office.Excel.Functions.SPG($L52,Y$3,Y$4,"Options: Curr=USD") / _xll.SNL.Clients.Office.Excel.Functions.SPG($L52,"SP_EBITDA_EST",Y$2,"Options: Curr=USD")))</f>
        <v>#NAME?</v>
      </c>
      <c r="Z52" s="70" t="e" cm="1">
        <f t="array" aca="1" ref="Z52" ca="1">_xll.SNL.Clients.Office.Excel.Functions.SPG($L52, Z$3,Z$4)</f>
        <v>#NAME?</v>
      </c>
      <c r="AA52" s="77" t="str">
        <f ca="1">IFERROR(0.001*AVERAGE(_xll.SNL.Clients.Office.Excel.Functions.SPG($L52,$AA$4,"Au",AA$2),_xll.SNL.Clients.Office.Excel.Functions.SPG($L52,$AA$3,"Au",AA$2)),"NA")</f>
        <v>NA</v>
      </c>
      <c r="AB52" s="72" t="str">
        <f ca="1">IFERROR(0.001*AVERAGE(_xll.SNL.Clients.Office.Excel.Functions.SPG($L52,$AA$4,"Au",AB$2),_xll.SNL.Clients.Office.Excel.Functions.SPG($L52,$AA$3,"Au",AB$2)),"NA")</f>
        <v>NA</v>
      </c>
      <c r="AC52" s="78" t="str">
        <f ca="1">IFERROR(0.001*AVERAGE(_xll.SNL.Clients.Office.Excel.Functions.SPG($L52,$AA$4,"Au",AC$2),_xll.SNL.Clients.Office.Excel.Functions.SPG($L52,$AA$3,"Au",AC$2)),"NA")</f>
        <v>NA</v>
      </c>
      <c r="AD52" s="72" t="e">
        <f ca="1" xml:space="preserve"> IF(ISNUMBER(SEARCH("na",_xll.SNL.Clients.Office.Excel.Functions.SPG($L52, $AD$4, AD$2))), 0,_xll.SNL.Clients.Office.Excel.Functions.SPG($L52, $AD$4, AD$2))</f>
        <v>#NAME?</v>
      </c>
      <c r="AE52" s="72" t="e">
        <f ca="1" xml:space="preserve"> IF(ISNUMBER(SEARCH("na",_xll.SNL.Clients.Office.Excel.Functions.SPG($L52, $AD$4, AE$2))), 0,_xll.SNL.Clients.Office.Excel.Functions.SPG($L52, $AD$4, AE$2))</f>
        <v>#NAME?</v>
      </c>
      <c r="AF52" s="72" t="e">
        <f ca="1" xml:space="preserve"> IF(ISNUMBER(SEARCH("na",_xll.SNL.Clients.Office.Excel.Functions.SPG($L52, $AD$4, AF$2))), 0,_xll.SNL.Clients.Office.Excel.Functions.SPG($L52, $AD$4, AF$2))</f>
        <v>#NAME?</v>
      </c>
      <c r="AG52" s="72" t="e">
        <f ca="1" xml:space="preserve"> IF(ISNUMBER(SEARCH("na",_xll.SNL.Clients.Office.Excel.Functions.SPG($L52, $AG$4, AG$2))), 0,_xll.SNL.Clients.Office.Excel.Functions.SPG($L52, $AG$4, AG$2))</f>
        <v>#NAME?</v>
      </c>
      <c r="AH52" s="72" t="e">
        <f ca="1" xml:space="preserve"> IF(ISNUMBER(SEARCH("na",_xll.SNL.Clients.Office.Excel.Functions.SPG($L52, $AG$4, AH$2))), 0,_xll.SNL.Clients.Office.Excel.Functions.SPG($L52, $AG$4, AH$2))</f>
        <v>#NAME?</v>
      </c>
      <c r="AI52" s="72" t="e">
        <f ca="1" xml:space="preserve"> IF(ISNUMBER(SEARCH("na",_xll.SNL.Clients.Office.Excel.Functions.SPG($L52, $AG$4, AI$2))), 0,_xll.SNL.Clients.Office.Excel.Functions.SPG($L52, $AG$4, AI$2))</f>
        <v>#NAME?</v>
      </c>
      <c r="AJ52" s="72" t="e">
        <f ca="1" xml:space="preserve"> IF(ISNUMBER(SEARCH("na",_xll.SNL.Clients.Office.Excel.Functions.SPG($L52, $AJ$4, AJ$2))), 0,_xll.SNL.Clients.Office.Excel.Functions.SPG($L52, $AJ$4, AJ$2))</f>
        <v>#NAME?</v>
      </c>
      <c r="AK52" s="72" t="e">
        <f ca="1" xml:space="preserve"> IF(ISNUMBER(SEARCH("na",_xll.SNL.Clients.Office.Excel.Functions.SPG($L52, $AJ$4, AK$2))), 0,_xll.SNL.Clients.Office.Excel.Functions.SPG($L52, $AJ$4, AK$2))</f>
        <v>#NAME?</v>
      </c>
      <c r="AL52" s="72" t="e">
        <f ca="1" xml:space="preserve"> IF(ISNUMBER(SEARCH("na",_xll.SNL.Clients.Office.Excel.Functions.SPG($L52, $AJ$4, AL$2))), 0,_xll.SNL.Clients.Office.Excel.Functions.SPG($L52, $AJ$4, AL$2))</f>
        <v>#NAME?</v>
      </c>
      <c r="AM52" s="72" t="e">
        <f t="shared" ref="AM52:AM76" ca="1" si="254">AD52+AG52*agprice/auprice+AJ52*cuprice/auprice</f>
        <v>#NAME?</v>
      </c>
      <c r="AN52" s="72" t="e">
        <f t="shared" ref="AN52:AN76" ca="1" si="255">AE52+AH52*agprice/auprice+AK52*cuprice/auprice</f>
        <v>#NAME?</v>
      </c>
      <c r="AO52" s="72" t="e">
        <f t="shared" ref="AO52:AO76" ca="1" si="256">AF52+AI52*agprice/auprice+AL52*cuprice/auprice</f>
        <v>#NAME?</v>
      </c>
      <c r="AP52" s="83" t="str">
        <f t="shared" ca="1" si="219"/>
        <v>NA</v>
      </c>
      <c r="AQ52" s="84" t="str">
        <f t="shared" ca="1" si="219"/>
        <v>NA</v>
      </c>
      <c r="AR52" s="85" t="str">
        <f t="shared" ca="1" si="219"/>
        <v>NA</v>
      </c>
      <c r="AS52" s="72">
        <f ca="1">IFERROR(_xll.SNL.Clients.Office.Excel.Functions.SPG($L52, $AS$3, AS$2,$AS$4)/1000,0)</f>
        <v>0</v>
      </c>
      <c r="AT52" s="72">
        <f ca="1">IFERROR(_xll.SNL.Clients.Office.Excel.Functions.SPG($L52, $AS$3, AT$2,$AS$4)/1000,0)</f>
        <v>0</v>
      </c>
      <c r="AU52" s="72">
        <f ca="1">IFERROR(_xll.SNL.Clients.Office.Excel.Functions.SPG($L52, $AV$3, AU$2,$AS$4)/1000,0)</f>
        <v>0</v>
      </c>
      <c r="AV52" s="72">
        <f ca="1">IFERROR(_xll.SNL.Clients.Office.Excel.Functions.SPG($L52, $AV$3, AV$2,$AS$4)/1000,0)</f>
        <v>0</v>
      </c>
      <c r="AW52" s="72">
        <f ca="1">IFERROR(_xll.SNL.Clients.Office.Excel.Functions.SPG($L52, $AV$3, AW$2,$AS$4)/1000,0)</f>
        <v>0</v>
      </c>
      <c r="AX52" s="72">
        <f ca="1">IFERROR(_xll.SNL.Clients.Office.Excel.Functions.SPG($L52, $AX$3, AX$2,$AS$4)/1000,0)</f>
        <v>0</v>
      </c>
      <c r="AY52" s="72">
        <f ca="1">IFERROR(_xll.SNL.Clients.Office.Excel.Functions.SPG($L52, $AX$3, AY$2,$AS$4)/1000,0)</f>
        <v>0</v>
      </c>
      <c r="AZ52" s="72">
        <f ca="1">IFERROR(_xll.SNL.Clients.Office.Excel.Functions.SPG($L52, $BA$3, AZ$2,$AS$4)/1000,0)</f>
        <v>0</v>
      </c>
      <c r="BA52" s="72">
        <f ca="1">IFERROR(_xll.SNL.Clients.Office.Excel.Functions.SPG($L52, $BA$3, BA$2,$AS$4)/1000,0)</f>
        <v>0</v>
      </c>
      <c r="BB52" s="72">
        <f ca="1">IFERROR(_xll.SNL.Clients.Office.Excel.Functions.SPG($L52, $BA$3, BB$2,$AS$4)/1000,0)</f>
        <v>0</v>
      </c>
      <c r="BC52" s="72">
        <f ca="1">IFERROR(_xll.SNL.Clients.Office.Excel.Functions.SPG($L52, $BC$3, BC$2,$AS$4)/1000,0)</f>
        <v>0</v>
      </c>
      <c r="BD52" s="72">
        <f ca="1">IFERROR(_xll.SNL.Clients.Office.Excel.Functions.SPG($L52, $BC$3, BD$2,$AS$4)/1000,0)</f>
        <v>0</v>
      </c>
      <c r="BE52" s="72">
        <f ca="1">IFERROR(_xll.SNL.Clients.Office.Excel.Functions.SPG($L52, $BF$3, BE$2,$AS$4)/1000,0)</f>
        <v>0</v>
      </c>
      <c r="BF52" s="72">
        <f ca="1">IFERROR(_xll.SNL.Clients.Office.Excel.Functions.SPG($L52, $BF$3, BF$2,$AS$4)/1000,0)</f>
        <v>0</v>
      </c>
      <c r="BG52" s="72">
        <f ca="1">IFERROR(_xll.SNL.Clients.Office.Excel.Functions.SPG($L52, $BF$3, BG$2,$AS$4)/1000,0)</f>
        <v>0</v>
      </c>
      <c r="BH52" s="72">
        <f t="shared" ref="BH52:BH76" ca="1" si="257">AS52+AT52*agprice/auprice+AU52*cuprice/auprice+AV52*znprice/auprice+AW52*pbprice/auprice</f>
        <v>0</v>
      </c>
      <c r="BI52" s="72">
        <f t="shared" ref="BI52:BI76" ca="1" si="258">AX52+AY52*agprice/auprice+AZ52*cuprice/auprice+BA52*znprice/auprice+BB52*pbprice/auprice+BH52</f>
        <v>0</v>
      </c>
      <c r="BJ52" s="72">
        <f t="shared" ref="BJ52:BJ76" ca="1" si="259">BC52+BD52*agprice/auprice+BE52*cuprice/auprice+BF52*znprice/auprice+BG52*pbprice/auprice+BH52</f>
        <v>0</v>
      </c>
      <c r="BK52" s="77" t="e">
        <f t="shared" ca="1" si="223"/>
        <v>#NAME?</v>
      </c>
      <c r="BL52" s="72" t="e">
        <f t="shared" ca="1" si="223"/>
        <v>#NAME?</v>
      </c>
      <c r="BM52" s="78" t="e">
        <f t="shared" ca="1" si="223"/>
        <v>#NAME?</v>
      </c>
      <c r="BN52" s="72" t="e">
        <f ca="1">_xll.SNL.Clients.Office.Excel.Functions.SPG($L52, $BN$3, BN$2, "Au", "Options:Curr=USD")</f>
        <v>#NAME?</v>
      </c>
      <c r="BO52" s="72" t="e">
        <f ca="1">_xll.SNL.Clients.Office.Excel.Functions.SPG($L52, $BN$3, BO$2, "Au", "Options:Curr=USD")</f>
        <v>#NAME?</v>
      </c>
      <c r="BP52" s="72" t="e">
        <f ca="1">_xll.SNL.Clients.Office.Excel.Functions.SPG($L52, $BN$3, BP$2, "Au", "Options:Curr=USD")</f>
        <v>#NAME?</v>
      </c>
      <c r="BQ52" s="78" t="e">
        <f ca="1">_xll.SNL.Clients.Office.Excel.Functions.SPG($L52, $BN$3, BQ$2, "Au", "Options:Curr=USD")</f>
        <v>#NAME?</v>
      </c>
      <c r="BR52" s="72" t="str">
        <f ca="1">IFERROR(AVERAGE(_xll.SNL.Clients.Office.Excel.Functions.SPG($L52,$BR$4,"Au",BR$2, "Options:Curr=USD"),_xll.SNL.Clients.Office.Excel.Functions.SPG($L52,$BR$3,"Au",BR$2, "Options:Curr=USD")),"NA")</f>
        <v>NA</v>
      </c>
      <c r="BS52" s="72" t="str">
        <f ca="1">IFERROR(AVERAGE(_xll.SNL.Clients.Office.Excel.Functions.SPG($L52,$BR$4,"Au",BS$2, "Options:Curr=USD"),_xll.SNL.Clients.Office.Excel.Functions.SPG($L52,$BR$3,"Au",BS$2, "Options:Curr=USD")),"NA")</f>
        <v>NA</v>
      </c>
      <c r="BT52" s="78" t="str">
        <f ca="1">IFERROR(AVERAGE(_xll.SNL.Clients.Office.Excel.Functions.SPG($L52,$BR$4,"Au",BT$2, "Options:Curr=USD"),_xll.SNL.Clients.Office.Excel.Functions.SPG($L52,$BR$3,"Au",BT$2, "Options:Curr=USD")),"NA")</f>
        <v>NA</v>
      </c>
      <c r="BV52" s="118" t="s">
        <v>169</v>
      </c>
      <c r="BW52" s="36" t="s">
        <v>122</v>
      </c>
      <c r="BX52" s="36" t="s">
        <v>89</v>
      </c>
      <c r="BY52" s="36"/>
    </row>
    <row r="53" spans="1:77" ht="13.8" x14ac:dyDescent="0.25">
      <c r="A53" s="56" t="e">
        <f ca="1">_xll.SNL.Clients.Office.Excel.Functions.SPG($L53, A$3)</f>
        <v>#NAME?</v>
      </c>
      <c r="B53" s="56" t="e">
        <f ca="1">_xll.BDP($K53,B$3)</f>
        <v>#NAME?</v>
      </c>
      <c r="C53" s="56" t="e">
        <f ca="1">_xll.BDP($K53,C$3)</f>
        <v>#NAME?</v>
      </c>
      <c r="D53" s="56" t="e">
        <f ca="1">_xll.BDP($K53,D$3)</f>
        <v>#NAME?</v>
      </c>
      <c r="E53" s="57" t="s">
        <v>182</v>
      </c>
      <c r="F53" s="57" t="s">
        <v>107</v>
      </c>
      <c r="G53" s="57" t="s">
        <v>84</v>
      </c>
      <c r="H53" s="58" t="e">
        <f ca="1">_xll.SNL.Clients.Office.Excel.Functions.SPG($L53, "IQ_TEV", "Options: Curr=USD")</f>
        <v>#NAME?</v>
      </c>
      <c r="I53" s="58" t="e">
        <f ca="1">_xll.SNL.Clients.Office.Excel.Functions.SPG($L53, "SP_MARKETCAP", "Options: Curr=USD")</f>
        <v>#NAME?</v>
      </c>
      <c r="J53" s="59" t="s">
        <v>244</v>
      </c>
      <c r="K53" s="3" t="s">
        <v>245</v>
      </c>
      <c r="L53" s="3" t="s">
        <v>246</v>
      </c>
      <c r="M53" s="60" t="str" cm="1">
        <f t="array" aca="1" ref="M53" ca="1">IFERROR(_xll.SNL.Clients.Office.Excel.Functions.SPG($L53, $M$3)/100,"NA")</f>
        <v>NA</v>
      </c>
      <c r="N53" s="61" t="e" cm="1">
        <f t="array" aca="1" ref="N53" ca="1">_xll.SNL.Clients.Office.Excel.Functions.SPG($L53, "SP_PCFPS_FWD",N$2)</f>
        <v>#NAME?</v>
      </c>
      <c r="O53" s="62" t="e" cm="1">
        <f t="array" aca="1" ref="O53" ca="1">_xll.SNL.Clients.Office.Excel.Functions.SPG($L53, "SP_PCFPS_FWD",O$2)</f>
        <v>#NAME?</v>
      </c>
      <c r="P53" s="63" t="e" cm="1">
        <f t="array" aca="1" ref="P53" ca="1">_xll.SNL.Clients.Office.Excel.Functions.SPG($L53, "SP_PCFPS_FWD",P$2)</f>
        <v>#NAME?</v>
      </c>
      <c r="Q53" s="64" t="str">
        <f ca="1">IFERROR(_xll.SNL.Clients.Office.Excel.Functions.SPG($L53, "SP_FCF_EST",Q$2, "Options: Curr=USD")/1000/I53,"NA")</f>
        <v>NA</v>
      </c>
      <c r="R53" s="64" t="str">
        <f ca="1">IFERROR(_xll.SNL.Clients.Office.Excel.Functions.SPG($L53, "SP_FCF_EST",R$2, "Options: Curr=USD")/1000/I53,"NA")</f>
        <v>NA</v>
      </c>
      <c r="S53" s="64" t="e">
        <f ca="1">_xll.SNL.Clients.Office.Excel.Functions.SPG($L53, "SP_FCF_EST",S$2, "Options: Curr=USD")/1000/$I53</f>
        <v>#NAME?</v>
      </c>
      <c r="T53" s="61" t="e" cm="1">
        <f t="array" aca="1" ref="T53" ca="1">_xll.SNL.Clients.Office.Excel.Functions.SPG($L53, "SP_PE_FWD",T$2)</f>
        <v>#NAME?</v>
      </c>
      <c r="U53" s="63" t="e" cm="1">
        <f t="array" aca="1" ref="U53" ca="1">_xll.SNL.Clients.Office.Excel.Functions.SPG($L53, "SP_PE_FWD",U$2)</f>
        <v>#NAME?</v>
      </c>
      <c r="V53" s="80" t="e" cm="1">
        <f t="array" aca="1" ref="V53" ca="1">_xll.SNL.Clients.Office.Excel.Functions.SPG($L53, $V$3,V$2)</f>
        <v>#NAME?</v>
      </c>
      <c r="W53" s="81" t="e" cm="1">
        <f t="array" aca="1" ref="W53" ca="1">_xll.SNL.Clients.Office.Excel.Functions.SPG($L53, $V$3,W$2)</f>
        <v>#NAME?</v>
      </c>
      <c r="X53" s="82" t="e" cm="1">
        <f t="array" aca="1" ref="X53" ca="1">_xll.SNL.Clients.Office.Excel.Functions.SPG($L53, $V$3,X$2)</f>
        <v>#NAME?</v>
      </c>
      <c r="Y53" s="69" t="e" cm="1">
        <f t="array" aca="1" ref="Y53" ca="1">IF((_xll.SNL.Clients.Office.Excel.Functions.SPG($L53,Y$3,Y$4,"Options: Curr=USD") / _xll.SNL.Clients.Office.Excel.Functions.SPG($L53,"SP_EBITDA_EST",Y$2,"Options: Curr=USD")) &lt; 0, "NM", (_xll.SNL.Clients.Office.Excel.Functions.SPG($L53,Y$3,Y$4,"Options: Curr=USD") / _xll.SNL.Clients.Office.Excel.Functions.SPG($L53,"SP_EBITDA_EST",Y$2,"Options: Curr=USD")))</f>
        <v>#NAME?</v>
      </c>
      <c r="Z53" s="70" t="e" cm="1">
        <f t="array" aca="1" ref="Z53" ca="1">_xll.SNL.Clients.Office.Excel.Functions.SPG($L53, Z$3,Z$4)</f>
        <v>#NAME?</v>
      </c>
      <c r="AA53" s="77" t="str">
        <f ca="1">IFERROR(0.001*AVERAGE(_xll.SNL.Clients.Office.Excel.Functions.SPG($L53,$AA$4,"Au",AA$2),_xll.SNL.Clients.Office.Excel.Functions.SPG($L53,$AA$3,"Au",AA$2)),"NA")</f>
        <v>NA</v>
      </c>
      <c r="AB53" s="72" t="str">
        <f ca="1">IFERROR(0.001*AVERAGE(_xll.SNL.Clients.Office.Excel.Functions.SPG($L53,$AA$4,"Au",AB$2),_xll.SNL.Clients.Office.Excel.Functions.SPG($L53,$AA$3,"Au",AB$2)),"NA")</f>
        <v>NA</v>
      </c>
      <c r="AC53" s="78" t="str">
        <f ca="1">IFERROR(0.001*AVERAGE(_xll.SNL.Clients.Office.Excel.Functions.SPG($L53,$AA$4,"Au",AC$2),_xll.SNL.Clients.Office.Excel.Functions.SPG($L53,$AA$3,"Au",AC$2)),"NA")</f>
        <v>NA</v>
      </c>
      <c r="AD53" s="72" t="e">
        <f ca="1" xml:space="preserve"> IF(ISNUMBER(SEARCH("na",_xll.SNL.Clients.Office.Excel.Functions.SPG($L53, $AD$4, AD$2))), 0,_xll.SNL.Clients.Office.Excel.Functions.SPG($L53, $AD$4, AD$2))</f>
        <v>#NAME?</v>
      </c>
      <c r="AE53" s="72" t="e">
        <f ca="1" xml:space="preserve"> IF(ISNUMBER(SEARCH("na",_xll.SNL.Clients.Office.Excel.Functions.SPG($L53, $AD$4, AE$2))), 0,_xll.SNL.Clients.Office.Excel.Functions.SPG($L53, $AD$4, AE$2))</f>
        <v>#NAME?</v>
      </c>
      <c r="AF53" s="72" t="e">
        <f ca="1" xml:space="preserve"> IF(ISNUMBER(SEARCH("na",_xll.SNL.Clients.Office.Excel.Functions.SPG($L53, $AD$4, AF$2))), 0,_xll.SNL.Clients.Office.Excel.Functions.SPG($L53, $AD$4, AF$2))</f>
        <v>#NAME?</v>
      </c>
      <c r="AG53" s="72" t="e">
        <f ca="1" xml:space="preserve"> IF(ISNUMBER(SEARCH("na",_xll.SNL.Clients.Office.Excel.Functions.SPG($L53, $AG$4, AG$2))), 0,_xll.SNL.Clients.Office.Excel.Functions.SPG($L53, $AG$4, AG$2))</f>
        <v>#NAME?</v>
      </c>
      <c r="AH53" s="72" t="e">
        <f ca="1" xml:space="preserve"> IF(ISNUMBER(SEARCH("na",_xll.SNL.Clients.Office.Excel.Functions.SPG($L53, $AG$4, AH$2))), 0,_xll.SNL.Clients.Office.Excel.Functions.SPG($L53, $AG$4, AH$2))</f>
        <v>#NAME?</v>
      </c>
      <c r="AI53" s="72" t="e">
        <f ca="1" xml:space="preserve"> IF(ISNUMBER(SEARCH("na",_xll.SNL.Clients.Office.Excel.Functions.SPG($L53, $AG$4, AI$2))), 0,_xll.SNL.Clients.Office.Excel.Functions.SPG($L53, $AG$4, AI$2))</f>
        <v>#NAME?</v>
      </c>
      <c r="AJ53" s="72" t="e">
        <f ca="1" xml:space="preserve"> IF(ISNUMBER(SEARCH("na",_xll.SNL.Clients.Office.Excel.Functions.SPG($L53, $AJ$4, AJ$2))), 0,_xll.SNL.Clients.Office.Excel.Functions.SPG($L53, $AJ$4, AJ$2))</f>
        <v>#NAME?</v>
      </c>
      <c r="AK53" s="72" t="e">
        <f ca="1" xml:space="preserve"> IF(ISNUMBER(SEARCH("na",_xll.SNL.Clients.Office.Excel.Functions.SPG($L53, $AJ$4, AK$2))), 0,_xll.SNL.Clients.Office.Excel.Functions.SPG($L53, $AJ$4, AK$2))</f>
        <v>#NAME?</v>
      </c>
      <c r="AL53" s="72" t="e">
        <f ca="1" xml:space="preserve"> IF(ISNUMBER(SEARCH("na",_xll.SNL.Clients.Office.Excel.Functions.SPG($L53, $AJ$4, AL$2))), 0,_xll.SNL.Clients.Office.Excel.Functions.SPG($L53, $AJ$4, AL$2))</f>
        <v>#NAME?</v>
      </c>
      <c r="AM53" s="72" t="e">
        <f t="shared" ref="AM53:AM77" ca="1" si="260">AD53+AG53*agprice/auprice+AJ53*cuprice/auprice</f>
        <v>#NAME?</v>
      </c>
      <c r="AN53" s="72" t="e">
        <f t="shared" ref="AN53:AN77" ca="1" si="261">AE53+AH53*agprice/auprice+AK53*cuprice/auprice</f>
        <v>#NAME?</v>
      </c>
      <c r="AO53" s="72" t="e">
        <f t="shared" ref="AO53:AO77" ca="1" si="262">AF53+AI53*agprice/auprice+AL53*cuprice/auprice</f>
        <v>#NAME?</v>
      </c>
      <c r="AP53" s="83" t="str">
        <f t="shared" ca="1" si="219"/>
        <v>NA</v>
      </c>
      <c r="AQ53" s="84" t="str">
        <f t="shared" ca="1" si="219"/>
        <v>NA</v>
      </c>
      <c r="AR53" s="85" t="str">
        <f t="shared" ca="1" si="219"/>
        <v>NA</v>
      </c>
      <c r="AS53" s="72">
        <f ca="1">IFERROR(_xll.SNL.Clients.Office.Excel.Functions.SPG($L53, $AS$3, AS$2,$AS$4)/1000,0)</f>
        <v>0</v>
      </c>
      <c r="AT53" s="72">
        <f ca="1">IFERROR(_xll.SNL.Clients.Office.Excel.Functions.SPG($L53, $AS$3, AT$2,$AS$4)/1000,0)</f>
        <v>0</v>
      </c>
      <c r="AU53" s="72">
        <f ca="1">IFERROR(_xll.SNL.Clients.Office.Excel.Functions.SPG($L53, $AV$3, AU$2,$AS$4)/1000,0)</f>
        <v>0</v>
      </c>
      <c r="AV53" s="72">
        <f ca="1">IFERROR(_xll.SNL.Clients.Office.Excel.Functions.SPG($L53, $AV$3, AV$2,$AS$4)/1000,0)</f>
        <v>0</v>
      </c>
      <c r="AW53" s="72">
        <f ca="1">IFERROR(_xll.SNL.Clients.Office.Excel.Functions.SPG($L53, $AV$3, AW$2,$AS$4)/1000,0)</f>
        <v>0</v>
      </c>
      <c r="AX53" s="72">
        <f ca="1">IFERROR(_xll.SNL.Clients.Office.Excel.Functions.SPG($L53, $AX$3, AX$2,$AS$4)/1000,0)</f>
        <v>0</v>
      </c>
      <c r="AY53" s="72">
        <f ca="1">IFERROR(_xll.SNL.Clients.Office.Excel.Functions.SPG($L53, $AX$3, AY$2,$AS$4)/1000,0)</f>
        <v>0</v>
      </c>
      <c r="AZ53" s="72">
        <f ca="1">IFERROR(_xll.SNL.Clients.Office.Excel.Functions.SPG($L53, $BA$3, AZ$2,$AS$4)/1000,0)</f>
        <v>0</v>
      </c>
      <c r="BA53" s="72">
        <f ca="1">IFERROR(_xll.SNL.Clients.Office.Excel.Functions.SPG($L53, $BA$3, BA$2,$AS$4)/1000,0)</f>
        <v>0</v>
      </c>
      <c r="BB53" s="72">
        <f ca="1">IFERROR(_xll.SNL.Clients.Office.Excel.Functions.SPG($L53, $BA$3, BB$2,$AS$4)/1000,0)</f>
        <v>0</v>
      </c>
      <c r="BC53" s="72">
        <f ca="1">IFERROR(_xll.SNL.Clients.Office.Excel.Functions.SPG($L53, $BC$3, BC$2,$AS$4)/1000,0)</f>
        <v>0</v>
      </c>
      <c r="BD53" s="72">
        <f ca="1">IFERROR(_xll.SNL.Clients.Office.Excel.Functions.SPG($L53, $BC$3, BD$2,$AS$4)/1000,0)</f>
        <v>0</v>
      </c>
      <c r="BE53" s="72">
        <f ca="1">IFERROR(_xll.SNL.Clients.Office.Excel.Functions.SPG($L53, $BF$3, BE$2,$AS$4)/1000,0)</f>
        <v>0</v>
      </c>
      <c r="BF53" s="72">
        <f ca="1">IFERROR(_xll.SNL.Clients.Office.Excel.Functions.SPG($L53, $BF$3, BF$2,$AS$4)/1000,0)</f>
        <v>0</v>
      </c>
      <c r="BG53" s="72">
        <f ca="1">IFERROR(_xll.SNL.Clients.Office.Excel.Functions.SPG($L53, $BF$3, BG$2,$AS$4)/1000,0)</f>
        <v>0</v>
      </c>
      <c r="BH53" s="72">
        <f t="shared" ref="BH53:BH77" ca="1" si="263">AS53+AT53*agprice/auprice+AU53*cuprice/auprice+AV53*znprice/auprice+AW53*pbprice/auprice</f>
        <v>0</v>
      </c>
      <c r="BI53" s="72">
        <f t="shared" ref="BI53:BI77" ca="1" si="264">AX53+AY53*agprice/auprice+AZ53*cuprice/auprice+BA53*znprice/auprice+BB53*pbprice/auprice+BH53</f>
        <v>0</v>
      </c>
      <c r="BJ53" s="72">
        <f t="shared" ref="BJ53:BJ77" ca="1" si="265">BC53+BD53*agprice/auprice+BE53*cuprice/auprice+BF53*znprice/auprice+BG53*pbprice/auprice+BH53</f>
        <v>0</v>
      </c>
      <c r="BK53" s="77" t="e">
        <f t="shared" ca="1" si="223"/>
        <v>#NAME?</v>
      </c>
      <c r="BL53" s="72" t="e">
        <f t="shared" ca="1" si="223"/>
        <v>#NAME?</v>
      </c>
      <c r="BM53" s="78" t="e">
        <f t="shared" ca="1" si="223"/>
        <v>#NAME?</v>
      </c>
      <c r="BN53" s="72" t="e">
        <f ca="1">_xll.SNL.Clients.Office.Excel.Functions.SPG($L53, $BN$3, BN$2, "Au", "Options:Curr=USD")</f>
        <v>#NAME?</v>
      </c>
      <c r="BO53" s="72" t="e">
        <f ca="1">_xll.SNL.Clients.Office.Excel.Functions.SPG($L53, $BN$3, BO$2, "Au", "Options:Curr=USD")</f>
        <v>#NAME?</v>
      </c>
      <c r="BP53" s="72" t="e">
        <f ca="1">_xll.SNL.Clients.Office.Excel.Functions.SPG($L53, $BN$3, BP$2, "Au", "Options:Curr=USD")</f>
        <v>#NAME?</v>
      </c>
      <c r="BQ53" s="78" t="e">
        <f ca="1">_xll.SNL.Clients.Office.Excel.Functions.SPG($L53, $BN$3, BQ$2, "Au", "Options:Curr=USD")</f>
        <v>#NAME?</v>
      </c>
      <c r="BR53" s="72" t="str">
        <f ca="1">IFERROR(AVERAGE(_xll.SNL.Clients.Office.Excel.Functions.SPG($L53,$BR$4,"Au",BR$2, "Options:Curr=USD"),_xll.SNL.Clients.Office.Excel.Functions.SPG($L53,$BR$3,"Au",BR$2, "Options:Curr=USD")),"NA")</f>
        <v>NA</v>
      </c>
      <c r="BS53" s="72" t="str">
        <f ca="1">IFERROR(AVERAGE(_xll.SNL.Clients.Office.Excel.Functions.SPG($L53,$BR$4,"Au",BS$2, "Options:Curr=USD"),_xll.SNL.Clients.Office.Excel.Functions.SPG($L53,$BR$3,"Au",BS$2, "Options:Curr=USD")),"NA")</f>
        <v>NA</v>
      </c>
      <c r="BT53" s="78" t="str">
        <f ca="1">IFERROR(AVERAGE(_xll.SNL.Clients.Office.Excel.Functions.SPG($L53,$BR$4,"Au",BT$2, "Options:Curr=USD"),_xll.SNL.Clients.Office.Excel.Functions.SPG($L53,$BR$3,"Au",BT$2, "Options:Curr=USD")),"NA")</f>
        <v>NA</v>
      </c>
      <c r="BV53" s="36" t="s">
        <v>88</v>
      </c>
      <c r="BW53" s="36"/>
      <c r="BX53" s="36" t="s">
        <v>89</v>
      </c>
      <c r="BY53" s="36"/>
    </row>
    <row r="54" spans="1:77" ht="13.8" x14ac:dyDescent="0.25">
      <c r="A54" s="56" t="e">
        <f ca="1">_xll.SNL.Clients.Office.Excel.Functions.SPG($L54, A$3)</f>
        <v>#NAME?</v>
      </c>
      <c r="B54" s="56" t="e">
        <f ca="1">_xll.BDP($K54,B$3)</f>
        <v>#NAME?</v>
      </c>
      <c r="C54" s="56" t="e">
        <f ca="1">_xll.BDP($K54,C$3)</f>
        <v>#NAME?</v>
      </c>
      <c r="D54" s="56" t="e">
        <f ca="1">_xll.BDP($K54,D$3)</f>
        <v>#NAME?</v>
      </c>
      <c r="E54" s="57" t="s">
        <v>247</v>
      </c>
      <c r="F54" s="57" t="s">
        <v>83</v>
      </c>
      <c r="G54" s="57" t="s">
        <v>84</v>
      </c>
      <c r="H54" s="58" t="e">
        <f ca="1">_xll.SNL.Clients.Office.Excel.Functions.SPG($L54, "IQ_TEV", "Options: Curr=USD")</f>
        <v>#NAME?</v>
      </c>
      <c r="I54" s="58" t="e">
        <f ca="1">_xll.SNL.Clients.Office.Excel.Functions.SPG($L54, "SP_MARKETCAP", "Options: Curr=USD")</f>
        <v>#NAME?</v>
      </c>
      <c r="J54" s="59" t="s">
        <v>248</v>
      </c>
      <c r="K54" s="3" t="s">
        <v>249</v>
      </c>
      <c r="L54" s="3" t="s">
        <v>250</v>
      </c>
      <c r="M54" s="60" t="str" cm="1">
        <f t="array" aca="1" ref="M54" ca="1">IFERROR(_xll.SNL.Clients.Office.Excel.Functions.SPG($L54, $M$3)/100,"NA")</f>
        <v>NA</v>
      </c>
      <c r="N54" s="61" t="e" cm="1">
        <f t="array" aca="1" ref="N54" ca="1">_xll.SNL.Clients.Office.Excel.Functions.SPG($L54, "SP_PCFPS_FWD",N$2)</f>
        <v>#NAME?</v>
      </c>
      <c r="O54" s="62" t="e" cm="1">
        <f t="array" aca="1" ref="O54" ca="1">_xll.SNL.Clients.Office.Excel.Functions.SPG($L54, "SP_PCFPS_FWD",O$2)</f>
        <v>#NAME?</v>
      </c>
      <c r="P54" s="63" t="e" cm="1">
        <f t="array" aca="1" ref="P54" ca="1">_xll.SNL.Clients.Office.Excel.Functions.SPG($L54, "SP_PCFPS_FWD",P$2)</f>
        <v>#NAME?</v>
      </c>
      <c r="Q54" s="64" t="str">
        <f ca="1">IFERROR(_xll.SNL.Clients.Office.Excel.Functions.SPG($L54, "SP_FCF_EST",Q$2, "Options: Curr=USD")/1000/I54,"NA")</f>
        <v>NA</v>
      </c>
      <c r="R54" s="64" t="str">
        <f ca="1">IFERROR(_xll.SNL.Clients.Office.Excel.Functions.SPG($L54, "SP_FCF_EST",R$2, "Options: Curr=USD")/1000/I54,"NA")</f>
        <v>NA</v>
      </c>
      <c r="S54" s="64" t="e">
        <f ca="1">_xll.SNL.Clients.Office.Excel.Functions.SPG($L54, "SP_FCF_EST",S$2, "Options: Curr=USD")/1000/$I54</f>
        <v>#NAME?</v>
      </c>
      <c r="T54" s="61" t="e" cm="1">
        <f t="array" aca="1" ref="T54" ca="1">_xll.SNL.Clients.Office.Excel.Functions.SPG($L54, "SP_PE_FWD",T$2)</f>
        <v>#NAME?</v>
      </c>
      <c r="U54" s="63" t="e" cm="1">
        <f t="array" aca="1" ref="U54" ca="1">_xll.SNL.Clients.Office.Excel.Functions.SPG($L54, "SP_PE_FWD",U$2)</f>
        <v>#NAME?</v>
      </c>
      <c r="V54" s="80" t="e" cm="1">
        <f t="array" aca="1" ref="V54" ca="1">_xll.SNL.Clients.Office.Excel.Functions.SPG($L54, $V$3,V$2)</f>
        <v>#NAME?</v>
      </c>
      <c r="W54" s="81" t="e" cm="1">
        <f t="array" aca="1" ref="W54" ca="1">_xll.SNL.Clients.Office.Excel.Functions.SPG($L54, $V$3,W$2)</f>
        <v>#NAME?</v>
      </c>
      <c r="X54" s="82" t="e" cm="1">
        <f t="array" aca="1" ref="X54" ca="1">_xll.SNL.Clients.Office.Excel.Functions.SPG($L54, $V$3,X$2)</f>
        <v>#NAME?</v>
      </c>
      <c r="Y54" s="69" t="e" cm="1">
        <f t="array" aca="1" ref="Y54" ca="1">IF((_xll.SNL.Clients.Office.Excel.Functions.SPG($L54,Y$3,Y$4,"Options: Curr=USD") / _xll.SNL.Clients.Office.Excel.Functions.SPG($L54,"SP_EBITDA_EST",Y$2,"Options: Curr=USD")) &lt; 0, "NM", (_xll.SNL.Clients.Office.Excel.Functions.SPG($L54,Y$3,Y$4,"Options: Curr=USD") / _xll.SNL.Clients.Office.Excel.Functions.SPG($L54,"SP_EBITDA_EST",Y$2,"Options: Curr=USD")))</f>
        <v>#NAME?</v>
      </c>
      <c r="Z54" s="70" t="e" cm="1">
        <f t="array" aca="1" ref="Z54" ca="1">_xll.SNL.Clients.Office.Excel.Functions.SPG($L54, Z$3,Z$4)</f>
        <v>#NAME?</v>
      </c>
      <c r="AA54" s="77" t="str">
        <f ca="1">IFERROR(0.001*AVERAGE(_xll.SNL.Clients.Office.Excel.Functions.SPG($L54,$AA$4,"Au",AA$2),_xll.SNL.Clients.Office.Excel.Functions.SPG($L54,$AA$3,"Au",AA$2)),"NA")</f>
        <v>NA</v>
      </c>
      <c r="AB54" s="72" t="str">
        <f ca="1">IFERROR(0.001*AVERAGE(_xll.SNL.Clients.Office.Excel.Functions.SPG($L54,$AA$4,"Au",AB$2),_xll.SNL.Clients.Office.Excel.Functions.SPG($L54,$AA$3,"Au",AB$2)),"NA")</f>
        <v>NA</v>
      </c>
      <c r="AC54" s="78" t="str">
        <f ca="1">IFERROR(0.001*AVERAGE(_xll.SNL.Clients.Office.Excel.Functions.SPG($L54,$AA$4,"Au",AC$2),_xll.SNL.Clients.Office.Excel.Functions.SPG($L54,$AA$3,"Au",AC$2)),"NA")</f>
        <v>NA</v>
      </c>
      <c r="AD54" s="72" t="e">
        <f ca="1" xml:space="preserve"> IF(ISNUMBER(SEARCH("na",_xll.SNL.Clients.Office.Excel.Functions.SPG($L54, $AD$4, AD$2))), 0,_xll.SNL.Clients.Office.Excel.Functions.SPG($L54, $AD$4, AD$2))</f>
        <v>#NAME?</v>
      </c>
      <c r="AE54" s="72" t="e">
        <f ca="1" xml:space="preserve"> IF(ISNUMBER(SEARCH("na",_xll.SNL.Clients.Office.Excel.Functions.SPG($L54, $AD$4, AE$2))), 0,_xll.SNL.Clients.Office.Excel.Functions.SPG($L54, $AD$4, AE$2))</f>
        <v>#NAME?</v>
      </c>
      <c r="AF54" s="72" t="e">
        <f ca="1" xml:space="preserve"> IF(ISNUMBER(SEARCH("na",_xll.SNL.Clients.Office.Excel.Functions.SPG($L54, $AD$4, AF$2))), 0,_xll.SNL.Clients.Office.Excel.Functions.SPG($L54, $AD$4, AF$2))</f>
        <v>#NAME?</v>
      </c>
      <c r="AG54" s="72" t="e">
        <f ca="1" xml:space="preserve"> IF(ISNUMBER(SEARCH("na",_xll.SNL.Clients.Office.Excel.Functions.SPG($L54, $AG$4, AG$2))), 0,_xll.SNL.Clients.Office.Excel.Functions.SPG($L54, $AG$4, AG$2))</f>
        <v>#NAME?</v>
      </c>
      <c r="AH54" s="72" t="e">
        <f ca="1" xml:space="preserve"> IF(ISNUMBER(SEARCH("na",_xll.SNL.Clients.Office.Excel.Functions.SPG($L54, $AG$4, AH$2))), 0,_xll.SNL.Clients.Office.Excel.Functions.SPG($L54, $AG$4, AH$2))</f>
        <v>#NAME?</v>
      </c>
      <c r="AI54" s="72" t="e">
        <f ca="1" xml:space="preserve"> IF(ISNUMBER(SEARCH("na",_xll.SNL.Clients.Office.Excel.Functions.SPG($L54, $AG$4, AI$2))), 0,_xll.SNL.Clients.Office.Excel.Functions.SPG($L54, $AG$4, AI$2))</f>
        <v>#NAME?</v>
      </c>
      <c r="AJ54" s="72" t="e">
        <f ca="1" xml:space="preserve"> IF(ISNUMBER(SEARCH("na",_xll.SNL.Clients.Office.Excel.Functions.SPG($L54, $AJ$4, AJ$2))), 0,_xll.SNL.Clients.Office.Excel.Functions.SPG($L54, $AJ$4, AJ$2))</f>
        <v>#NAME?</v>
      </c>
      <c r="AK54" s="72" t="e">
        <f ca="1" xml:space="preserve"> IF(ISNUMBER(SEARCH("na",_xll.SNL.Clients.Office.Excel.Functions.SPG($L54, $AJ$4, AK$2))), 0,_xll.SNL.Clients.Office.Excel.Functions.SPG($L54, $AJ$4, AK$2))</f>
        <v>#NAME?</v>
      </c>
      <c r="AL54" s="72" t="e">
        <f ca="1" xml:space="preserve"> IF(ISNUMBER(SEARCH("na",_xll.SNL.Clients.Office.Excel.Functions.SPG($L54, $AJ$4, AL$2))), 0,_xll.SNL.Clients.Office.Excel.Functions.SPG($L54, $AJ$4, AL$2))</f>
        <v>#NAME?</v>
      </c>
      <c r="AM54" s="72" t="e">
        <f t="shared" ref="AM54:AM78" ca="1" si="266">AD54+AG54*agprice/auprice+AJ54*cuprice/auprice</f>
        <v>#NAME?</v>
      </c>
      <c r="AN54" s="72" t="e">
        <f t="shared" ref="AN54:AN78" ca="1" si="267">AE54+AH54*agprice/auprice+AK54*cuprice/auprice</f>
        <v>#NAME?</v>
      </c>
      <c r="AO54" s="72" t="e">
        <f t="shared" ref="AO54:AO78" ca="1" si="268">AF54+AI54*agprice/auprice+AL54*cuprice/auprice</f>
        <v>#NAME?</v>
      </c>
      <c r="AP54" s="83" t="str">
        <f t="shared" ca="1" si="219"/>
        <v>NA</v>
      </c>
      <c r="AQ54" s="84" t="str">
        <f t="shared" ca="1" si="219"/>
        <v>NA</v>
      </c>
      <c r="AR54" s="85" t="str">
        <f t="shared" ca="1" si="219"/>
        <v>NA</v>
      </c>
      <c r="AS54" s="72">
        <f ca="1">IFERROR(_xll.SNL.Clients.Office.Excel.Functions.SPG($L54, $AS$3, AS$2,$AS$4)/1000,0)</f>
        <v>0</v>
      </c>
      <c r="AT54" s="72">
        <f ca="1">IFERROR(_xll.SNL.Clients.Office.Excel.Functions.SPG($L54, $AS$3, AT$2,$AS$4)/1000,0)</f>
        <v>0</v>
      </c>
      <c r="AU54" s="72">
        <f ca="1">IFERROR(_xll.SNL.Clients.Office.Excel.Functions.SPG($L54, $AV$3, AU$2,$AS$4)/1000,0)</f>
        <v>0</v>
      </c>
      <c r="AV54" s="72">
        <f ca="1">IFERROR(_xll.SNL.Clients.Office.Excel.Functions.SPG($L54, $AV$3, AV$2,$AS$4)/1000,0)</f>
        <v>0</v>
      </c>
      <c r="AW54" s="72">
        <f ca="1">IFERROR(_xll.SNL.Clients.Office.Excel.Functions.SPG($L54, $AV$3, AW$2,$AS$4)/1000,0)</f>
        <v>0</v>
      </c>
      <c r="AX54" s="72">
        <f ca="1">IFERROR(_xll.SNL.Clients.Office.Excel.Functions.SPG($L54, $AX$3, AX$2,$AS$4)/1000,0)</f>
        <v>0</v>
      </c>
      <c r="AY54" s="72">
        <f ca="1">IFERROR(_xll.SNL.Clients.Office.Excel.Functions.SPG($L54, $AX$3, AY$2,$AS$4)/1000,0)</f>
        <v>0</v>
      </c>
      <c r="AZ54" s="72">
        <f ca="1">IFERROR(_xll.SNL.Clients.Office.Excel.Functions.SPG($L54, $BA$3, AZ$2,$AS$4)/1000,0)</f>
        <v>0</v>
      </c>
      <c r="BA54" s="72">
        <f ca="1">IFERROR(_xll.SNL.Clients.Office.Excel.Functions.SPG($L54, $BA$3, BA$2,$AS$4)/1000,0)</f>
        <v>0</v>
      </c>
      <c r="BB54" s="72">
        <f ca="1">IFERROR(_xll.SNL.Clients.Office.Excel.Functions.SPG($L54, $BA$3, BB$2,$AS$4)/1000,0)</f>
        <v>0</v>
      </c>
      <c r="BC54" s="72">
        <f ca="1">IFERROR(_xll.SNL.Clients.Office.Excel.Functions.SPG($L54, $BC$3, BC$2,$AS$4)/1000,0)</f>
        <v>0</v>
      </c>
      <c r="BD54" s="72">
        <f ca="1">IFERROR(_xll.SNL.Clients.Office.Excel.Functions.SPG($L54, $BC$3, BD$2,$AS$4)/1000,0)</f>
        <v>0</v>
      </c>
      <c r="BE54" s="72">
        <f ca="1">IFERROR(_xll.SNL.Clients.Office.Excel.Functions.SPG($L54, $BF$3, BE$2,$AS$4)/1000,0)</f>
        <v>0</v>
      </c>
      <c r="BF54" s="72">
        <f ca="1">IFERROR(_xll.SNL.Clients.Office.Excel.Functions.SPG($L54, $BF$3, BF$2,$AS$4)/1000,0)</f>
        <v>0</v>
      </c>
      <c r="BG54" s="72">
        <f ca="1">IFERROR(_xll.SNL.Clients.Office.Excel.Functions.SPG($L54, $BF$3, BG$2,$AS$4)/1000,0)</f>
        <v>0</v>
      </c>
      <c r="BH54" s="72">
        <f t="shared" ref="BH54:BH78" ca="1" si="269">AS54+AT54*agprice/auprice+AU54*cuprice/auprice+AV54*znprice/auprice+AW54*pbprice/auprice</f>
        <v>0</v>
      </c>
      <c r="BI54" s="72">
        <f t="shared" ref="BI54:BI78" ca="1" si="270">AX54+AY54*agprice/auprice+AZ54*cuprice/auprice+BA54*znprice/auprice+BB54*pbprice/auprice+BH54</f>
        <v>0</v>
      </c>
      <c r="BJ54" s="72">
        <f t="shared" ref="BJ54:BJ78" ca="1" si="271">BC54+BD54*agprice/auprice+BE54*cuprice/auprice+BF54*znprice/auprice+BG54*pbprice/auprice+BH54</f>
        <v>0</v>
      </c>
      <c r="BK54" s="77" t="e">
        <f t="shared" ca="1" si="223"/>
        <v>#NAME?</v>
      </c>
      <c r="BL54" s="72" t="e">
        <f t="shared" ca="1" si="223"/>
        <v>#NAME?</v>
      </c>
      <c r="BM54" s="78" t="e">
        <f t="shared" ca="1" si="223"/>
        <v>#NAME?</v>
      </c>
      <c r="BN54" s="72" t="e">
        <f ca="1">_xll.SNL.Clients.Office.Excel.Functions.SPG($L54, $BN$3, BN$2, "Au", "Options:Curr=USD")</f>
        <v>#NAME?</v>
      </c>
      <c r="BO54" s="72" t="e">
        <f ca="1">_xll.SNL.Clients.Office.Excel.Functions.SPG($L54, $BN$3, BO$2, "Au", "Options:Curr=USD")</f>
        <v>#NAME?</v>
      </c>
      <c r="BP54" s="72" t="e">
        <f ca="1">_xll.SNL.Clients.Office.Excel.Functions.SPG($L54, $BN$3, BP$2, "Au", "Options:Curr=USD")</f>
        <v>#NAME?</v>
      </c>
      <c r="BQ54" s="78" t="e">
        <f ca="1">_xll.SNL.Clients.Office.Excel.Functions.SPG($L54, $BN$3, BQ$2, "Au", "Options:Curr=USD")</f>
        <v>#NAME?</v>
      </c>
      <c r="BR54" s="72" t="str">
        <f ca="1">IFERROR(AVERAGE(_xll.SNL.Clients.Office.Excel.Functions.SPG($L54,$BR$4,"Au",BR$2, "Options:Curr=USD"),_xll.SNL.Clients.Office.Excel.Functions.SPG($L54,$BR$3,"Au",BR$2, "Options:Curr=USD")),"NA")</f>
        <v>NA</v>
      </c>
      <c r="BS54" s="72" t="str">
        <f ca="1">IFERROR(AVERAGE(_xll.SNL.Clients.Office.Excel.Functions.SPG($L54,$BR$4,"Au",BS$2, "Options:Curr=USD"),_xll.SNL.Clients.Office.Excel.Functions.SPG($L54,$BR$3,"Au",BS$2, "Options:Curr=USD")),"NA")</f>
        <v>NA</v>
      </c>
      <c r="BT54" s="78" t="str">
        <f ca="1">IFERROR(AVERAGE(_xll.SNL.Clients.Office.Excel.Functions.SPG($L54,$BR$4,"Au",BT$2, "Options:Curr=USD"),_xll.SNL.Clients.Office.Excel.Functions.SPG($L54,$BR$3,"Au",BT$2, "Options:Curr=USD")),"NA")</f>
        <v>NA</v>
      </c>
      <c r="BV54" s="36" t="s">
        <v>88</v>
      </c>
      <c r="BW54" s="36"/>
      <c r="BX54" s="36"/>
      <c r="BY54" s="36"/>
    </row>
    <row r="55" spans="1:77" ht="13.8" x14ac:dyDescent="0.25">
      <c r="A55" s="56" t="e">
        <f ca="1">_xll.SNL.Clients.Office.Excel.Functions.SPG($L55, A$3)</f>
        <v>#NAME?</v>
      </c>
      <c r="B55" s="56" t="e">
        <f ca="1">_xll.BDP($K55,B$3)</f>
        <v>#NAME?</v>
      </c>
      <c r="C55" s="56" t="e">
        <f ca="1">_xll.BDP($K55,C$3)</f>
        <v>#NAME?</v>
      </c>
      <c r="D55" s="56" t="e">
        <f ca="1">_xll.BDP($K55,D$3)</f>
        <v>#NAME?</v>
      </c>
      <c r="E55" s="57" t="s">
        <v>145</v>
      </c>
      <c r="F55" s="57" t="s">
        <v>107</v>
      </c>
      <c r="G55" s="57" t="s">
        <v>84</v>
      </c>
      <c r="H55" s="58" t="e">
        <f ca="1">_xll.SNL.Clients.Office.Excel.Functions.SPG($L55, "IQ_TEV", "Options: Curr=USD")</f>
        <v>#NAME?</v>
      </c>
      <c r="I55" s="58" t="e">
        <f ca="1">_xll.SNL.Clients.Office.Excel.Functions.SPG($L55, "SP_MARKETCAP", "Options: Curr=USD")</f>
        <v>#NAME?</v>
      </c>
      <c r="J55" s="59" t="s">
        <v>251</v>
      </c>
      <c r="K55" s="3" t="s">
        <v>252</v>
      </c>
      <c r="L55" s="3" t="s">
        <v>253</v>
      </c>
      <c r="M55" s="60" t="str" cm="1">
        <f t="array" aca="1" ref="M55" ca="1">IFERROR(_xll.SNL.Clients.Office.Excel.Functions.SPG($L55, $M$3)/100,"NA")</f>
        <v>NA</v>
      </c>
      <c r="N55" s="61" t="e" cm="1">
        <f t="array" aca="1" ref="N55" ca="1">_xll.SNL.Clients.Office.Excel.Functions.SPG($L55, "SP_PCFPS_FWD",N$2)</f>
        <v>#NAME?</v>
      </c>
      <c r="O55" s="62" t="e" cm="1">
        <f t="array" aca="1" ref="O55" ca="1">_xll.SNL.Clients.Office.Excel.Functions.SPG($L55, "SP_PCFPS_FWD",O$2)</f>
        <v>#NAME?</v>
      </c>
      <c r="P55" s="63" t="e" cm="1">
        <f t="array" aca="1" ref="P55" ca="1">_xll.SNL.Clients.Office.Excel.Functions.SPG($L55, "SP_PCFPS_FWD",P$2)</f>
        <v>#NAME?</v>
      </c>
      <c r="Q55" s="64" t="str">
        <f ca="1">IFERROR(_xll.SNL.Clients.Office.Excel.Functions.SPG($L55, "SP_FCF_EST",Q$2, "Options: Curr=USD")/1000/I55,"NA")</f>
        <v>NA</v>
      </c>
      <c r="R55" s="64" t="str">
        <f ca="1">IFERROR(_xll.SNL.Clients.Office.Excel.Functions.SPG($L55, "SP_FCF_EST",R$2, "Options: Curr=USD")/1000/I55,"NA")</f>
        <v>NA</v>
      </c>
      <c r="S55" s="64" t="e">
        <f ca="1">_xll.SNL.Clients.Office.Excel.Functions.SPG($L55, "SP_FCF_EST",S$2, "Options: Curr=USD")/1000/$I55</f>
        <v>#NAME?</v>
      </c>
      <c r="T55" s="61" t="e" cm="1">
        <f t="array" aca="1" ref="T55" ca="1">_xll.SNL.Clients.Office.Excel.Functions.SPG($L55, "SP_PE_FWD",T$2)</f>
        <v>#NAME?</v>
      </c>
      <c r="U55" s="63" t="e" cm="1">
        <f t="array" aca="1" ref="U55" ca="1">_xll.SNL.Clients.Office.Excel.Functions.SPG($L55, "SP_PE_FWD",U$2)</f>
        <v>#NAME?</v>
      </c>
      <c r="V55" s="80" t="e" cm="1">
        <f t="array" aca="1" ref="V55" ca="1">_xll.SNL.Clients.Office.Excel.Functions.SPG($L55, $V$3,V$2)</f>
        <v>#NAME?</v>
      </c>
      <c r="W55" s="81" t="e" cm="1">
        <f t="array" aca="1" ref="W55" ca="1">_xll.SNL.Clients.Office.Excel.Functions.SPG($L55, $V$3,W$2)</f>
        <v>#NAME?</v>
      </c>
      <c r="X55" s="82" t="e" cm="1">
        <f t="array" aca="1" ref="X55" ca="1">_xll.SNL.Clients.Office.Excel.Functions.SPG($L55, $V$3,X$2)</f>
        <v>#NAME?</v>
      </c>
      <c r="Y55" s="69" t="e" cm="1">
        <f t="array" aca="1" ref="Y55" ca="1">IF((_xll.SNL.Clients.Office.Excel.Functions.SPG($L55,Y$3,Y$4,"Options: Curr=USD") / _xll.SNL.Clients.Office.Excel.Functions.SPG($L55,"SP_EBITDA_EST",Y$2,"Options: Curr=USD")) &lt; 0, "NM", (_xll.SNL.Clients.Office.Excel.Functions.SPG($L55,Y$3,Y$4,"Options: Curr=USD") / _xll.SNL.Clients.Office.Excel.Functions.SPG($L55,"SP_EBITDA_EST",Y$2,"Options: Curr=USD")))</f>
        <v>#NAME?</v>
      </c>
      <c r="Z55" s="70" t="e" cm="1">
        <f t="array" aca="1" ref="Z55" ca="1">_xll.SNL.Clients.Office.Excel.Functions.SPG($L55, Z$3,Z$4)</f>
        <v>#NAME?</v>
      </c>
      <c r="AA55" s="77" t="str">
        <f ca="1">IFERROR(0.001*AVERAGE(_xll.SNL.Clients.Office.Excel.Functions.SPG($L55,$AA$4,"Au",AA$2),_xll.SNL.Clients.Office.Excel.Functions.SPG($L55,$AA$3,"Au",AA$2)),"NA")</f>
        <v>NA</v>
      </c>
      <c r="AB55" s="72" t="str">
        <f ca="1">IFERROR(0.001*AVERAGE(_xll.SNL.Clients.Office.Excel.Functions.SPG($L55,$AA$4,"Au",AB$2),_xll.SNL.Clients.Office.Excel.Functions.SPG($L55,$AA$3,"Au",AB$2)),"NA")</f>
        <v>NA</v>
      </c>
      <c r="AC55" s="78" t="str">
        <f ca="1">IFERROR(0.001*AVERAGE(_xll.SNL.Clients.Office.Excel.Functions.SPG($L55,$AA$4,"Au",AC$2),_xll.SNL.Clients.Office.Excel.Functions.SPG($L55,$AA$3,"Au",AC$2)),"NA")</f>
        <v>NA</v>
      </c>
      <c r="AD55" s="72" t="e">
        <f ca="1" xml:space="preserve"> IF(ISNUMBER(SEARCH("na",_xll.SNL.Clients.Office.Excel.Functions.SPG($L55, $AD$4, AD$2))), 0,_xll.SNL.Clients.Office.Excel.Functions.SPG($L55, $AD$4, AD$2))</f>
        <v>#NAME?</v>
      </c>
      <c r="AE55" s="72" t="e">
        <f ca="1" xml:space="preserve"> IF(ISNUMBER(SEARCH("na",_xll.SNL.Clients.Office.Excel.Functions.SPG($L55, $AD$4, AE$2))), 0,_xll.SNL.Clients.Office.Excel.Functions.SPG($L55, $AD$4, AE$2))</f>
        <v>#NAME?</v>
      </c>
      <c r="AF55" s="72" t="e">
        <f ca="1" xml:space="preserve"> IF(ISNUMBER(SEARCH("na",_xll.SNL.Clients.Office.Excel.Functions.SPG($L55, $AD$4, AF$2))), 0,_xll.SNL.Clients.Office.Excel.Functions.SPG($L55, $AD$4, AF$2))</f>
        <v>#NAME?</v>
      </c>
      <c r="AG55" s="72" t="e">
        <f ca="1" xml:space="preserve"> IF(ISNUMBER(SEARCH("na",_xll.SNL.Clients.Office.Excel.Functions.SPG($L55, $AG$4, AG$2))), 0,_xll.SNL.Clients.Office.Excel.Functions.SPG($L55, $AG$4, AG$2))</f>
        <v>#NAME?</v>
      </c>
      <c r="AH55" s="72" t="e">
        <f ca="1" xml:space="preserve"> IF(ISNUMBER(SEARCH("na",_xll.SNL.Clients.Office.Excel.Functions.SPG($L55, $AG$4, AH$2))), 0,_xll.SNL.Clients.Office.Excel.Functions.SPG($L55, $AG$4, AH$2))</f>
        <v>#NAME?</v>
      </c>
      <c r="AI55" s="72" t="e">
        <f ca="1" xml:space="preserve"> IF(ISNUMBER(SEARCH("na",_xll.SNL.Clients.Office.Excel.Functions.SPG($L55, $AG$4, AI$2))), 0,_xll.SNL.Clients.Office.Excel.Functions.SPG($L55, $AG$4, AI$2))</f>
        <v>#NAME?</v>
      </c>
      <c r="AJ55" s="72" t="e">
        <f ca="1" xml:space="preserve"> IF(ISNUMBER(SEARCH("na",_xll.SNL.Clients.Office.Excel.Functions.SPG($L55, $AJ$4, AJ$2))), 0,_xll.SNL.Clients.Office.Excel.Functions.SPG($L55, $AJ$4, AJ$2))</f>
        <v>#NAME?</v>
      </c>
      <c r="AK55" s="72" t="e">
        <f ca="1" xml:space="preserve"> IF(ISNUMBER(SEARCH("na",_xll.SNL.Clients.Office.Excel.Functions.SPG($L55, $AJ$4, AK$2))), 0,_xll.SNL.Clients.Office.Excel.Functions.SPG($L55, $AJ$4, AK$2))</f>
        <v>#NAME?</v>
      </c>
      <c r="AL55" s="72" t="e">
        <f ca="1" xml:space="preserve"> IF(ISNUMBER(SEARCH("na",_xll.SNL.Clients.Office.Excel.Functions.SPG($L55, $AJ$4, AL$2))), 0,_xll.SNL.Clients.Office.Excel.Functions.SPG($L55, $AJ$4, AL$2))</f>
        <v>#NAME?</v>
      </c>
      <c r="AM55" s="72" t="e">
        <f t="shared" ref="AM55:AM79" ca="1" si="272">AD55+AG55*agprice/auprice+AJ55*cuprice/auprice</f>
        <v>#NAME?</v>
      </c>
      <c r="AN55" s="72" t="e">
        <f t="shared" ref="AN55:AN79" ca="1" si="273">AE55+AH55*agprice/auprice+AK55*cuprice/auprice</f>
        <v>#NAME?</v>
      </c>
      <c r="AO55" s="72" t="e">
        <f t="shared" ref="AO55:AO79" ca="1" si="274">AF55+AI55*agprice/auprice+AL55*cuprice/auprice</f>
        <v>#NAME?</v>
      </c>
      <c r="AP55" s="83" t="str">
        <f t="shared" ca="1" si="219"/>
        <v>NA</v>
      </c>
      <c r="AQ55" s="84" t="str">
        <f t="shared" ca="1" si="219"/>
        <v>NA</v>
      </c>
      <c r="AR55" s="85" t="str">
        <f t="shared" ca="1" si="219"/>
        <v>NA</v>
      </c>
      <c r="AS55" s="72">
        <f ca="1">IFERROR(_xll.SNL.Clients.Office.Excel.Functions.SPG($L55, $AS$3, AS$2,$AS$4)/1000,0)</f>
        <v>0</v>
      </c>
      <c r="AT55" s="72">
        <f ca="1">IFERROR(_xll.SNL.Clients.Office.Excel.Functions.SPG($L55, $AS$3, AT$2,$AS$4)/1000,0)</f>
        <v>0</v>
      </c>
      <c r="AU55" s="72">
        <f ca="1">IFERROR(_xll.SNL.Clients.Office.Excel.Functions.SPG($L55, $AV$3, AU$2,$AS$4)/1000,0)</f>
        <v>0</v>
      </c>
      <c r="AV55" s="72">
        <f ca="1">IFERROR(_xll.SNL.Clients.Office.Excel.Functions.SPG($L55, $AV$3, AV$2,$AS$4)/1000,0)</f>
        <v>0</v>
      </c>
      <c r="AW55" s="72">
        <f ca="1">IFERROR(_xll.SNL.Clients.Office.Excel.Functions.SPG($L55, $AV$3, AW$2,$AS$4)/1000,0)</f>
        <v>0</v>
      </c>
      <c r="AX55" s="72">
        <f ca="1">IFERROR(_xll.SNL.Clients.Office.Excel.Functions.SPG($L55, $AX$3, AX$2,$AS$4)/1000,0)</f>
        <v>0</v>
      </c>
      <c r="AY55" s="72">
        <f ca="1">IFERROR(_xll.SNL.Clients.Office.Excel.Functions.SPG($L55, $AX$3, AY$2,$AS$4)/1000,0)</f>
        <v>0</v>
      </c>
      <c r="AZ55" s="72">
        <f ca="1">IFERROR(_xll.SNL.Clients.Office.Excel.Functions.SPG($L55, $BA$3, AZ$2,$AS$4)/1000,0)</f>
        <v>0</v>
      </c>
      <c r="BA55" s="72">
        <f ca="1">IFERROR(_xll.SNL.Clients.Office.Excel.Functions.SPG($L55, $BA$3, BA$2,$AS$4)/1000,0)</f>
        <v>0</v>
      </c>
      <c r="BB55" s="72">
        <f ca="1">IFERROR(_xll.SNL.Clients.Office.Excel.Functions.SPG($L55, $BA$3, BB$2,$AS$4)/1000,0)</f>
        <v>0</v>
      </c>
      <c r="BC55" s="72">
        <f ca="1">IFERROR(_xll.SNL.Clients.Office.Excel.Functions.SPG($L55, $BC$3, BC$2,$AS$4)/1000,0)</f>
        <v>0</v>
      </c>
      <c r="BD55" s="72">
        <f ca="1">IFERROR(_xll.SNL.Clients.Office.Excel.Functions.SPG($L55, $BC$3, BD$2,$AS$4)/1000,0)</f>
        <v>0</v>
      </c>
      <c r="BE55" s="72">
        <f ca="1">IFERROR(_xll.SNL.Clients.Office.Excel.Functions.SPG($L55, $BF$3, BE$2,$AS$4)/1000,0)</f>
        <v>0</v>
      </c>
      <c r="BF55" s="72">
        <f ca="1">IFERROR(_xll.SNL.Clients.Office.Excel.Functions.SPG($L55, $BF$3, BF$2,$AS$4)/1000,0)</f>
        <v>0</v>
      </c>
      <c r="BG55" s="72">
        <f ca="1">IFERROR(_xll.SNL.Clients.Office.Excel.Functions.SPG($L55, $BF$3, BG$2,$AS$4)/1000,0)</f>
        <v>0</v>
      </c>
      <c r="BH55" s="72">
        <f t="shared" ref="BH55:BH79" ca="1" si="275">AS55+AT55*agprice/auprice+AU55*cuprice/auprice+AV55*znprice/auprice+AW55*pbprice/auprice</f>
        <v>0</v>
      </c>
      <c r="BI55" s="72">
        <f t="shared" ref="BI55:BI79" ca="1" si="276">AX55+AY55*agprice/auprice+AZ55*cuprice/auprice+BA55*znprice/auprice+BB55*pbprice/auprice+BH55</f>
        <v>0</v>
      </c>
      <c r="BJ55" s="72">
        <f t="shared" ref="BJ55:BJ79" ca="1" si="277">BC55+BD55*agprice/auprice+BE55*cuprice/auprice+BF55*znprice/auprice+BG55*pbprice/auprice+BH55</f>
        <v>0</v>
      </c>
      <c r="BK55" s="77" t="e">
        <f t="shared" ca="1" si="223"/>
        <v>#NAME?</v>
      </c>
      <c r="BL55" s="72" t="e">
        <f t="shared" ca="1" si="223"/>
        <v>#NAME?</v>
      </c>
      <c r="BM55" s="78" t="e">
        <f t="shared" ca="1" si="223"/>
        <v>#NAME?</v>
      </c>
      <c r="BN55" s="72" t="e">
        <f ca="1">_xll.SNL.Clients.Office.Excel.Functions.SPG($L55, $BN$3, BN$2, "Au", "Options:Curr=USD")</f>
        <v>#NAME?</v>
      </c>
      <c r="BO55" s="72" t="e">
        <f ca="1">_xll.SNL.Clients.Office.Excel.Functions.SPG($L55, $BN$3, BO$2, "Au", "Options:Curr=USD")</f>
        <v>#NAME?</v>
      </c>
      <c r="BP55" s="72" t="e">
        <f ca="1">_xll.SNL.Clients.Office.Excel.Functions.SPG($L55, $BN$3, BP$2, "Au", "Options:Curr=USD")</f>
        <v>#NAME?</v>
      </c>
      <c r="BQ55" s="78" t="e">
        <f ca="1">_xll.SNL.Clients.Office.Excel.Functions.SPG($L55, $BN$3, BQ$2, "Au", "Options:Curr=USD")</f>
        <v>#NAME?</v>
      </c>
      <c r="BR55" s="72" t="str">
        <f ca="1">IFERROR(AVERAGE(_xll.SNL.Clients.Office.Excel.Functions.SPG($L55,$BR$4,"Au",BR$2, "Options:Curr=USD"),_xll.SNL.Clients.Office.Excel.Functions.SPG($L55,$BR$3,"Au",BR$2, "Options:Curr=USD")),"NA")</f>
        <v>NA</v>
      </c>
      <c r="BS55" s="72" t="str">
        <f ca="1">IFERROR(AVERAGE(_xll.SNL.Clients.Office.Excel.Functions.SPG($L55,$BR$4,"Au",BS$2, "Options:Curr=USD"),_xll.SNL.Clients.Office.Excel.Functions.SPG($L55,$BR$3,"Au",BS$2, "Options:Curr=USD")),"NA")</f>
        <v>NA</v>
      </c>
      <c r="BT55" s="78" t="str">
        <f ca="1">IFERROR(AVERAGE(_xll.SNL.Clients.Office.Excel.Functions.SPG($L55,$BR$4,"Au",BT$2, "Options:Curr=USD"),_xll.SNL.Clients.Office.Excel.Functions.SPG($L55,$BR$3,"Au",BT$2, "Options:Curr=USD")),"NA")</f>
        <v>NA</v>
      </c>
      <c r="BV55" s="36" t="s">
        <v>88</v>
      </c>
      <c r="BW55" s="36"/>
      <c r="BX55" s="36" t="s">
        <v>195</v>
      </c>
      <c r="BY55" s="36"/>
    </row>
    <row r="56" spans="1:77" ht="13.8" outlineLevel="1" x14ac:dyDescent="0.25">
      <c r="A56" s="56" t="e">
        <f ca="1">_xll.SNL.Clients.Office.Excel.Functions.SPG($L56, A$3)</f>
        <v>#NAME?</v>
      </c>
      <c r="B56" s="56" t="e">
        <f ca="1">_xll.BDP($K56,B$3)</f>
        <v>#NAME?</v>
      </c>
      <c r="C56" s="56" t="e">
        <f ca="1">_xll.BDP($K56,C$3)</f>
        <v>#NAME?</v>
      </c>
      <c r="D56" s="56" t="e">
        <f ca="1">_xll.BDP($K56,D$3)</f>
        <v>#NAME?</v>
      </c>
      <c r="E56" s="57" t="s">
        <v>145</v>
      </c>
      <c r="F56" s="57" t="s">
        <v>107</v>
      </c>
      <c r="G56" s="57" t="s">
        <v>84</v>
      </c>
      <c r="H56" s="58" t="e">
        <f ca="1">_xll.SNL.Clients.Office.Excel.Functions.SPG($L56, "IQ_TEV", "Options: Curr=USD")</f>
        <v>#NAME?</v>
      </c>
      <c r="I56" s="58" t="e">
        <f ca="1">_xll.SNL.Clients.Office.Excel.Functions.SPG($L56, "SP_MARKETCAP", "Options: Curr=USD")</f>
        <v>#NAME?</v>
      </c>
      <c r="J56" s="59" t="s">
        <v>254</v>
      </c>
      <c r="L56" s="3" t="s">
        <v>255</v>
      </c>
      <c r="M56" s="60" t="str" cm="1">
        <f t="array" aca="1" ref="M56" ca="1">IFERROR(_xll.SNL.Clients.Office.Excel.Functions.SPG($L56, $M$3)/100,"NA")</f>
        <v>NA</v>
      </c>
      <c r="N56" s="61" t="e" cm="1">
        <f t="array" aca="1" ref="N56" ca="1">_xll.SNL.Clients.Office.Excel.Functions.SPG($L56, "SP_PCFPS_FWD",N$2)</f>
        <v>#NAME?</v>
      </c>
      <c r="O56" s="62" t="e" cm="1">
        <f t="array" aca="1" ref="O56" ca="1">_xll.SNL.Clients.Office.Excel.Functions.SPG($L56, "SP_PCFPS_FWD",O$2)</f>
        <v>#NAME?</v>
      </c>
      <c r="P56" s="63" t="e" cm="1">
        <f t="array" aca="1" ref="P56" ca="1">_xll.SNL.Clients.Office.Excel.Functions.SPG($L56, "SP_PCFPS_FWD",P$2)</f>
        <v>#NAME?</v>
      </c>
      <c r="Q56" s="64" t="str">
        <f ca="1">IFERROR(_xll.SNL.Clients.Office.Excel.Functions.SPG($L56, "SP_FCF_EST",Q$2, "Options: Curr=USD")/1000/I56,"NA")</f>
        <v>NA</v>
      </c>
      <c r="R56" s="64" t="str">
        <f ca="1">IFERROR(_xll.SNL.Clients.Office.Excel.Functions.SPG($L56, "SP_FCF_EST",R$2, "Options: Curr=USD")/1000/I56,"NA")</f>
        <v>NA</v>
      </c>
      <c r="S56" s="64" t="str">
        <f ca="1">IFERROR(_xll.SNL.Clients.Office.Excel.Functions.SPG($L56, "SP_FCF_EST",S$2, "Options: Curr=USD")/1000/J56,"NA")</f>
        <v>NA</v>
      </c>
      <c r="T56" s="61" t="e" cm="1">
        <f t="array" aca="1" ref="T56" ca="1">_xll.SNL.Clients.Office.Excel.Functions.SPG($L56, "SP_PE_FWD",T$2)</f>
        <v>#NAME?</v>
      </c>
      <c r="U56" s="63" t="e" cm="1">
        <f t="array" aca="1" ref="U56" ca="1">_xll.SNL.Clients.Office.Excel.Functions.SPG($L56, "SP_PE_FWD",U$2)</f>
        <v>#NAME?</v>
      </c>
      <c r="V56" s="80" t="e" cm="1">
        <f t="array" aca="1" ref="V56" ca="1">_xll.SNL.Clients.Office.Excel.Functions.SPG($L56, $V$3,V$2)</f>
        <v>#NAME?</v>
      </c>
      <c r="W56" s="81" t="e" cm="1">
        <f t="array" aca="1" ref="W56" ca="1">_xll.SNL.Clients.Office.Excel.Functions.SPG($L56, $V$3,W$2)</f>
        <v>#NAME?</v>
      </c>
      <c r="X56" s="82" t="e" cm="1">
        <f t="array" aca="1" ref="X56" ca="1">_xll.SNL.Clients.Office.Excel.Functions.SPG($L56, $V$3,X$2)</f>
        <v>#NAME?</v>
      </c>
      <c r="Y56" s="69" t="e" cm="1">
        <f t="array" aca="1" ref="Y56" ca="1">IF((_xll.SNL.Clients.Office.Excel.Functions.SPG($L56,Y$3,Y$4,"Options: Curr=USD") / _xll.SNL.Clients.Office.Excel.Functions.SPG($L56,"SP_EBITDA_EST",Y$2,"Options: Curr=USD")) &lt; 0, "NM", (_xll.SNL.Clients.Office.Excel.Functions.SPG($L56,Y$3,Y$4,"Options: Curr=USD") / _xll.SNL.Clients.Office.Excel.Functions.SPG($L56,"SP_EBITDA_EST",Y$2,"Options: Curr=USD")))</f>
        <v>#NAME?</v>
      </c>
      <c r="Z56" s="70" t="e" cm="1">
        <f t="array" aca="1" ref="Z56" ca="1">_xll.SNL.Clients.Office.Excel.Functions.SPG($L56, Z$3,Z$4)</f>
        <v>#NAME?</v>
      </c>
      <c r="AA56" s="77" t="str">
        <f ca="1">IFERROR(0.001*AVERAGE(_xll.SNL.Clients.Office.Excel.Functions.SPG($L56,$AA$4,"Au",AA$2),_xll.SNL.Clients.Office.Excel.Functions.SPG($L56,$AA$3,"Au",AA$2)),"NA")</f>
        <v>NA</v>
      </c>
      <c r="AB56" s="72" t="str">
        <f ca="1">IFERROR(0.001*AVERAGE(_xll.SNL.Clients.Office.Excel.Functions.SPG($L56,$AA$4,"Au",AB$2),_xll.SNL.Clients.Office.Excel.Functions.SPG($L56,$AA$3,"Au",AB$2)),"NA")</f>
        <v>NA</v>
      </c>
      <c r="AC56" s="78" t="str">
        <f ca="1">IFERROR(0.001*AVERAGE(_xll.SNL.Clients.Office.Excel.Functions.SPG($L56,$AA$4,"Au",AC$2),_xll.SNL.Clients.Office.Excel.Functions.SPG($L56,$AA$3,"Au",AC$2)),"NA")</f>
        <v>NA</v>
      </c>
      <c r="AD56" s="72" t="e">
        <f ca="1" xml:space="preserve"> IF(ISNUMBER(SEARCH("na",_xll.SNL.Clients.Office.Excel.Functions.SPG($L56, $AD$4, AD$2))), 0,_xll.SNL.Clients.Office.Excel.Functions.SPG($L56, $AD$4, AD$2))</f>
        <v>#NAME?</v>
      </c>
      <c r="AE56" s="72" t="e">
        <f ca="1" xml:space="preserve"> IF(ISNUMBER(SEARCH("na",_xll.SNL.Clients.Office.Excel.Functions.SPG($L56, $AD$4, AE$2))), 0,_xll.SNL.Clients.Office.Excel.Functions.SPG($L56, $AD$4, AE$2))</f>
        <v>#NAME?</v>
      </c>
      <c r="AF56" s="72" t="e">
        <f ca="1" xml:space="preserve"> IF(ISNUMBER(SEARCH("na",_xll.SNL.Clients.Office.Excel.Functions.SPG($L56, $AD$4, AF$2))), 0,_xll.SNL.Clients.Office.Excel.Functions.SPG($L56, $AD$4, AF$2))</f>
        <v>#NAME?</v>
      </c>
      <c r="AG56" s="72" t="e">
        <f ca="1" xml:space="preserve"> IF(ISNUMBER(SEARCH("na",_xll.SNL.Clients.Office.Excel.Functions.SPG($L56, $AG$4, AG$2))), 0,_xll.SNL.Clients.Office.Excel.Functions.SPG($L56, $AG$4, AG$2))</f>
        <v>#NAME?</v>
      </c>
      <c r="AH56" s="72" t="e">
        <f ca="1" xml:space="preserve"> IF(ISNUMBER(SEARCH("na",_xll.SNL.Clients.Office.Excel.Functions.SPG($L56, $AG$4, AH$2))), 0,_xll.SNL.Clients.Office.Excel.Functions.SPG($L56, $AG$4, AH$2))</f>
        <v>#NAME?</v>
      </c>
      <c r="AI56" s="72" t="e">
        <f ca="1" xml:space="preserve"> IF(ISNUMBER(SEARCH("na",_xll.SNL.Clients.Office.Excel.Functions.SPG($L56, $AG$4, AI$2))), 0,_xll.SNL.Clients.Office.Excel.Functions.SPG($L56, $AG$4, AI$2))</f>
        <v>#NAME?</v>
      </c>
      <c r="AJ56" s="72" t="e">
        <f ca="1" xml:space="preserve"> IF(ISNUMBER(SEARCH("na",_xll.SNL.Clients.Office.Excel.Functions.SPG($L56, $AJ$4, AJ$2))), 0,_xll.SNL.Clients.Office.Excel.Functions.SPG($L56, $AJ$4, AJ$2))</f>
        <v>#NAME?</v>
      </c>
      <c r="AK56" s="72" t="e">
        <f ca="1" xml:space="preserve"> IF(ISNUMBER(SEARCH("na",_xll.SNL.Clients.Office.Excel.Functions.SPG($L56, $AJ$4, AK$2))), 0,_xll.SNL.Clients.Office.Excel.Functions.SPG($L56, $AJ$4, AK$2))</f>
        <v>#NAME?</v>
      </c>
      <c r="AL56" s="72" t="e">
        <f ca="1" xml:space="preserve"> IF(ISNUMBER(SEARCH("na",_xll.SNL.Clients.Office.Excel.Functions.SPG($L56, $AJ$4, AL$2))), 0,_xll.SNL.Clients.Office.Excel.Functions.SPG($L56, $AJ$4, AL$2))</f>
        <v>#NAME?</v>
      </c>
      <c r="AM56" s="72" t="e">
        <f t="shared" ref="AM56" ca="1" si="278">AD56+AG56*agprice/auprice+AJ56*cuprice/auprice</f>
        <v>#NAME?</v>
      </c>
      <c r="AN56" s="72" t="e">
        <f t="shared" ref="AN56" ca="1" si="279">AE56+AH56*agprice/auprice+AK56*cuprice/auprice</f>
        <v>#NAME?</v>
      </c>
      <c r="AO56" s="72" t="e">
        <f t="shared" ref="AO56" ca="1" si="280">AF56+AI56*agprice/auprice+AL56*cuprice/auprice</f>
        <v>#NAME?</v>
      </c>
      <c r="AP56" s="83" t="str">
        <f t="shared" ca="1" si="219"/>
        <v>NA</v>
      </c>
      <c r="AQ56" s="84" t="str">
        <f t="shared" ca="1" si="219"/>
        <v>NA</v>
      </c>
      <c r="AR56" s="85" t="str">
        <f t="shared" ca="1" si="219"/>
        <v>NA</v>
      </c>
      <c r="AS56" s="72">
        <f ca="1">IFERROR(_xll.SNL.Clients.Office.Excel.Functions.SPG($L56, $AS$3, AS$2,$AS$4)/1000,0)</f>
        <v>0</v>
      </c>
      <c r="AT56" s="72">
        <f ca="1">IFERROR(_xll.SNL.Clients.Office.Excel.Functions.SPG($L56, $AS$3, AT$2,$AS$4)/1000,0)</f>
        <v>0</v>
      </c>
      <c r="AU56" s="72">
        <f ca="1">IFERROR(_xll.SNL.Clients.Office.Excel.Functions.SPG($L56, $AV$3, AU$2,$AS$4)/1000,0)</f>
        <v>0</v>
      </c>
      <c r="AV56" s="72">
        <f ca="1">IFERROR(_xll.SNL.Clients.Office.Excel.Functions.SPG($L56, $AV$3, AV$2,$AS$4)/1000,0)</f>
        <v>0</v>
      </c>
      <c r="AW56" s="72">
        <f ca="1">IFERROR(_xll.SNL.Clients.Office.Excel.Functions.SPG($L56, $AV$3, AW$2,$AS$4)/1000,0)</f>
        <v>0</v>
      </c>
      <c r="AX56" s="72">
        <f ca="1">IFERROR(_xll.SNL.Clients.Office.Excel.Functions.SPG($L56, $AX$3, AX$2,$AS$4)/1000,0)</f>
        <v>0</v>
      </c>
      <c r="AY56" s="72">
        <f ca="1">IFERROR(_xll.SNL.Clients.Office.Excel.Functions.SPG($L56, $AX$3, AY$2,$AS$4)/1000,0)</f>
        <v>0</v>
      </c>
      <c r="AZ56" s="72">
        <f ca="1">IFERROR(_xll.SNL.Clients.Office.Excel.Functions.SPG($L56, $BA$3, AZ$2,$AS$4)/1000,0)</f>
        <v>0</v>
      </c>
      <c r="BA56" s="72">
        <f ca="1">IFERROR(_xll.SNL.Clients.Office.Excel.Functions.SPG($L56, $BA$3, BA$2,$AS$4)/1000,0)</f>
        <v>0</v>
      </c>
      <c r="BB56" s="72">
        <f ca="1">IFERROR(_xll.SNL.Clients.Office.Excel.Functions.SPG($L56, $BA$3, BB$2,$AS$4)/1000,0)</f>
        <v>0</v>
      </c>
      <c r="BC56" s="72">
        <f ca="1">IFERROR(_xll.SNL.Clients.Office.Excel.Functions.SPG($L56, $BC$3, BC$2,$AS$4)/1000,0)</f>
        <v>0</v>
      </c>
      <c r="BD56" s="72">
        <f ca="1">IFERROR(_xll.SNL.Clients.Office.Excel.Functions.SPG($L56, $BC$3, BD$2,$AS$4)/1000,0)</f>
        <v>0</v>
      </c>
      <c r="BE56" s="72">
        <f ca="1">IFERROR(_xll.SNL.Clients.Office.Excel.Functions.SPG($L56, $BF$3, BE$2,$AS$4)/1000,0)</f>
        <v>0</v>
      </c>
      <c r="BF56" s="72">
        <f ca="1">IFERROR(_xll.SNL.Clients.Office.Excel.Functions.SPG($L56, $BF$3, BF$2,$AS$4)/1000,0)</f>
        <v>0</v>
      </c>
      <c r="BG56" s="72">
        <f ca="1">IFERROR(_xll.SNL.Clients.Office.Excel.Functions.SPG($L56, $BF$3, BG$2,$AS$4)/1000,0)</f>
        <v>0</v>
      </c>
      <c r="BH56" s="72">
        <f t="shared" ref="BH56" ca="1" si="281">AS56+AT56*agprice/auprice+AU56*cuprice/auprice+AV56*znprice/auprice+AW56*pbprice/auprice</f>
        <v>0</v>
      </c>
      <c r="BI56" s="72">
        <f t="shared" ref="BI56" ca="1" si="282">AX56+AY56*agprice/auprice+AZ56*cuprice/auprice+BA56*znprice/auprice+BB56*pbprice/auprice+BH56</f>
        <v>0</v>
      </c>
      <c r="BJ56" s="72">
        <f t="shared" ref="BJ56" ca="1" si="283">BC56+BD56*agprice/auprice+BE56*cuprice/auprice+BF56*znprice/auprice+BG56*pbprice/auprice+BH56</f>
        <v>0</v>
      </c>
      <c r="BK56" s="77" t="e">
        <f t="shared" ca="1" si="223"/>
        <v>#NAME?</v>
      </c>
      <c r="BL56" s="72" t="e">
        <f t="shared" ca="1" si="223"/>
        <v>#NAME?</v>
      </c>
      <c r="BM56" s="78" t="e">
        <f t="shared" ca="1" si="223"/>
        <v>#NAME?</v>
      </c>
      <c r="BN56" s="72" t="e">
        <f ca="1">_xll.SNL.Clients.Office.Excel.Functions.SPG($L56, $BN$3, BN$2, "Au", "Options:Curr=USD")</f>
        <v>#NAME?</v>
      </c>
      <c r="BO56" s="72" t="e">
        <f ca="1">_xll.SNL.Clients.Office.Excel.Functions.SPG($L56, $BN$3, BO$2, "Au", "Options:Curr=USD")</f>
        <v>#NAME?</v>
      </c>
      <c r="BP56" s="72" t="e">
        <f ca="1">_xll.SNL.Clients.Office.Excel.Functions.SPG($L56, $BN$3, BP$2, "Au", "Options:Curr=USD")</f>
        <v>#NAME?</v>
      </c>
      <c r="BQ56" s="78" t="e">
        <f ca="1">_xll.SNL.Clients.Office.Excel.Functions.SPG($L56, $BN$3, BQ$2, "Au", "Options:Curr=USD")</f>
        <v>#NAME?</v>
      </c>
      <c r="BR56" s="72" t="str">
        <f ca="1">IFERROR(AVERAGE(_xll.SNL.Clients.Office.Excel.Functions.SPG($L56,$BR$4,"Au",BR$2, "Options:Curr=USD"),_xll.SNL.Clients.Office.Excel.Functions.SPG($L56,$BR$3,"Au",BR$2, "Options:Curr=USD")),"NA")</f>
        <v>NA</v>
      </c>
      <c r="BS56" s="72" t="str">
        <f ca="1">IFERROR(AVERAGE(_xll.SNL.Clients.Office.Excel.Functions.SPG($L56,$BR$4,"Au",BS$2, "Options:Curr=USD"),_xll.SNL.Clients.Office.Excel.Functions.SPG($L56,$BR$3,"Au",BS$2, "Options:Curr=USD")),"NA")</f>
        <v>NA</v>
      </c>
      <c r="BT56" s="78" t="str">
        <f ca="1">IFERROR(AVERAGE(_xll.SNL.Clients.Office.Excel.Functions.SPG($L56,$BR$4,"Au",BT$2, "Options:Curr=USD"),_xll.SNL.Clients.Office.Excel.Functions.SPG($L56,$BR$3,"Au",BT$2, "Options:Curr=USD")),"NA")</f>
        <v>NA</v>
      </c>
      <c r="BV56" s="36"/>
      <c r="BW56" s="36"/>
      <c r="BX56" s="36"/>
      <c r="BY56" s="36"/>
    </row>
    <row r="57" spans="1:77" ht="13.8" x14ac:dyDescent="0.25">
      <c r="A57" s="56" t="e">
        <f ca="1">_xll.SNL.Clients.Office.Excel.Functions.SPG($L57, A$3)</f>
        <v>#NAME?</v>
      </c>
      <c r="B57" s="56" t="e">
        <f ca="1">_xll.BDP($K57,B$3)</f>
        <v>#NAME?</v>
      </c>
      <c r="C57" s="56" t="e">
        <f ca="1">_xll.BDP($K57,C$3)</f>
        <v>#NAME?</v>
      </c>
      <c r="D57" s="56" t="e">
        <f ca="1">_xll.BDP($K57,D$3)</f>
        <v>#NAME?</v>
      </c>
      <c r="E57" s="57" t="s">
        <v>256</v>
      </c>
      <c r="F57" s="57" t="s">
        <v>107</v>
      </c>
      <c r="G57" s="57" t="s">
        <v>84</v>
      </c>
      <c r="H57" s="58" t="e">
        <f ca="1">_xll.SNL.Clients.Office.Excel.Functions.SPG($L57, "IQ_TEV", "Options: Curr=USD")</f>
        <v>#NAME?</v>
      </c>
      <c r="I57" s="58" t="e">
        <f ca="1">_xll.SNL.Clients.Office.Excel.Functions.SPG($L57, "SP_MARKETCAP", "Options: Curr=USD")</f>
        <v>#NAME?</v>
      </c>
      <c r="J57" s="59" t="s">
        <v>257</v>
      </c>
      <c r="K57" s="3" t="s">
        <v>258</v>
      </c>
      <c r="L57" s="3" t="s">
        <v>259</v>
      </c>
      <c r="M57" s="60" t="str" cm="1">
        <f t="array" aca="1" ref="M57" ca="1">IFERROR(_xll.SNL.Clients.Office.Excel.Functions.SPG($L57, $M$3)/100,"NA")</f>
        <v>NA</v>
      </c>
      <c r="N57" s="61" t="e" cm="1">
        <f t="array" aca="1" ref="N57" ca="1">_xll.SNL.Clients.Office.Excel.Functions.SPG($L57, "SP_PCFPS_FWD",N$2)</f>
        <v>#NAME?</v>
      </c>
      <c r="O57" s="62" t="e" cm="1">
        <f t="array" aca="1" ref="O57" ca="1">_xll.SNL.Clients.Office.Excel.Functions.SPG($L57, "SP_PCFPS_FWD",O$2)</f>
        <v>#NAME?</v>
      </c>
      <c r="P57" s="63" t="e" cm="1">
        <f t="array" aca="1" ref="P57" ca="1">_xll.SNL.Clients.Office.Excel.Functions.SPG($L57, "SP_PCFPS_FWD",P$2)</f>
        <v>#NAME?</v>
      </c>
      <c r="Q57" s="64" t="str">
        <f ca="1">IFERROR(_xll.SNL.Clients.Office.Excel.Functions.SPG($L57, "SP_FCF_EST",Q$2, "Options: Curr=USD")/1000/I57,"NA")</f>
        <v>NA</v>
      </c>
      <c r="R57" s="64" t="str">
        <f ca="1">IFERROR(_xll.SNL.Clients.Office.Excel.Functions.SPG($L57, "SP_FCF_EST",R$2, "Options: Curr=USD")/1000/I57,"NA")</f>
        <v>NA</v>
      </c>
      <c r="S57" s="64" t="e">
        <f ca="1">_xll.SNL.Clients.Office.Excel.Functions.SPG($L57, "SP_FCF_EST",S$2, "Options: Curr=USD")/1000/$I57</f>
        <v>#NAME?</v>
      </c>
      <c r="T57" s="61" t="e" cm="1">
        <f t="array" aca="1" ref="T57" ca="1">_xll.SNL.Clients.Office.Excel.Functions.SPG($L57, "SP_PE_FWD",T$2)</f>
        <v>#NAME?</v>
      </c>
      <c r="U57" s="63" t="e" cm="1">
        <f t="array" aca="1" ref="U57" ca="1">_xll.SNL.Clients.Office.Excel.Functions.SPG($L57, "SP_PE_FWD",U$2)</f>
        <v>#NAME?</v>
      </c>
      <c r="V57" s="80" t="e" cm="1">
        <f t="array" aca="1" ref="V57" ca="1">_xll.SNL.Clients.Office.Excel.Functions.SPG($L57, $V$3,V$2)</f>
        <v>#NAME?</v>
      </c>
      <c r="W57" s="81" t="e" cm="1">
        <f t="array" aca="1" ref="W57" ca="1">_xll.SNL.Clients.Office.Excel.Functions.SPG($L57, $V$3,W$2)</f>
        <v>#NAME?</v>
      </c>
      <c r="X57" s="82" t="e" cm="1">
        <f t="array" aca="1" ref="X57" ca="1">_xll.SNL.Clients.Office.Excel.Functions.SPG($L57, $V$3,X$2)</f>
        <v>#NAME?</v>
      </c>
      <c r="Y57" s="69" t="e" cm="1">
        <f t="array" aca="1" ref="Y57" ca="1">IF((_xll.SNL.Clients.Office.Excel.Functions.SPG($L57,Y$3,Y$4,"Options: Curr=USD") / _xll.SNL.Clients.Office.Excel.Functions.SPG($L57,"SP_EBITDA_EST",Y$2,"Options: Curr=USD")) &lt; 0, "NM", (_xll.SNL.Clients.Office.Excel.Functions.SPG($L57,Y$3,Y$4,"Options: Curr=USD") / _xll.SNL.Clients.Office.Excel.Functions.SPG($L57,"SP_EBITDA_EST",Y$2,"Options: Curr=USD")))</f>
        <v>#NAME?</v>
      </c>
      <c r="Z57" s="70" t="e" cm="1">
        <f t="array" aca="1" ref="Z57" ca="1">_xll.SNL.Clients.Office.Excel.Functions.SPG($L57, Z$3,Z$4)</f>
        <v>#NAME?</v>
      </c>
      <c r="AA57" s="77" t="str">
        <f ca="1">IFERROR(0.001*AVERAGE(_xll.SNL.Clients.Office.Excel.Functions.SPG($L57,$AA$4,"Au",AA$2),_xll.SNL.Clients.Office.Excel.Functions.SPG($L57,$AA$3,"Au",AA$2)),"NA")</f>
        <v>NA</v>
      </c>
      <c r="AB57" s="72" t="str">
        <f ca="1">IFERROR(0.001*AVERAGE(_xll.SNL.Clients.Office.Excel.Functions.SPG($L57,$AA$4,"Au",AB$2),_xll.SNL.Clients.Office.Excel.Functions.SPG($L57,$AA$3,"Au",AB$2)),"NA")</f>
        <v>NA</v>
      </c>
      <c r="AC57" s="78" t="str">
        <f ca="1">IFERROR(0.001*AVERAGE(_xll.SNL.Clients.Office.Excel.Functions.SPG($L57,$AA$4,"Au",AC$2),_xll.SNL.Clients.Office.Excel.Functions.SPG($L57,$AA$3,"Au",AC$2)),"NA")</f>
        <v>NA</v>
      </c>
      <c r="AD57" s="72" t="e">
        <f ca="1" xml:space="preserve"> IF(ISNUMBER(SEARCH("na",_xll.SNL.Clients.Office.Excel.Functions.SPG($L57, $AD$4, AD$2))), 0,_xll.SNL.Clients.Office.Excel.Functions.SPG($L57, $AD$4, AD$2))</f>
        <v>#NAME?</v>
      </c>
      <c r="AE57" s="72" t="e">
        <f ca="1" xml:space="preserve"> IF(ISNUMBER(SEARCH("na",_xll.SNL.Clients.Office.Excel.Functions.SPG($L57, $AD$4, AE$2))), 0,_xll.SNL.Clients.Office.Excel.Functions.SPG($L57, $AD$4, AE$2))</f>
        <v>#NAME?</v>
      </c>
      <c r="AF57" s="72" t="e">
        <f ca="1" xml:space="preserve"> IF(ISNUMBER(SEARCH("na",_xll.SNL.Clients.Office.Excel.Functions.SPG($L57, $AD$4, AF$2))), 0,_xll.SNL.Clients.Office.Excel.Functions.SPG($L57, $AD$4, AF$2))</f>
        <v>#NAME?</v>
      </c>
      <c r="AG57" s="72" t="e">
        <f ca="1" xml:space="preserve"> IF(ISNUMBER(SEARCH("na",_xll.SNL.Clients.Office.Excel.Functions.SPG($L57, $AG$4, AG$2))), 0,_xll.SNL.Clients.Office.Excel.Functions.SPG($L57, $AG$4, AG$2))</f>
        <v>#NAME?</v>
      </c>
      <c r="AH57" s="72" t="e">
        <f ca="1" xml:space="preserve"> IF(ISNUMBER(SEARCH("na",_xll.SNL.Clients.Office.Excel.Functions.SPG($L57, $AG$4, AH$2))), 0,_xll.SNL.Clients.Office.Excel.Functions.SPG($L57, $AG$4, AH$2))</f>
        <v>#NAME?</v>
      </c>
      <c r="AI57" s="72" t="e">
        <f ca="1" xml:space="preserve"> IF(ISNUMBER(SEARCH("na",_xll.SNL.Clients.Office.Excel.Functions.SPG($L57, $AG$4, AI$2))), 0,_xll.SNL.Clients.Office.Excel.Functions.SPG($L57, $AG$4, AI$2))</f>
        <v>#NAME?</v>
      </c>
      <c r="AJ57" s="72" t="e">
        <f ca="1" xml:space="preserve"> IF(ISNUMBER(SEARCH("na",_xll.SNL.Clients.Office.Excel.Functions.SPG($L57, $AJ$4, AJ$2))), 0,_xll.SNL.Clients.Office.Excel.Functions.SPG($L57, $AJ$4, AJ$2))</f>
        <v>#NAME?</v>
      </c>
      <c r="AK57" s="72" t="e">
        <f ca="1" xml:space="preserve"> IF(ISNUMBER(SEARCH("na",_xll.SNL.Clients.Office.Excel.Functions.SPG($L57, $AJ$4, AK$2))), 0,_xll.SNL.Clients.Office.Excel.Functions.SPG($L57, $AJ$4, AK$2))</f>
        <v>#NAME?</v>
      </c>
      <c r="AL57" s="72" t="e">
        <f ca="1" xml:space="preserve"> IF(ISNUMBER(SEARCH("na",_xll.SNL.Clients.Office.Excel.Functions.SPG($L57, $AJ$4, AL$2))), 0,_xll.SNL.Clients.Office.Excel.Functions.SPG($L57, $AJ$4, AL$2))</f>
        <v>#NAME?</v>
      </c>
      <c r="AM57" s="72" t="e">
        <f t="shared" ref="AM57:AM81" ca="1" si="284">AD57+AG57*agprice/auprice+AJ57*cuprice/auprice</f>
        <v>#NAME?</v>
      </c>
      <c r="AN57" s="72" t="e">
        <f t="shared" ref="AN57:AN81" ca="1" si="285">AE57+AH57*agprice/auprice+AK57*cuprice/auprice</f>
        <v>#NAME?</v>
      </c>
      <c r="AO57" s="72" t="e">
        <f t="shared" ref="AO57:AO81" ca="1" si="286">AF57+AI57*agprice/auprice+AL57*cuprice/auprice</f>
        <v>#NAME?</v>
      </c>
      <c r="AP57" s="83" t="str">
        <f t="shared" ca="1" si="219"/>
        <v>NA</v>
      </c>
      <c r="AQ57" s="84" t="str">
        <f t="shared" ca="1" si="219"/>
        <v>NA</v>
      </c>
      <c r="AR57" s="85" t="str">
        <f t="shared" ca="1" si="219"/>
        <v>NA</v>
      </c>
      <c r="AS57" s="72">
        <f ca="1">IFERROR(_xll.SNL.Clients.Office.Excel.Functions.SPG($L57, $AS$3, AS$2,$AS$4)/1000,0)</f>
        <v>0</v>
      </c>
      <c r="AT57" s="72">
        <f ca="1">IFERROR(_xll.SNL.Clients.Office.Excel.Functions.SPG($L57, $AS$3, AT$2,$AS$4)/1000,0)</f>
        <v>0</v>
      </c>
      <c r="AU57" s="72">
        <f ca="1">IFERROR(_xll.SNL.Clients.Office.Excel.Functions.SPG($L57, $AV$3, AU$2,$AS$4)/1000,0)</f>
        <v>0</v>
      </c>
      <c r="AV57" s="72">
        <f ca="1">IFERROR(_xll.SNL.Clients.Office.Excel.Functions.SPG($L57, $AV$3, AV$2,$AS$4)/1000,0)</f>
        <v>0</v>
      </c>
      <c r="AW57" s="72">
        <f ca="1">IFERROR(_xll.SNL.Clients.Office.Excel.Functions.SPG($L57, $AV$3, AW$2,$AS$4)/1000,0)</f>
        <v>0</v>
      </c>
      <c r="AX57" s="72">
        <f ca="1">IFERROR(_xll.SNL.Clients.Office.Excel.Functions.SPG($L57, $AX$3, AX$2,$AS$4)/1000,0)</f>
        <v>0</v>
      </c>
      <c r="AY57" s="72">
        <f ca="1">IFERROR(_xll.SNL.Clients.Office.Excel.Functions.SPG($L57, $AX$3, AY$2,$AS$4)/1000,0)</f>
        <v>0</v>
      </c>
      <c r="AZ57" s="72">
        <f ca="1">IFERROR(_xll.SNL.Clients.Office.Excel.Functions.SPG($L57, $BA$3, AZ$2,$AS$4)/1000,0)</f>
        <v>0</v>
      </c>
      <c r="BA57" s="72">
        <f ca="1">IFERROR(_xll.SNL.Clients.Office.Excel.Functions.SPG($L57, $BA$3, BA$2,$AS$4)/1000,0)</f>
        <v>0</v>
      </c>
      <c r="BB57" s="72">
        <f ca="1">IFERROR(_xll.SNL.Clients.Office.Excel.Functions.SPG($L57, $BA$3, BB$2,$AS$4)/1000,0)</f>
        <v>0</v>
      </c>
      <c r="BC57" s="72">
        <f ca="1">IFERROR(_xll.SNL.Clients.Office.Excel.Functions.SPG($L57, $BC$3, BC$2,$AS$4)/1000,0)</f>
        <v>0</v>
      </c>
      <c r="BD57" s="72">
        <f ca="1">IFERROR(_xll.SNL.Clients.Office.Excel.Functions.SPG($L57, $BC$3, BD$2,$AS$4)/1000,0)</f>
        <v>0</v>
      </c>
      <c r="BE57" s="72">
        <f ca="1">IFERROR(_xll.SNL.Clients.Office.Excel.Functions.SPG($L57, $BF$3, BE$2,$AS$4)/1000,0)</f>
        <v>0</v>
      </c>
      <c r="BF57" s="72">
        <f ca="1">IFERROR(_xll.SNL.Clients.Office.Excel.Functions.SPG($L57, $BF$3, BF$2,$AS$4)/1000,0)</f>
        <v>0</v>
      </c>
      <c r="BG57" s="72">
        <f ca="1">IFERROR(_xll.SNL.Clients.Office.Excel.Functions.SPG($L57, $BF$3, BG$2,$AS$4)/1000,0)</f>
        <v>0</v>
      </c>
      <c r="BH57" s="72">
        <f t="shared" ref="BH57:BH81" ca="1" si="287">AS57+AT57*agprice/auprice+AU57*cuprice/auprice+AV57*znprice/auprice+AW57*pbprice/auprice</f>
        <v>0</v>
      </c>
      <c r="BI57" s="72">
        <f t="shared" ref="BI57:BI81" ca="1" si="288">AX57+AY57*agprice/auprice+AZ57*cuprice/auprice+BA57*znprice/auprice+BB57*pbprice/auprice+BH57</f>
        <v>0</v>
      </c>
      <c r="BJ57" s="72">
        <f t="shared" ref="BJ57:BJ81" ca="1" si="289">BC57+BD57*agprice/auprice+BE57*cuprice/auprice+BF57*znprice/auprice+BG57*pbprice/auprice+BH57</f>
        <v>0</v>
      </c>
      <c r="BK57" s="77" t="e">
        <f t="shared" ca="1" si="223"/>
        <v>#NAME?</v>
      </c>
      <c r="BL57" s="72" t="e">
        <f t="shared" ca="1" si="223"/>
        <v>#NAME?</v>
      </c>
      <c r="BM57" s="78" t="e">
        <f t="shared" ca="1" si="223"/>
        <v>#NAME?</v>
      </c>
      <c r="BN57" s="72" t="e">
        <f ca="1">_xll.SNL.Clients.Office.Excel.Functions.SPG($L57, $BN$3, BN$2, "Au", "Options:Curr=USD")</f>
        <v>#NAME?</v>
      </c>
      <c r="BO57" s="72" t="e">
        <f ca="1">_xll.SNL.Clients.Office.Excel.Functions.SPG($L57, $BN$3, BO$2, "Au", "Options:Curr=USD")</f>
        <v>#NAME?</v>
      </c>
      <c r="BP57" s="72" t="e">
        <f ca="1">_xll.SNL.Clients.Office.Excel.Functions.SPG($L57, $BN$3, BP$2, "Au", "Options:Curr=USD")</f>
        <v>#NAME?</v>
      </c>
      <c r="BQ57" s="78" t="e">
        <f ca="1">_xll.SNL.Clients.Office.Excel.Functions.SPG($L57, $BN$3, BQ$2, "Au", "Options:Curr=USD")</f>
        <v>#NAME?</v>
      </c>
      <c r="BR57" s="72" t="str">
        <f ca="1">IFERROR(AVERAGE(_xll.SNL.Clients.Office.Excel.Functions.SPG($L57,$BR$4,"Au",BR$2, "Options:Curr=USD"),_xll.SNL.Clients.Office.Excel.Functions.SPG($L57,$BR$3,"Au",BR$2, "Options:Curr=USD")),"NA")</f>
        <v>NA</v>
      </c>
      <c r="BS57" s="72" t="str">
        <f ca="1">IFERROR(AVERAGE(_xll.SNL.Clients.Office.Excel.Functions.SPG($L57,$BR$4,"Au",BS$2, "Options:Curr=USD"),_xll.SNL.Clients.Office.Excel.Functions.SPG($L57,$BR$3,"Au",BS$2, "Options:Curr=USD")),"NA")</f>
        <v>NA</v>
      </c>
      <c r="BT57" s="78" t="str">
        <f ca="1">IFERROR(AVERAGE(_xll.SNL.Clients.Office.Excel.Functions.SPG($L57,$BR$4,"Au",BT$2, "Options:Curr=USD"),_xll.SNL.Clients.Office.Excel.Functions.SPG($L57,$BR$3,"Au",BT$2, "Options:Curr=USD")),"NA")</f>
        <v>NA</v>
      </c>
      <c r="BV57" s="36" t="s">
        <v>88</v>
      </c>
      <c r="BW57" s="36"/>
      <c r="BX57" s="36" t="s">
        <v>195</v>
      </c>
      <c r="BY57" s="36"/>
    </row>
    <row r="58" spans="1:77" ht="13.8" x14ac:dyDescent="0.25">
      <c r="A58" s="56" t="e">
        <f ca="1">_xll.SNL.Clients.Office.Excel.Functions.SPG($L58, A$3)</f>
        <v>#NAME?</v>
      </c>
      <c r="B58" s="56" t="e">
        <f ca="1">_xll.BDP($K58,B$3)</f>
        <v>#NAME?</v>
      </c>
      <c r="C58" s="56" t="e">
        <f ca="1">_xll.BDP($K58,C$3)</f>
        <v>#NAME?</v>
      </c>
      <c r="D58" s="56" t="e">
        <f ca="1">_xll.BDP($K58,D$3)</f>
        <v>#NAME?</v>
      </c>
      <c r="E58" s="57" t="s">
        <v>260</v>
      </c>
      <c r="F58" s="57" t="s">
        <v>107</v>
      </c>
      <c r="G58" s="57" t="s">
        <v>84</v>
      </c>
      <c r="H58" s="58" t="e">
        <f ca="1">_xll.SNL.Clients.Office.Excel.Functions.SPG($L58, "IQ_TEV", "Options: Curr=USD")</f>
        <v>#NAME?</v>
      </c>
      <c r="I58" s="58" t="e">
        <f ca="1">_xll.SNL.Clients.Office.Excel.Functions.SPG($L58, "SP_MARKETCAP", "Options: Curr=USD")</f>
        <v>#NAME?</v>
      </c>
      <c r="J58" s="59" t="s">
        <v>261</v>
      </c>
      <c r="K58" s="3" t="s">
        <v>262</v>
      </c>
      <c r="L58" s="3" t="s">
        <v>263</v>
      </c>
      <c r="M58" s="60" t="str" cm="1">
        <f t="array" aca="1" ref="M58" ca="1">IFERROR(_xll.SNL.Clients.Office.Excel.Functions.SPG($L58, $M$3)/100,"NA")</f>
        <v>NA</v>
      </c>
      <c r="N58" s="61" t="e" cm="1">
        <f t="array" aca="1" ref="N58" ca="1">_xll.SNL.Clients.Office.Excel.Functions.SPG($L58, "SP_PCFPS_FWD",N$2)</f>
        <v>#NAME?</v>
      </c>
      <c r="O58" s="62" t="e" cm="1">
        <f t="array" aca="1" ref="O58" ca="1">_xll.SNL.Clients.Office.Excel.Functions.SPG($L58, "SP_PCFPS_FWD",O$2)</f>
        <v>#NAME?</v>
      </c>
      <c r="P58" s="63" t="e" cm="1">
        <f t="array" aca="1" ref="P58" ca="1">_xll.SNL.Clients.Office.Excel.Functions.SPG($L58, "SP_PCFPS_FWD",P$2)</f>
        <v>#NAME?</v>
      </c>
      <c r="Q58" s="64" t="str">
        <f ca="1">IFERROR(_xll.SNL.Clients.Office.Excel.Functions.SPG($L58, "SP_FCF_EST",Q$2, "Options: Curr=USD")/1000/I58,"NA")</f>
        <v>NA</v>
      </c>
      <c r="R58" s="64" t="str">
        <f ca="1">IFERROR(_xll.SNL.Clients.Office.Excel.Functions.SPG($L58, "SP_FCF_EST",R$2, "Options: Curr=USD")/1000/I58,"NA")</f>
        <v>NA</v>
      </c>
      <c r="S58" s="64" t="e">
        <f ca="1">_xll.SNL.Clients.Office.Excel.Functions.SPG($L58, "SP_FCF_EST",S$2, "Options: Curr=USD")/1000/$I58</f>
        <v>#NAME?</v>
      </c>
      <c r="T58" s="61" t="e" cm="1">
        <f t="array" aca="1" ref="T58" ca="1">_xll.SNL.Clients.Office.Excel.Functions.SPG($L58, "SP_PE_FWD",T$2)</f>
        <v>#NAME?</v>
      </c>
      <c r="U58" s="63" t="e" cm="1">
        <f t="array" aca="1" ref="U58" ca="1">_xll.SNL.Clients.Office.Excel.Functions.SPG($L58, "SP_PE_FWD",U$2)</f>
        <v>#NAME?</v>
      </c>
      <c r="V58" s="80" t="e" cm="1">
        <f t="array" aca="1" ref="V58" ca="1">_xll.SNL.Clients.Office.Excel.Functions.SPG($L58, $V$3,V$2)</f>
        <v>#NAME?</v>
      </c>
      <c r="W58" s="81" t="e" cm="1">
        <f t="array" aca="1" ref="W58" ca="1">_xll.SNL.Clients.Office.Excel.Functions.SPG($L58, $V$3,W$2)</f>
        <v>#NAME?</v>
      </c>
      <c r="X58" s="82" t="e" cm="1">
        <f t="array" aca="1" ref="X58" ca="1">_xll.SNL.Clients.Office.Excel.Functions.SPG($L58, $V$3,X$2)</f>
        <v>#NAME?</v>
      </c>
      <c r="Y58" s="69" t="e" cm="1">
        <f t="array" aca="1" ref="Y58" ca="1">IF((_xll.SNL.Clients.Office.Excel.Functions.SPG($L58,Y$3,Y$4,"Options: Curr=USD") / _xll.SNL.Clients.Office.Excel.Functions.SPG($L58,"SP_EBITDA_EST",Y$2,"Options: Curr=USD")) &lt; 0, "NM", (_xll.SNL.Clients.Office.Excel.Functions.SPG($L58,Y$3,Y$4,"Options: Curr=USD") / _xll.SNL.Clients.Office.Excel.Functions.SPG($L58,"SP_EBITDA_EST",Y$2,"Options: Curr=USD")))</f>
        <v>#NAME?</v>
      </c>
      <c r="Z58" s="70" t="e" cm="1">
        <f t="array" aca="1" ref="Z58" ca="1">_xll.SNL.Clients.Office.Excel.Functions.SPG($L58, Z$3,Z$4)</f>
        <v>#NAME?</v>
      </c>
      <c r="AA58" s="77" t="str">
        <f ca="1">IFERROR(0.001*AVERAGE(_xll.SNL.Clients.Office.Excel.Functions.SPG($L58,$AA$4,"Au",AA$2),_xll.SNL.Clients.Office.Excel.Functions.SPG($L58,$AA$3,"Au",AA$2)),"NA")</f>
        <v>NA</v>
      </c>
      <c r="AB58" s="72" t="str">
        <f ca="1">IFERROR(0.001*AVERAGE(_xll.SNL.Clients.Office.Excel.Functions.SPG($L58,$AA$4,"Au",AB$2),_xll.SNL.Clients.Office.Excel.Functions.SPG($L58,$AA$3,"Au",AB$2)),"NA")</f>
        <v>NA</v>
      </c>
      <c r="AC58" s="78" t="str">
        <f ca="1">IFERROR(0.001*AVERAGE(_xll.SNL.Clients.Office.Excel.Functions.SPG($L58,$AA$4,"Au",AC$2),_xll.SNL.Clients.Office.Excel.Functions.SPG($L58,$AA$3,"Au",AC$2)),"NA")</f>
        <v>NA</v>
      </c>
      <c r="AD58" s="72" t="e">
        <f ca="1" xml:space="preserve"> IF(ISNUMBER(SEARCH("na",_xll.SNL.Clients.Office.Excel.Functions.SPG($L58, $AD$4, AD$2))), 0,_xll.SNL.Clients.Office.Excel.Functions.SPG($L58, $AD$4, AD$2))</f>
        <v>#NAME?</v>
      </c>
      <c r="AE58" s="72" t="e">
        <f ca="1" xml:space="preserve"> IF(ISNUMBER(SEARCH("na",_xll.SNL.Clients.Office.Excel.Functions.SPG($L58, $AD$4, AE$2))), 0,_xll.SNL.Clients.Office.Excel.Functions.SPG($L58, $AD$4, AE$2))</f>
        <v>#NAME?</v>
      </c>
      <c r="AF58" s="72" t="e">
        <f ca="1" xml:space="preserve"> IF(ISNUMBER(SEARCH("na",_xll.SNL.Clients.Office.Excel.Functions.SPG($L58, $AD$4, AF$2))), 0,_xll.SNL.Clients.Office.Excel.Functions.SPG($L58, $AD$4, AF$2))</f>
        <v>#NAME?</v>
      </c>
      <c r="AG58" s="72" t="e">
        <f ca="1" xml:space="preserve"> IF(ISNUMBER(SEARCH("na",_xll.SNL.Clients.Office.Excel.Functions.SPG($L58, $AG$4, AG$2))), 0,_xll.SNL.Clients.Office.Excel.Functions.SPG($L58, $AG$4, AG$2))</f>
        <v>#NAME?</v>
      </c>
      <c r="AH58" s="72" t="e">
        <f ca="1" xml:space="preserve"> IF(ISNUMBER(SEARCH("na",_xll.SNL.Clients.Office.Excel.Functions.SPG($L58, $AG$4, AH$2))), 0,_xll.SNL.Clients.Office.Excel.Functions.SPG($L58, $AG$4, AH$2))</f>
        <v>#NAME?</v>
      </c>
      <c r="AI58" s="72" t="e">
        <f ca="1" xml:space="preserve"> IF(ISNUMBER(SEARCH("na",_xll.SNL.Clients.Office.Excel.Functions.SPG($L58, $AG$4, AI$2))), 0,_xll.SNL.Clients.Office.Excel.Functions.SPG($L58, $AG$4, AI$2))</f>
        <v>#NAME?</v>
      </c>
      <c r="AJ58" s="72" t="e">
        <f ca="1" xml:space="preserve"> IF(ISNUMBER(SEARCH("na",_xll.SNL.Clients.Office.Excel.Functions.SPG($L58, $AJ$4, AJ$2))), 0,_xll.SNL.Clients.Office.Excel.Functions.SPG($L58, $AJ$4, AJ$2))</f>
        <v>#NAME?</v>
      </c>
      <c r="AK58" s="72" t="e">
        <f ca="1" xml:space="preserve"> IF(ISNUMBER(SEARCH("na",_xll.SNL.Clients.Office.Excel.Functions.SPG($L58, $AJ$4, AK$2))), 0,_xll.SNL.Clients.Office.Excel.Functions.SPG($L58, $AJ$4, AK$2))</f>
        <v>#NAME?</v>
      </c>
      <c r="AL58" s="72" t="e">
        <f ca="1" xml:space="preserve"> IF(ISNUMBER(SEARCH("na",_xll.SNL.Clients.Office.Excel.Functions.SPG($L58, $AJ$4, AL$2))), 0,_xll.SNL.Clients.Office.Excel.Functions.SPG($L58, $AJ$4, AL$2))</f>
        <v>#NAME?</v>
      </c>
      <c r="AM58" s="72" t="e">
        <f t="shared" ref="AM58:AM82" ca="1" si="290">AD58+AG58*agprice/auprice+AJ58*cuprice/auprice</f>
        <v>#NAME?</v>
      </c>
      <c r="AN58" s="72" t="e">
        <f t="shared" ref="AN58:AN82" ca="1" si="291">AE58+AH58*agprice/auprice+AK58*cuprice/auprice</f>
        <v>#NAME?</v>
      </c>
      <c r="AO58" s="72" t="e">
        <f t="shared" ref="AO58:AO82" ca="1" si="292">AF58+AI58*agprice/auprice+AL58*cuprice/auprice</f>
        <v>#NAME?</v>
      </c>
      <c r="AP58" s="83" t="str">
        <f t="shared" ca="1" si="219"/>
        <v>NA</v>
      </c>
      <c r="AQ58" s="84" t="str">
        <f t="shared" ca="1" si="219"/>
        <v>NA</v>
      </c>
      <c r="AR58" s="85" t="str">
        <f t="shared" ca="1" si="219"/>
        <v>NA</v>
      </c>
      <c r="AS58" s="72">
        <f ca="1">IFERROR(_xll.SNL.Clients.Office.Excel.Functions.SPG($L58, $AS$3, AS$2,$AS$4)/1000,0)</f>
        <v>0</v>
      </c>
      <c r="AT58" s="72">
        <f ca="1">IFERROR(_xll.SNL.Clients.Office.Excel.Functions.SPG($L58, $AS$3, AT$2,$AS$4)/1000,0)</f>
        <v>0</v>
      </c>
      <c r="AU58" s="72">
        <f ca="1">IFERROR(_xll.SNL.Clients.Office.Excel.Functions.SPG($L58, $AV$3, AU$2,$AS$4)/1000,0)</f>
        <v>0</v>
      </c>
      <c r="AV58" s="72">
        <f ca="1">IFERROR(_xll.SNL.Clients.Office.Excel.Functions.SPG($L58, $AV$3, AV$2,$AS$4)/1000,0)</f>
        <v>0</v>
      </c>
      <c r="AW58" s="72">
        <f ca="1">IFERROR(_xll.SNL.Clients.Office.Excel.Functions.SPG($L58, $AV$3, AW$2,$AS$4)/1000,0)</f>
        <v>0</v>
      </c>
      <c r="AX58" s="72">
        <f ca="1">IFERROR(_xll.SNL.Clients.Office.Excel.Functions.SPG($L58, $AX$3, AX$2,$AS$4)/1000,0)</f>
        <v>0</v>
      </c>
      <c r="AY58" s="72">
        <f ca="1">IFERROR(_xll.SNL.Clients.Office.Excel.Functions.SPG($L58, $AX$3, AY$2,$AS$4)/1000,0)</f>
        <v>0</v>
      </c>
      <c r="AZ58" s="72">
        <f ca="1">IFERROR(_xll.SNL.Clients.Office.Excel.Functions.SPG($L58, $BA$3, AZ$2,$AS$4)/1000,0)</f>
        <v>0</v>
      </c>
      <c r="BA58" s="72">
        <f ca="1">IFERROR(_xll.SNL.Clients.Office.Excel.Functions.SPG($L58, $BA$3, BA$2,$AS$4)/1000,0)</f>
        <v>0</v>
      </c>
      <c r="BB58" s="72">
        <f ca="1">IFERROR(_xll.SNL.Clients.Office.Excel.Functions.SPG($L58, $BA$3, BB$2,$AS$4)/1000,0)</f>
        <v>0</v>
      </c>
      <c r="BC58" s="72">
        <f ca="1">IFERROR(_xll.SNL.Clients.Office.Excel.Functions.SPG($L58, $BC$3, BC$2,$AS$4)/1000,0)</f>
        <v>0</v>
      </c>
      <c r="BD58" s="72">
        <f ca="1">IFERROR(_xll.SNL.Clients.Office.Excel.Functions.SPG($L58, $BC$3, BD$2,$AS$4)/1000,0)</f>
        <v>0</v>
      </c>
      <c r="BE58" s="72">
        <f ca="1">IFERROR(_xll.SNL.Clients.Office.Excel.Functions.SPG($L58, $BF$3, BE$2,$AS$4)/1000,0)</f>
        <v>0</v>
      </c>
      <c r="BF58" s="72">
        <f ca="1">IFERROR(_xll.SNL.Clients.Office.Excel.Functions.SPG($L58, $BF$3, BF$2,$AS$4)/1000,0)</f>
        <v>0</v>
      </c>
      <c r="BG58" s="72">
        <f ca="1">IFERROR(_xll.SNL.Clients.Office.Excel.Functions.SPG($L58, $BF$3, BG$2,$AS$4)/1000,0)</f>
        <v>0</v>
      </c>
      <c r="BH58" s="72">
        <f t="shared" ref="BH58:BH82" ca="1" si="293">AS58+AT58*agprice/auprice+AU58*cuprice/auprice+AV58*znprice/auprice+AW58*pbprice/auprice</f>
        <v>0</v>
      </c>
      <c r="BI58" s="72">
        <f t="shared" ref="BI58:BI82" ca="1" si="294">AX58+AY58*agprice/auprice+AZ58*cuprice/auprice+BA58*znprice/auprice+BB58*pbprice/auprice+BH58</f>
        <v>0</v>
      </c>
      <c r="BJ58" s="72">
        <f t="shared" ref="BJ58:BJ82" ca="1" si="295">BC58+BD58*agprice/auprice+BE58*cuprice/auprice+BF58*znprice/auprice+BG58*pbprice/auprice+BH58</f>
        <v>0</v>
      </c>
      <c r="BK58" s="77" t="e">
        <f t="shared" ca="1" si="223"/>
        <v>#NAME?</v>
      </c>
      <c r="BL58" s="72" t="e">
        <f t="shared" ca="1" si="223"/>
        <v>#NAME?</v>
      </c>
      <c r="BM58" s="78" t="e">
        <f t="shared" ca="1" si="223"/>
        <v>#NAME?</v>
      </c>
      <c r="BN58" s="72" t="e">
        <f ca="1">_xll.SNL.Clients.Office.Excel.Functions.SPG($L58, $BN$3, BN$2, "Au", "Options:Curr=USD")</f>
        <v>#NAME?</v>
      </c>
      <c r="BO58" s="72" t="e">
        <f ca="1">_xll.SNL.Clients.Office.Excel.Functions.SPG($L58, $BN$3, BO$2, "Au", "Options:Curr=USD")</f>
        <v>#NAME?</v>
      </c>
      <c r="BP58" s="72" t="e">
        <f ca="1">_xll.SNL.Clients.Office.Excel.Functions.SPG($L58, $BN$3, BP$2, "Au", "Options:Curr=USD")</f>
        <v>#NAME?</v>
      </c>
      <c r="BQ58" s="78" t="e">
        <f ca="1">_xll.SNL.Clients.Office.Excel.Functions.SPG($L58, $BN$3, BQ$2, "Au", "Options:Curr=USD")</f>
        <v>#NAME?</v>
      </c>
      <c r="BR58" s="72" t="str">
        <f ca="1">IFERROR(AVERAGE(_xll.SNL.Clients.Office.Excel.Functions.SPG($L58,$BR$4,"Au",BR$2, "Options:Curr=USD"),_xll.SNL.Clients.Office.Excel.Functions.SPG($L58,$BR$3,"Au",BR$2, "Options:Curr=USD")),"NA")</f>
        <v>NA</v>
      </c>
      <c r="BS58" s="72" t="str">
        <f ca="1">IFERROR(AVERAGE(_xll.SNL.Clients.Office.Excel.Functions.SPG($L58,$BR$4,"Au",BS$2, "Options:Curr=USD"),_xll.SNL.Clients.Office.Excel.Functions.SPG($L58,$BR$3,"Au",BS$2, "Options:Curr=USD")),"NA")</f>
        <v>NA</v>
      </c>
      <c r="BT58" s="78" t="str">
        <f ca="1">IFERROR(AVERAGE(_xll.SNL.Clients.Office.Excel.Functions.SPG($L58,$BR$4,"Au",BT$2, "Options:Curr=USD"),_xll.SNL.Clients.Office.Excel.Functions.SPG($L58,$BR$3,"Au",BT$2, "Options:Curr=USD")),"NA")</f>
        <v>NA</v>
      </c>
      <c r="BV58" s="36" t="s">
        <v>88</v>
      </c>
      <c r="BW58" s="36"/>
      <c r="BX58" s="36" t="s">
        <v>195</v>
      </c>
      <c r="BY58" s="36"/>
    </row>
    <row r="59" spans="1:77" ht="13.8" x14ac:dyDescent="0.25">
      <c r="A59" s="56" t="e">
        <f ca="1">_xll.SNL.Clients.Office.Excel.Functions.SPG($L59, A$3)</f>
        <v>#NAME?</v>
      </c>
      <c r="B59" s="56" t="e">
        <f ca="1">_xll.BDP($K59,B$3)</f>
        <v>#NAME?</v>
      </c>
      <c r="C59" s="56" t="e">
        <f ca="1">_xll.BDP($K59,C$3)</f>
        <v>#NAME?</v>
      </c>
      <c r="D59" s="56" t="e">
        <f ca="1">_xll.BDP($K59,D$3)</f>
        <v>#NAME?</v>
      </c>
      <c r="E59" s="57" t="s">
        <v>264</v>
      </c>
      <c r="F59" s="57" t="s">
        <v>83</v>
      </c>
      <c r="G59" s="57" t="s">
        <v>84</v>
      </c>
      <c r="H59" s="58" t="e">
        <f ca="1">_xll.SNL.Clients.Office.Excel.Functions.SPG($L59, "IQ_TEV", "Options: Curr=USD")</f>
        <v>#NAME?</v>
      </c>
      <c r="I59" s="58" t="e">
        <f ca="1">_xll.SNL.Clients.Office.Excel.Functions.SPG($L59, "SP_MARKETCAP", "Options: Curr=USD")</f>
        <v>#NAME?</v>
      </c>
      <c r="J59" s="59" t="s">
        <v>265</v>
      </c>
      <c r="K59" s="3" t="s">
        <v>266</v>
      </c>
      <c r="L59" s="18" t="s">
        <v>267</v>
      </c>
      <c r="M59" s="60" t="str" cm="1">
        <f t="array" aca="1" ref="M59" ca="1">IFERROR(_xll.SNL.Clients.Office.Excel.Functions.SPG($L59, $M$3)/100,"NA")</f>
        <v>NA</v>
      </c>
      <c r="N59" s="61" t="e" cm="1">
        <f t="array" aca="1" ref="N59" ca="1">_xll.SNL.Clients.Office.Excel.Functions.SPG($L59, "SP_PCFPS_FWD",N$2)</f>
        <v>#NAME?</v>
      </c>
      <c r="O59" s="62" t="e" cm="1">
        <f t="array" aca="1" ref="O59" ca="1">_xll.SNL.Clients.Office.Excel.Functions.SPG($L59, "SP_PCFPS_FWD",O$2)</f>
        <v>#NAME?</v>
      </c>
      <c r="P59" s="63" t="e" cm="1">
        <f t="array" aca="1" ref="P59" ca="1">_xll.SNL.Clients.Office.Excel.Functions.SPG($L59, "SP_PCFPS_FWD",P$2)</f>
        <v>#NAME?</v>
      </c>
      <c r="Q59" s="64" t="str">
        <f ca="1">IFERROR(_xll.SNL.Clients.Office.Excel.Functions.SPG($L59, "SP_FCF_EST",Q$2, "Options: Curr=USD")/1000/I59,"NA")</f>
        <v>NA</v>
      </c>
      <c r="R59" s="64" t="str">
        <f ca="1">IFERROR(_xll.SNL.Clients.Office.Excel.Functions.SPG($L59, "SP_FCF_EST",R$2, "Options: Curr=USD")/1000/I59,"NA")</f>
        <v>NA</v>
      </c>
      <c r="S59" s="64" t="e">
        <f ca="1">_xll.SNL.Clients.Office.Excel.Functions.SPG($L59, "SP_FCF_EST",S$2, "Options: Curr=USD")/1000/$I59</f>
        <v>#NAME?</v>
      </c>
      <c r="T59" s="61" t="e" cm="1">
        <f t="array" aca="1" ref="T59" ca="1">_xll.SNL.Clients.Office.Excel.Functions.SPG($L59, "SP_PE_FWD",T$2)</f>
        <v>#NAME?</v>
      </c>
      <c r="U59" s="63" t="e" cm="1">
        <f t="array" aca="1" ref="U59" ca="1">_xll.SNL.Clients.Office.Excel.Functions.SPG($L59, "SP_PE_FWD",U$2)</f>
        <v>#NAME?</v>
      </c>
      <c r="V59" s="80" t="e" cm="1">
        <f t="array" aca="1" ref="V59" ca="1">_xll.SNL.Clients.Office.Excel.Functions.SPG($L59, $V$3,V$2)</f>
        <v>#NAME?</v>
      </c>
      <c r="W59" s="81" t="e" cm="1">
        <f t="array" aca="1" ref="W59" ca="1">_xll.SNL.Clients.Office.Excel.Functions.SPG($L59, $V$3,W$2)</f>
        <v>#NAME?</v>
      </c>
      <c r="X59" s="82" t="e" cm="1">
        <f t="array" aca="1" ref="X59" ca="1">_xll.SNL.Clients.Office.Excel.Functions.SPG($L59, $V$3,X$2)</f>
        <v>#NAME?</v>
      </c>
      <c r="Y59" s="69" t="e" cm="1">
        <f t="array" aca="1" ref="Y59" ca="1">IF((_xll.SNL.Clients.Office.Excel.Functions.SPG($L59,Y$3,Y$4,"Options: Curr=USD") / _xll.SNL.Clients.Office.Excel.Functions.SPG($L59,"SP_EBITDA_EST",Y$2,"Options: Curr=USD")) &lt; 0, "NM", (_xll.SNL.Clients.Office.Excel.Functions.SPG($L59,Y$3,Y$4,"Options: Curr=USD") / _xll.SNL.Clients.Office.Excel.Functions.SPG($L59,"SP_EBITDA_EST",Y$2,"Options: Curr=USD")))</f>
        <v>#NAME?</v>
      </c>
      <c r="Z59" s="70" t="e" cm="1">
        <f t="array" aca="1" ref="Z59" ca="1">_xll.SNL.Clients.Office.Excel.Functions.SPG($L59, Z$3,Z$4)</f>
        <v>#NAME?</v>
      </c>
      <c r="AA59" s="77" t="str">
        <f ca="1">IFERROR(0.001*AVERAGE(_xll.SNL.Clients.Office.Excel.Functions.SPG($L59,$AA$4,"Au",AA$2),_xll.SNL.Clients.Office.Excel.Functions.SPG($L59,$AA$3,"Au",AA$2)),"NA")</f>
        <v>NA</v>
      </c>
      <c r="AB59" s="72" t="str">
        <f ca="1">IFERROR(0.001*AVERAGE(_xll.SNL.Clients.Office.Excel.Functions.SPG($L59,$AA$4,"Au",AB$2),_xll.SNL.Clients.Office.Excel.Functions.SPG($L59,$AA$3,"Au",AB$2)),"NA")</f>
        <v>NA</v>
      </c>
      <c r="AC59" s="78" t="str">
        <f ca="1">IFERROR(0.001*AVERAGE(_xll.SNL.Clients.Office.Excel.Functions.SPG($L59,$AA$4,"Au",AC$2),_xll.SNL.Clients.Office.Excel.Functions.SPG($L59,$AA$3,"Au",AC$2)),"NA")</f>
        <v>NA</v>
      </c>
      <c r="AD59" s="72" t="e">
        <f ca="1" xml:space="preserve"> IF(ISNUMBER(SEARCH("na",_xll.SNL.Clients.Office.Excel.Functions.SPG($L59, $AD$4, AD$2))), 0,_xll.SNL.Clients.Office.Excel.Functions.SPG($L59, $AD$4, AD$2))</f>
        <v>#NAME?</v>
      </c>
      <c r="AE59" s="72" t="e">
        <f ca="1" xml:space="preserve"> IF(ISNUMBER(SEARCH("na",_xll.SNL.Clients.Office.Excel.Functions.SPG($L59, $AD$4, AE$2))), 0,_xll.SNL.Clients.Office.Excel.Functions.SPG($L59, $AD$4, AE$2))</f>
        <v>#NAME?</v>
      </c>
      <c r="AF59" s="72" t="e">
        <f ca="1" xml:space="preserve"> IF(ISNUMBER(SEARCH("na",_xll.SNL.Clients.Office.Excel.Functions.SPG($L59, $AD$4, AF$2))), 0,_xll.SNL.Clients.Office.Excel.Functions.SPG($L59, $AD$4, AF$2))</f>
        <v>#NAME?</v>
      </c>
      <c r="AG59" s="72" t="e">
        <f ca="1" xml:space="preserve"> IF(ISNUMBER(SEARCH("na",_xll.SNL.Clients.Office.Excel.Functions.SPG($L59, $AG$4, AG$2))), 0,_xll.SNL.Clients.Office.Excel.Functions.SPG($L59, $AG$4, AG$2))</f>
        <v>#NAME?</v>
      </c>
      <c r="AH59" s="72" t="e">
        <f ca="1" xml:space="preserve"> IF(ISNUMBER(SEARCH("na",_xll.SNL.Clients.Office.Excel.Functions.SPG($L59, $AG$4, AH$2))), 0,_xll.SNL.Clients.Office.Excel.Functions.SPG($L59, $AG$4, AH$2))</f>
        <v>#NAME?</v>
      </c>
      <c r="AI59" s="72" t="e">
        <f ca="1" xml:space="preserve"> IF(ISNUMBER(SEARCH("na",_xll.SNL.Clients.Office.Excel.Functions.SPG($L59, $AG$4, AI$2))), 0,_xll.SNL.Clients.Office.Excel.Functions.SPG($L59, $AG$4, AI$2))</f>
        <v>#NAME?</v>
      </c>
      <c r="AJ59" s="72" t="e">
        <f ca="1" xml:space="preserve"> IF(ISNUMBER(SEARCH("na",_xll.SNL.Clients.Office.Excel.Functions.SPG($L59, $AJ$4, AJ$2))), 0,_xll.SNL.Clients.Office.Excel.Functions.SPG($L59, $AJ$4, AJ$2))</f>
        <v>#NAME?</v>
      </c>
      <c r="AK59" s="72" t="e">
        <f ca="1" xml:space="preserve"> IF(ISNUMBER(SEARCH("na",_xll.SNL.Clients.Office.Excel.Functions.SPG($L59, $AJ$4, AK$2))), 0,_xll.SNL.Clients.Office.Excel.Functions.SPG($L59, $AJ$4, AK$2))</f>
        <v>#NAME?</v>
      </c>
      <c r="AL59" s="72" t="e">
        <f ca="1" xml:space="preserve"> IF(ISNUMBER(SEARCH("na",_xll.SNL.Clients.Office.Excel.Functions.SPG($L59, $AJ$4, AL$2))), 0,_xll.SNL.Clients.Office.Excel.Functions.SPG($L59, $AJ$4, AL$2))</f>
        <v>#NAME?</v>
      </c>
      <c r="AM59" s="72" t="e">
        <f t="shared" ref="AM59:AM83" ca="1" si="296">AD59+AG59*agprice/auprice+AJ59*cuprice/auprice</f>
        <v>#NAME?</v>
      </c>
      <c r="AN59" s="72" t="e">
        <f t="shared" ref="AN59:AN83" ca="1" si="297">AE59+AH59*agprice/auprice+AK59*cuprice/auprice</f>
        <v>#NAME?</v>
      </c>
      <c r="AO59" s="72" t="e">
        <f t="shared" ref="AO59:AO83" ca="1" si="298">AF59+AI59*agprice/auprice+AL59*cuprice/auprice</f>
        <v>#NAME?</v>
      </c>
      <c r="AP59" s="83" t="str">
        <f t="shared" ca="1" si="219"/>
        <v>NA</v>
      </c>
      <c r="AQ59" s="84" t="str">
        <f t="shared" ca="1" si="219"/>
        <v>NA</v>
      </c>
      <c r="AR59" s="85" t="str">
        <f t="shared" ca="1" si="219"/>
        <v>NA</v>
      </c>
      <c r="AS59" s="72">
        <f ca="1">IFERROR(_xll.SNL.Clients.Office.Excel.Functions.SPG($L59, $AS$3, AS$2,$AS$4)/1000,0)</f>
        <v>0</v>
      </c>
      <c r="AT59" s="72">
        <f ca="1">IFERROR(_xll.SNL.Clients.Office.Excel.Functions.SPG($L59, $AS$3, AT$2,$AS$4)/1000,0)</f>
        <v>0</v>
      </c>
      <c r="AU59" s="72">
        <f ca="1">IFERROR(_xll.SNL.Clients.Office.Excel.Functions.SPG($L59, $AV$3, AU$2,$AS$4)/1000,0)</f>
        <v>0</v>
      </c>
      <c r="AV59" s="72">
        <f ca="1">IFERROR(_xll.SNL.Clients.Office.Excel.Functions.SPG($L59, $AV$3, AV$2,$AS$4)/1000,0)</f>
        <v>0</v>
      </c>
      <c r="AW59" s="72">
        <f ca="1">IFERROR(_xll.SNL.Clients.Office.Excel.Functions.SPG($L59, $AV$3, AW$2,$AS$4)/1000,0)</f>
        <v>0</v>
      </c>
      <c r="AX59" s="72">
        <f ca="1">IFERROR(_xll.SNL.Clients.Office.Excel.Functions.SPG($L59, $AX$3, AX$2,$AS$4)/1000,0)</f>
        <v>0</v>
      </c>
      <c r="AY59" s="72">
        <f ca="1">IFERROR(_xll.SNL.Clients.Office.Excel.Functions.SPG($L59, $AX$3, AY$2,$AS$4)/1000,0)</f>
        <v>0</v>
      </c>
      <c r="AZ59" s="72">
        <f ca="1">IFERROR(_xll.SNL.Clients.Office.Excel.Functions.SPG($L59, $BA$3, AZ$2,$AS$4)/1000,0)</f>
        <v>0</v>
      </c>
      <c r="BA59" s="72">
        <f ca="1">IFERROR(_xll.SNL.Clients.Office.Excel.Functions.SPG($L59, $BA$3, BA$2,$AS$4)/1000,0)</f>
        <v>0</v>
      </c>
      <c r="BB59" s="72">
        <f ca="1">IFERROR(_xll.SNL.Clients.Office.Excel.Functions.SPG($L59, $BA$3, BB$2,$AS$4)/1000,0)</f>
        <v>0</v>
      </c>
      <c r="BC59" s="72">
        <f ca="1">IFERROR(_xll.SNL.Clients.Office.Excel.Functions.SPG($L59, $BC$3, BC$2,$AS$4)/1000,0)</f>
        <v>0</v>
      </c>
      <c r="BD59" s="72">
        <f ca="1">IFERROR(_xll.SNL.Clients.Office.Excel.Functions.SPG($L59, $BC$3, BD$2,$AS$4)/1000,0)</f>
        <v>0</v>
      </c>
      <c r="BE59" s="72">
        <f ca="1">IFERROR(_xll.SNL.Clients.Office.Excel.Functions.SPG($L59, $BF$3, BE$2,$AS$4)/1000,0)</f>
        <v>0</v>
      </c>
      <c r="BF59" s="72">
        <f ca="1">IFERROR(_xll.SNL.Clients.Office.Excel.Functions.SPG($L59, $BF$3, BF$2,$AS$4)/1000,0)</f>
        <v>0</v>
      </c>
      <c r="BG59" s="72">
        <f ca="1">IFERROR(_xll.SNL.Clients.Office.Excel.Functions.SPG($L59, $BF$3, BG$2,$AS$4)/1000,0)</f>
        <v>0</v>
      </c>
      <c r="BH59" s="72">
        <f t="shared" ref="BH59:BH83" ca="1" si="299">AS59+AT59*agprice/auprice+AU59*cuprice/auprice+AV59*znprice/auprice+AW59*pbprice/auprice</f>
        <v>0</v>
      </c>
      <c r="BI59" s="72">
        <f t="shared" ref="BI59:BI83" ca="1" si="300">AX59+AY59*agprice/auprice+AZ59*cuprice/auprice+BA59*znprice/auprice+BB59*pbprice/auprice+BH59</f>
        <v>0</v>
      </c>
      <c r="BJ59" s="72">
        <f t="shared" ref="BJ59:BJ83" ca="1" si="301">BC59+BD59*agprice/auprice+BE59*cuprice/auprice+BF59*znprice/auprice+BG59*pbprice/auprice+BH59</f>
        <v>0</v>
      </c>
      <c r="BK59" s="77" t="e">
        <f t="shared" ca="1" si="223"/>
        <v>#NAME?</v>
      </c>
      <c r="BL59" s="72" t="e">
        <f t="shared" ca="1" si="223"/>
        <v>#NAME?</v>
      </c>
      <c r="BM59" s="78" t="e">
        <f t="shared" ca="1" si="223"/>
        <v>#NAME?</v>
      </c>
      <c r="BN59" s="72" t="e">
        <f ca="1">_xll.SNL.Clients.Office.Excel.Functions.SPG($L59, $BN$3, BN$2, "Au", "Options:Curr=USD")</f>
        <v>#NAME?</v>
      </c>
      <c r="BO59" s="72" t="e">
        <f ca="1">_xll.SNL.Clients.Office.Excel.Functions.SPG($L59, $BN$3, BO$2, "Au", "Options:Curr=USD")</f>
        <v>#NAME?</v>
      </c>
      <c r="BP59" s="72" t="e">
        <f ca="1">_xll.SNL.Clients.Office.Excel.Functions.SPG($L59, $BN$3, BP$2, "Au", "Options:Curr=USD")</f>
        <v>#NAME?</v>
      </c>
      <c r="BQ59" s="78" t="e">
        <f ca="1">_xll.SNL.Clients.Office.Excel.Functions.SPG($L59, $BN$3, BQ$2, "Au", "Options:Curr=USD")</f>
        <v>#NAME?</v>
      </c>
      <c r="BR59" s="72" t="str">
        <f ca="1">IFERROR(AVERAGE(_xll.SNL.Clients.Office.Excel.Functions.SPG($L59,$BR$4,"Au",BR$2, "Options:Curr=USD"),_xll.SNL.Clients.Office.Excel.Functions.SPG($L59,$BR$3,"Au",BR$2, "Options:Curr=USD")),"NA")</f>
        <v>NA</v>
      </c>
      <c r="BS59" s="72" t="str">
        <f ca="1">IFERROR(AVERAGE(_xll.SNL.Clients.Office.Excel.Functions.SPG($L59,$BR$4,"Au",BS$2, "Options:Curr=USD"),_xll.SNL.Clients.Office.Excel.Functions.SPG($L59,$BR$3,"Au",BS$2, "Options:Curr=USD")),"NA")</f>
        <v>NA</v>
      </c>
      <c r="BT59" s="78" t="str">
        <f ca="1">IFERROR(AVERAGE(_xll.SNL.Clients.Office.Excel.Functions.SPG($L59,$BR$4,"Au",BT$2, "Options:Curr=USD"),_xll.SNL.Clients.Office.Excel.Functions.SPG($L59,$BR$3,"Au",BT$2, "Options:Curr=USD")),"NA")</f>
        <v>NA</v>
      </c>
      <c r="BV59" s="36" t="s">
        <v>88</v>
      </c>
      <c r="BW59" s="36"/>
      <c r="BX59" s="36" t="s">
        <v>89</v>
      </c>
      <c r="BY59" s="36"/>
    </row>
    <row r="60" spans="1:77" ht="13.8" x14ac:dyDescent="0.25">
      <c r="A60" s="56" t="e">
        <f ca="1">_xll.SNL.Clients.Office.Excel.Functions.SPG($L60, A$3)</f>
        <v>#NAME?</v>
      </c>
      <c r="B60" s="56" t="e">
        <f ca="1">_xll.BDP($K60,B$3)</f>
        <v>#NAME?</v>
      </c>
      <c r="C60" s="56" t="e">
        <f ca="1">_xll.BDP($K60,C$3)</f>
        <v>#NAME?</v>
      </c>
      <c r="D60" s="56" t="e">
        <f ca="1">_xll.BDP($K60,D$3)</f>
        <v>#NAME?</v>
      </c>
      <c r="E60" s="57" t="s">
        <v>98</v>
      </c>
      <c r="F60" s="57" t="s">
        <v>107</v>
      </c>
      <c r="G60" s="57" t="s">
        <v>84</v>
      </c>
      <c r="H60" s="58" t="e">
        <f ca="1">_xll.SNL.Clients.Office.Excel.Functions.SPG($L60, "IQ_TEV", "Options: Curr=USD")</f>
        <v>#NAME?</v>
      </c>
      <c r="I60" s="58" t="e">
        <f ca="1">_xll.SNL.Clients.Office.Excel.Functions.SPG($L60, "SP_MARKETCAP", "Options: Curr=USD")</f>
        <v>#NAME?</v>
      </c>
      <c r="J60" s="59" t="s">
        <v>268</v>
      </c>
      <c r="K60" s="3" t="s">
        <v>269</v>
      </c>
      <c r="L60" s="3" t="s">
        <v>270</v>
      </c>
      <c r="M60" s="60" t="str" cm="1">
        <f t="array" aca="1" ref="M60" ca="1">IFERROR(_xll.SNL.Clients.Office.Excel.Functions.SPG($L60, $M$3)/100,"NA")</f>
        <v>NA</v>
      </c>
      <c r="N60" s="61" t="e" cm="1">
        <f t="array" aca="1" ref="N60" ca="1">_xll.SNL.Clients.Office.Excel.Functions.SPG($L60, "SP_PCFPS_FWD",N$2)</f>
        <v>#NAME?</v>
      </c>
      <c r="O60" s="62" t="e" cm="1">
        <f t="array" aca="1" ref="O60" ca="1">_xll.SNL.Clients.Office.Excel.Functions.SPG($L60, "SP_PCFPS_FWD",O$2)</f>
        <v>#NAME?</v>
      </c>
      <c r="P60" s="63" t="e" cm="1">
        <f t="array" aca="1" ref="P60" ca="1">_xll.SNL.Clients.Office.Excel.Functions.SPG($L60, "SP_PCFPS_FWD",P$2)</f>
        <v>#NAME?</v>
      </c>
      <c r="Q60" s="64" t="str">
        <f ca="1">IFERROR(_xll.SNL.Clients.Office.Excel.Functions.SPG($L60, "SP_FCF_EST",Q$2, "Options: Curr=USD")/1000/I60,"NA")</f>
        <v>NA</v>
      </c>
      <c r="R60" s="64" t="str">
        <f ca="1">IFERROR(_xll.SNL.Clients.Office.Excel.Functions.SPG($L60, "SP_FCF_EST",R$2, "Options: Curr=USD")/1000/I60,"NA")</f>
        <v>NA</v>
      </c>
      <c r="S60" s="64" t="e">
        <f ca="1">_xll.SNL.Clients.Office.Excel.Functions.SPG($L60, "SP_FCF_EST",S$2, "Options: Curr=USD")/1000/$I60</f>
        <v>#NAME?</v>
      </c>
      <c r="T60" s="61" t="e" cm="1">
        <f t="array" aca="1" ref="T60" ca="1">_xll.SNL.Clients.Office.Excel.Functions.SPG($L60, "SP_PE_FWD",T$2)</f>
        <v>#NAME?</v>
      </c>
      <c r="U60" s="63" t="e" cm="1">
        <f t="array" aca="1" ref="U60" ca="1">_xll.SNL.Clients.Office.Excel.Functions.SPG($L60, "SP_PE_FWD",U$2)</f>
        <v>#NAME?</v>
      </c>
      <c r="V60" s="80" t="e" cm="1">
        <f t="array" aca="1" ref="V60" ca="1">_xll.SNL.Clients.Office.Excel.Functions.SPG($L60, $V$3,V$2)</f>
        <v>#NAME?</v>
      </c>
      <c r="W60" s="81" t="e" cm="1">
        <f t="array" aca="1" ref="W60" ca="1">_xll.SNL.Clients.Office.Excel.Functions.SPG($L60, $V$3,W$2)</f>
        <v>#NAME?</v>
      </c>
      <c r="X60" s="82" t="e" cm="1">
        <f t="array" aca="1" ref="X60" ca="1">_xll.SNL.Clients.Office.Excel.Functions.SPG($L60, $V$3,X$2)</f>
        <v>#NAME?</v>
      </c>
      <c r="Y60" s="69" t="e" cm="1">
        <f t="array" aca="1" ref="Y60" ca="1">IF((_xll.SNL.Clients.Office.Excel.Functions.SPG($L60,Y$3,Y$4,"Options: Curr=USD") / _xll.SNL.Clients.Office.Excel.Functions.SPG($L60,"SP_EBITDA_EST",Y$2,"Options: Curr=USD")) &lt; 0, "NM", (_xll.SNL.Clients.Office.Excel.Functions.SPG($L60,Y$3,Y$4,"Options: Curr=USD") / _xll.SNL.Clients.Office.Excel.Functions.SPG($L60,"SP_EBITDA_EST",Y$2,"Options: Curr=USD")))</f>
        <v>#NAME?</v>
      </c>
      <c r="Z60" s="70" t="e" cm="1">
        <f t="array" aca="1" ref="Z60" ca="1">_xll.SNL.Clients.Office.Excel.Functions.SPG($L60, Z$3,Z$4)</f>
        <v>#NAME?</v>
      </c>
      <c r="AA60" s="77" t="str">
        <f ca="1">IFERROR(0.001*AVERAGE(_xll.SNL.Clients.Office.Excel.Functions.SPG($L60,$AA$4,"Au",AA$2),_xll.SNL.Clients.Office.Excel.Functions.SPG($L60,$AA$3,"Au",AA$2)),"NA")</f>
        <v>NA</v>
      </c>
      <c r="AB60" s="72" t="str">
        <f ca="1">IFERROR(0.001*AVERAGE(_xll.SNL.Clients.Office.Excel.Functions.SPG($L60,$AA$4,"Au",AB$2),_xll.SNL.Clients.Office.Excel.Functions.SPG($L60,$AA$3,"Au",AB$2)),"NA")</f>
        <v>NA</v>
      </c>
      <c r="AC60" s="78" t="str">
        <f ca="1">IFERROR(0.001*AVERAGE(_xll.SNL.Clients.Office.Excel.Functions.SPG($L60,$AA$4,"Au",AC$2),_xll.SNL.Clients.Office.Excel.Functions.SPG($L60,$AA$3,"Au",AC$2)),"NA")</f>
        <v>NA</v>
      </c>
      <c r="AD60" s="72" t="e">
        <f ca="1" xml:space="preserve"> IF(ISNUMBER(SEARCH("na",_xll.SNL.Clients.Office.Excel.Functions.SPG($L60, $AD$4, AD$2))), 0,_xll.SNL.Clients.Office.Excel.Functions.SPG($L60, $AD$4, AD$2))</f>
        <v>#NAME?</v>
      </c>
      <c r="AE60" s="72" t="e">
        <f ca="1" xml:space="preserve"> IF(ISNUMBER(SEARCH("na",_xll.SNL.Clients.Office.Excel.Functions.SPG($L60, $AD$4, AE$2))), 0,_xll.SNL.Clients.Office.Excel.Functions.SPG($L60, $AD$4, AE$2))</f>
        <v>#NAME?</v>
      </c>
      <c r="AF60" s="72" t="e">
        <f ca="1" xml:space="preserve"> IF(ISNUMBER(SEARCH("na",_xll.SNL.Clients.Office.Excel.Functions.SPG($L60, $AD$4, AF$2))), 0,_xll.SNL.Clients.Office.Excel.Functions.SPG($L60, $AD$4, AF$2))</f>
        <v>#NAME?</v>
      </c>
      <c r="AG60" s="72" t="e">
        <f ca="1" xml:space="preserve"> IF(ISNUMBER(SEARCH("na",_xll.SNL.Clients.Office.Excel.Functions.SPG($L60, $AG$4, AG$2))), 0,_xll.SNL.Clients.Office.Excel.Functions.SPG($L60, $AG$4, AG$2))</f>
        <v>#NAME?</v>
      </c>
      <c r="AH60" s="72" t="e">
        <f ca="1" xml:space="preserve"> IF(ISNUMBER(SEARCH("na",_xll.SNL.Clients.Office.Excel.Functions.SPG($L60, $AG$4, AH$2))), 0,_xll.SNL.Clients.Office.Excel.Functions.SPG($L60, $AG$4, AH$2))</f>
        <v>#NAME?</v>
      </c>
      <c r="AI60" s="72" t="e">
        <f ca="1" xml:space="preserve"> IF(ISNUMBER(SEARCH("na",_xll.SNL.Clients.Office.Excel.Functions.SPG($L60, $AG$4, AI$2))), 0,_xll.SNL.Clients.Office.Excel.Functions.SPG($L60, $AG$4, AI$2))</f>
        <v>#NAME?</v>
      </c>
      <c r="AJ60" s="72" t="e">
        <f ca="1" xml:space="preserve"> IF(ISNUMBER(SEARCH("na",_xll.SNL.Clients.Office.Excel.Functions.SPG($L60, $AJ$4, AJ$2))), 0,_xll.SNL.Clients.Office.Excel.Functions.SPG($L60, $AJ$4, AJ$2))</f>
        <v>#NAME?</v>
      </c>
      <c r="AK60" s="72" t="e">
        <f ca="1" xml:space="preserve"> IF(ISNUMBER(SEARCH("na",_xll.SNL.Clients.Office.Excel.Functions.SPG($L60, $AJ$4, AK$2))), 0,_xll.SNL.Clients.Office.Excel.Functions.SPG($L60, $AJ$4, AK$2))</f>
        <v>#NAME?</v>
      </c>
      <c r="AL60" s="72" t="e">
        <f ca="1" xml:space="preserve"> IF(ISNUMBER(SEARCH("na",_xll.SNL.Clients.Office.Excel.Functions.SPG($L60, $AJ$4, AL$2))), 0,_xll.SNL.Clients.Office.Excel.Functions.SPG($L60, $AJ$4, AL$2))</f>
        <v>#NAME?</v>
      </c>
      <c r="AM60" s="72" t="e">
        <f t="shared" ref="AM60:AM84" ca="1" si="302">AD60+AG60*agprice/auprice+AJ60*cuprice/auprice</f>
        <v>#NAME?</v>
      </c>
      <c r="AN60" s="72" t="e">
        <f t="shared" ref="AN60:AN84" ca="1" si="303">AE60+AH60*agprice/auprice+AK60*cuprice/auprice</f>
        <v>#NAME?</v>
      </c>
      <c r="AO60" s="72" t="e">
        <f t="shared" ref="AO60:AO84" ca="1" si="304">AF60+AI60*agprice/auprice+AL60*cuprice/auprice</f>
        <v>#NAME?</v>
      </c>
      <c r="AP60" s="83" t="str">
        <f t="shared" ca="1" si="219"/>
        <v>NA</v>
      </c>
      <c r="AQ60" s="84" t="str">
        <f t="shared" ca="1" si="219"/>
        <v>NA</v>
      </c>
      <c r="AR60" s="85" t="str">
        <f t="shared" ca="1" si="219"/>
        <v>NA</v>
      </c>
      <c r="AS60" s="72">
        <f ca="1">IFERROR(_xll.SNL.Clients.Office.Excel.Functions.SPG($L60, $AS$3, AS$2,$AS$4)/1000,0)</f>
        <v>0</v>
      </c>
      <c r="AT60" s="72">
        <f ca="1">IFERROR(_xll.SNL.Clients.Office.Excel.Functions.SPG($L60, $AS$3, AT$2,$AS$4)/1000,0)</f>
        <v>0</v>
      </c>
      <c r="AU60" s="72">
        <f ca="1">IFERROR(_xll.SNL.Clients.Office.Excel.Functions.SPG($L60, $AV$3, AU$2,$AS$4)/1000,0)</f>
        <v>0</v>
      </c>
      <c r="AV60" s="72">
        <f ca="1">IFERROR(_xll.SNL.Clients.Office.Excel.Functions.SPG($L60, $AV$3, AV$2,$AS$4)/1000,0)</f>
        <v>0</v>
      </c>
      <c r="AW60" s="72">
        <f ca="1">IFERROR(_xll.SNL.Clients.Office.Excel.Functions.SPG($L60, $AV$3, AW$2,$AS$4)/1000,0)</f>
        <v>0</v>
      </c>
      <c r="AX60" s="72">
        <f ca="1">IFERROR(_xll.SNL.Clients.Office.Excel.Functions.SPG($L60, $AX$3, AX$2,$AS$4)/1000,0)</f>
        <v>0</v>
      </c>
      <c r="AY60" s="72">
        <f ca="1">IFERROR(_xll.SNL.Clients.Office.Excel.Functions.SPG($L60, $AX$3, AY$2,$AS$4)/1000,0)</f>
        <v>0</v>
      </c>
      <c r="AZ60" s="72">
        <f ca="1">IFERROR(_xll.SNL.Clients.Office.Excel.Functions.SPG($L60, $BA$3, AZ$2,$AS$4)/1000,0)</f>
        <v>0</v>
      </c>
      <c r="BA60" s="72">
        <f ca="1">IFERROR(_xll.SNL.Clients.Office.Excel.Functions.SPG($L60, $BA$3, BA$2,$AS$4)/1000,0)</f>
        <v>0</v>
      </c>
      <c r="BB60" s="72">
        <f ca="1">IFERROR(_xll.SNL.Clients.Office.Excel.Functions.SPG($L60, $BA$3, BB$2,$AS$4)/1000,0)</f>
        <v>0</v>
      </c>
      <c r="BC60" s="72">
        <f ca="1">IFERROR(_xll.SNL.Clients.Office.Excel.Functions.SPG($L60, $BC$3, BC$2,$AS$4)/1000,0)</f>
        <v>0</v>
      </c>
      <c r="BD60" s="72">
        <f ca="1">IFERROR(_xll.SNL.Clients.Office.Excel.Functions.SPG($L60, $BC$3, BD$2,$AS$4)/1000,0)</f>
        <v>0</v>
      </c>
      <c r="BE60" s="72">
        <f ca="1">IFERROR(_xll.SNL.Clients.Office.Excel.Functions.SPG($L60, $BF$3, BE$2,$AS$4)/1000,0)</f>
        <v>0</v>
      </c>
      <c r="BF60" s="72">
        <f ca="1">IFERROR(_xll.SNL.Clients.Office.Excel.Functions.SPG($L60, $BF$3, BF$2,$AS$4)/1000,0)</f>
        <v>0</v>
      </c>
      <c r="BG60" s="72">
        <f ca="1">IFERROR(_xll.SNL.Clients.Office.Excel.Functions.SPG($L60, $BF$3, BG$2,$AS$4)/1000,0)</f>
        <v>0</v>
      </c>
      <c r="BH60" s="72">
        <f t="shared" ref="BH60:BH84" ca="1" si="305">AS60+AT60*agprice/auprice+AU60*cuprice/auprice+AV60*znprice/auprice+AW60*pbprice/auprice</f>
        <v>0</v>
      </c>
      <c r="BI60" s="72">
        <f t="shared" ref="BI60:BI84" ca="1" si="306">AX60+AY60*agprice/auprice+AZ60*cuprice/auprice+BA60*znprice/auprice+BB60*pbprice/auprice+BH60</f>
        <v>0</v>
      </c>
      <c r="BJ60" s="72">
        <f t="shared" ref="BJ60:BJ84" ca="1" si="307">BC60+BD60*agprice/auprice+BE60*cuprice/auprice+BF60*znprice/auprice+BG60*pbprice/auprice+BH60</f>
        <v>0</v>
      </c>
      <c r="BK60" s="77" t="e">
        <f t="shared" ca="1" si="223"/>
        <v>#NAME?</v>
      </c>
      <c r="BL60" s="72" t="e">
        <f t="shared" ca="1" si="223"/>
        <v>#NAME?</v>
      </c>
      <c r="BM60" s="78" t="e">
        <f t="shared" ca="1" si="223"/>
        <v>#NAME?</v>
      </c>
      <c r="BN60" s="72" t="e">
        <f ca="1">_xll.SNL.Clients.Office.Excel.Functions.SPG($L60, $BN$3, BN$2, "Au", "Options:Curr=USD")</f>
        <v>#NAME?</v>
      </c>
      <c r="BO60" s="72" t="e">
        <f ca="1">_xll.SNL.Clients.Office.Excel.Functions.SPG($L60, $BN$3, BO$2, "Au", "Options:Curr=USD")</f>
        <v>#NAME?</v>
      </c>
      <c r="BP60" s="72" t="e">
        <f ca="1">_xll.SNL.Clients.Office.Excel.Functions.SPG($L60, $BN$3, BP$2, "Au", "Options:Curr=USD")</f>
        <v>#NAME?</v>
      </c>
      <c r="BQ60" s="78" t="e">
        <f ca="1">_xll.SNL.Clients.Office.Excel.Functions.SPG($L60, $BN$3, BQ$2, "Au", "Options:Curr=USD")</f>
        <v>#NAME?</v>
      </c>
      <c r="BR60" s="72" t="str">
        <f ca="1">IFERROR(AVERAGE(_xll.SNL.Clients.Office.Excel.Functions.SPG($L60,$BR$4,"Au",BR$2, "Options:Curr=USD"),_xll.SNL.Clients.Office.Excel.Functions.SPG($L60,$BR$3,"Au",BR$2, "Options:Curr=USD")),"NA")</f>
        <v>NA</v>
      </c>
      <c r="BS60" s="72" t="str">
        <f ca="1">IFERROR(AVERAGE(_xll.SNL.Clients.Office.Excel.Functions.SPG($L60,$BR$4,"Au",BS$2, "Options:Curr=USD"),_xll.SNL.Clients.Office.Excel.Functions.SPG($L60,$BR$3,"Au",BS$2, "Options:Curr=USD")),"NA")</f>
        <v>NA</v>
      </c>
      <c r="BT60" s="78" t="str">
        <f ca="1">IFERROR(AVERAGE(_xll.SNL.Clients.Office.Excel.Functions.SPG($L60,$BR$4,"Au",BT$2, "Options:Curr=USD"),_xll.SNL.Clients.Office.Excel.Functions.SPG($L60,$BR$3,"Au",BT$2, "Options:Curr=USD")),"NA")</f>
        <v>NA</v>
      </c>
      <c r="BV60" s="36" t="s">
        <v>88</v>
      </c>
      <c r="BW60" s="36"/>
      <c r="BX60" s="36" t="s">
        <v>89</v>
      </c>
      <c r="BY60" s="36"/>
    </row>
    <row r="61" spans="1:77" ht="13.8" x14ac:dyDescent="0.25">
      <c r="A61" s="56" t="e">
        <f ca="1">_xll.SNL.Clients.Office.Excel.Functions.SPG($L61, A$3)</f>
        <v>#NAME?</v>
      </c>
      <c r="B61" s="56" t="e">
        <f ca="1">_xll.BDP($K61,B$3)</f>
        <v>#NAME?</v>
      </c>
      <c r="C61" s="56" t="e">
        <f ca="1">_xll.BDP($K61,C$3)</f>
        <v>#NAME?</v>
      </c>
      <c r="D61" s="56" t="e">
        <f ca="1">_xll.BDP($K61,D$3)</f>
        <v>#NAME?</v>
      </c>
      <c r="E61" s="57" t="s">
        <v>223</v>
      </c>
      <c r="F61" s="57" t="s">
        <v>107</v>
      </c>
      <c r="G61" s="57" t="s">
        <v>84</v>
      </c>
      <c r="H61" s="58" t="e">
        <f ca="1">_xll.SNL.Clients.Office.Excel.Functions.SPG($L61, "IQ_TEV", "Options: Curr=USD")</f>
        <v>#NAME?</v>
      </c>
      <c r="I61" s="58" t="e">
        <f ca="1">_xll.SNL.Clients.Office.Excel.Functions.SPG($L61, "SP_MARKETCAP", "Options: Curr=USD")</f>
        <v>#NAME?</v>
      </c>
      <c r="J61" s="59" t="s">
        <v>271</v>
      </c>
      <c r="K61" s="3" t="s">
        <v>272</v>
      </c>
      <c r="L61" s="3" t="s">
        <v>273</v>
      </c>
      <c r="M61" s="60" t="str" cm="1">
        <f t="array" aca="1" ref="M61" ca="1">IFERROR(_xll.SNL.Clients.Office.Excel.Functions.SPG($L61, $M$3)/100,"NA")</f>
        <v>NA</v>
      </c>
      <c r="N61" s="61" t="e" cm="1">
        <f t="array" aca="1" ref="N61" ca="1">_xll.SNL.Clients.Office.Excel.Functions.SPG($L61, "SP_PCFPS_FWD",N$2)</f>
        <v>#NAME?</v>
      </c>
      <c r="O61" s="62" t="e" cm="1">
        <f t="array" aca="1" ref="O61" ca="1">_xll.SNL.Clients.Office.Excel.Functions.SPG($L61, "SP_PCFPS_FWD",O$2)</f>
        <v>#NAME?</v>
      </c>
      <c r="P61" s="63" t="e" cm="1">
        <f t="array" aca="1" ref="P61" ca="1">_xll.SNL.Clients.Office.Excel.Functions.SPG($L61, "SP_PCFPS_FWD",P$2)</f>
        <v>#NAME?</v>
      </c>
      <c r="Q61" s="64" t="str">
        <f ca="1">IFERROR(_xll.SNL.Clients.Office.Excel.Functions.SPG($L61, "SP_FCF_EST",Q$2, "Options: Curr=USD")/1000/I61,"NA")</f>
        <v>NA</v>
      </c>
      <c r="R61" s="64" t="str">
        <f ca="1">IFERROR(_xll.SNL.Clients.Office.Excel.Functions.SPG($L61, "SP_FCF_EST",R$2, "Options: Curr=USD")/1000/I61,"NA")</f>
        <v>NA</v>
      </c>
      <c r="S61" s="64" t="e">
        <f ca="1">_xll.SNL.Clients.Office.Excel.Functions.SPG($L61, "SP_FCF_EST",S$2, "Options: Curr=USD")/1000/$I61</f>
        <v>#NAME?</v>
      </c>
      <c r="T61" s="61" t="e" cm="1">
        <f t="array" aca="1" ref="T61" ca="1">_xll.SNL.Clients.Office.Excel.Functions.SPG($L61, "SP_PE_FWD",T$2)</f>
        <v>#NAME?</v>
      </c>
      <c r="U61" s="63" t="e" cm="1">
        <f t="array" aca="1" ref="U61" ca="1">_xll.SNL.Clients.Office.Excel.Functions.SPG($L61, "SP_PE_FWD",U$2)</f>
        <v>#NAME?</v>
      </c>
      <c r="V61" s="80" t="e" cm="1">
        <f t="array" aca="1" ref="V61" ca="1">_xll.SNL.Clients.Office.Excel.Functions.SPG($L61, $V$3,V$2)</f>
        <v>#NAME?</v>
      </c>
      <c r="W61" s="81" t="e" cm="1">
        <f t="array" aca="1" ref="W61" ca="1">_xll.SNL.Clients.Office.Excel.Functions.SPG($L61, $V$3,W$2)</f>
        <v>#NAME?</v>
      </c>
      <c r="X61" s="82" t="e" cm="1">
        <f t="array" aca="1" ref="X61" ca="1">_xll.SNL.Clients.Office.Excel.Functions.SPG($L61, $V$3,X$2)</f>
        <v>#NAME?</v>
      </c>
      <c r="Y61" s="69" t="e" cm="1">
        <f t="array" aca="1" ref="Y61" ca="1">IF((_xll.SNL.Clients.Office.Excel.Functions.SPG($L61,Y$3,Y$4,"Options: Curr=USD") / _xll.SNL.Clients.Office.Excel.Functions.SPG($L61,"SP_EBITDA_EST",Y$2,"Options: Curr=USD")) &lt; 0, "NM", (_xll.SNL.Clients.Office.Excel.Functions.SPG($L61,Y$3,Y$4,"Options: Curr=USD") / _xll.SNL.Clients.Office.Excel.Functions.SPG($L61,"SP_EBITDA_EST",Y$2,"Options: Curr=USD")))</f>
        <v>#NAME?</v>
      </c>
      <c r="Z61" s="70" t="e" cm="1">
        <f t="array" aca="1" ref="Z61" ca="1">_xll.SNL.Clients.Office.Excel.Functions.SPG($L61, Z$3,Z$4)</f>
        <v>#NAME?</v>
      </c>
      <c r="AA61" s="77" t="str">
        <f ca="1">IFERROR(0.001*AVERAGE(_xll.SNL.Clients.Office.Excel.Functions.SPG($L61,$AA$4,"Au",AA$2),_xll.SNL.Clients.Office.Excel.Functions.SPG($L61,$AA$3,"Au",AA$2)),"NA")</f>
        <v>NA</v>
      </c>
      <c r="AB61" s="72" t="str">
        <f ca="1">IFERROR(0.001*AVERAGE(_xll.SNL.Clients.Office.Excel.Functions.SPG($L61,$AA$4,"Au",AB$2),_xll.SNL.Clients.Office.Excel.Functions.SPG($L61,$AA$3,"Au",AB$2)),"NA")</f>
        <v>NA</v>
      </c>
      <c r="AC61" s="78" t="str">
        <f ca="1">IFERROR(0.001*AVERAGE(_xll.SNL.Clients.Office.Excel.Functions.SPG($L61,$AA$4,"Au",AC$2),_xll.SNL.Clients.Office.Excel.Functions.SPG($L61,$AA$3,"Au",AC$2)),"NA")</f>
        <v>NA</v>
      </c>
      <c r="AD61" s="72" t="e">
        <f ca="1" xml:space="preserve"> IF(ISNUMBER(SEARCH("na",_xll.SNL.Clients.Office.Excel.Functions.SPG($L61, $AD$4, AD$2))), 0,_xll.SNL.Clients.Office.Excel.Functions.SPG($L61, $AD$4, AD$2))</f>
        <v>#NAME?</v>
      </c>
      <c r="AE61" s="72" t="e">
        <f ca="1" xml:space="preserve"> IF(ISNUMBER(SEARCH("na",_xll.SNL.Clients.Office.Excel.Functions.SPG($L61, $AD$4, AE$2))), 0,_xll.SNL.Clients.Office.Excel.Functions.SPG($L61, $AD$4, AE$2))</f>
        <v>#NAME?</v>
      </c>
      <c r="AF61" s="72" t="e">
        <f ca="1" xml:space="preserve"> IF(ISNUMBER(SEARCH("na",_xll.SNL.Clients.Office.Excel.Functions.SPG($L61, $AD$4, AF$2))), 0,_xll.SNL.Clients.Office.Excel.Functions.SPG($L61, $AD$4, AF$2))</f>
        <v>#NAME?</v>
      </c>
      <c r="AG61" s="72" t="e">
        <f ca="1" xml:space="preserve"> IF(ISNUMBER(SEARCH("na",_xll.SNL.Clients.Office.Excel.Functions.SPG($L61, $AG$4, AG$2))), 0,_xll.SNL.Clients.Office.Excel.Functions.SPG($L61, $AG$4, AG$2))</f>
        <v>#NAME?</v>
      </c>
      <c r="AH61" s="72" t="e">
        <f ca="1" xml:space="preserve"> IF(ISNUMBER(SEARCH("na",_xll.SNL.Clients.Office.Excel.Functions.SPG($L61, $AG$4, AH$2))), 0,_xll.SNL.Clients.Office.Excel.Functions.SPG($L61, $AG$4, AH$2))</f>
        <v>#NAME?</v>
      </c>
      <c r="AI61" s="72" t="e">
        <f ca="1" xml:space="preserve"> IF(ISNUMBER(SEARCH("na",_xll.SNL.Clients.Office.Excel.Functions.SPG($L61, $AG$4, AI$2))), 0,_xll.SNL.Clients.Office.Excel.Functions.SPG($L61, $AG$4, AI$2))</f>
        <v>#NAME?</v>
      </c>
      <c r="AJ61" s="72" t="e">
        <f ca="1" xml:space="preserve"> IF(ISNUMBER(SEARCH("na",_xll.SNL.Clients.Office.Excel.Functions.SPG($L61, $AJ$4, AJ$2))), 0,_xll.SNL.Clients.Office.Excel.Functions.SPG($L61, $AJ$4, AJ$2))</f>
        <v>#NAME?</v>
      </c>
      <c r="AK61" s="72" t="e">
        <f ca="1" xml:space="preserve"> IF(ISNUMBER(SEARCH("na",_xll.SNL.Clients.Office.Excel.Functions.SPG($L61, $AJ$4, AK$2))), 0,_xll.SNL.Clients.Office.Excel.Functions.SPG($L61, $AJ$4, AK$2))</f>
        <v>#NAME?</v>
      </c>
      <c r="AL61" s="72" t="e">
        <f ca="1" xml:space="preserve"> IF(ISNUMBER(SEARCH("na",_xll.SNL.Clients.Office.Excel.Functions.SPG($L61, $AJ$4, AL$2))), 0,_xll.SNL.Clients.Office.Excel.Functions.SPG($L61, $AJ$4, AL$2))</f>
        <v>#NAME?</v>
      </c>
      <c r="AM61" s="72" t="e">
        <f t="shared" ref="AM61:AM85" ca="1" si="308">AD61+AG61*agprice/auprice+AJ61*cuprice/auprice</f>
        <v>#NAME?</v>
      </c>
      <c r="AN61" s="72" t="e">
        <f t="shared" ref="AN61:AN85" ca="1" si="309">AE61+AH61*agprice/auprice+AK61*cuprice/auprice</f>
        <v>#NAME?</v>
      </c>
      <c r="AO61" s="72" t="e">
        <f t="shared" ref="AO61:AO85" ca="1" si="310">AF61+AI61*agprice/auprice+AL61*cuprice/auprice</f>
        <v>#NAME?</v>
      </c>
      <c r="AP61" s="83" t="str">
        <f t="shared" ca="1" si="219"/>
        <v>NA</v>
      </c>
      <c r="AQ61" s="84" t="str">
        <f t="shared" ca="1" si="219"/>
        <v>NA</v>
      </c>
      <c r="AR61" s="85" t="str">
        <f t="shared" ca="1" si="219"/>
        <v>NA</v>
      </c>
      <c r="AS61" s="72">
        <f ca="1">IFERROR(_xll.SNL.Clients.Office.Excel.Functions.SPG($L61, $AS$3, AS$2,$AS$4)/1000,0)</f>
        <v>0</v>
      </c>
      <c r="AT61" s="72">
        <f ca="1">IFERROR(_xll.SNL.Clients.Office.Excel.Functions.SPG($L61, $AS$3, AT$2,$AS$4)/1000,0)</f>
        <v>0</v>
      </c>
      <c r="AU61" s="72">
        <f ca="1">IFERROR(_xll.SNL.Clients.Office.Excel.Functions.SPG($L61, $AV$3, AU$2,$AS$4)/1000,0)</f>
        <v>0</v>
      </c>
      <c r="AV61" s="72">
        <f ca="1">IFERROR(_xll.SNL.Clients.Office.Excel.Functions.SPG($L61, $AV$3, AV$2,$AS$4)/1000,0)</f>
        <v>0</v>
      </c>
      <c r="AW61" s="72">
        <f ca="1">IFERROR(_xll.SNL.Clients.Office.Excel.Functions.SPG($L61, $AV$3, AW$2,$AS$4)/1000,0)</f>
        <v>0</v>
      </c>
      <c r="AX61" s="72">
        <f ca="1">IFERROR(_xll.SNL.Clients.Office.Excel.Functions.SPG($L61, $AX$3, AX$2,$AS$4)/1000,0)</f>
        <v>0</v>
      </c>
      <c r="AY61" s="72">
        <f ca="1">IFERROR(_xll.SNL.Clients.Office.Excel.Functions.SPG($L61, $AX$3, AY$2,$AS$4)/1000,0)</f>
        <v>0</v>
      </c>
      <c r="AZ61" s="72">
        <f ca="1">IFERROR(_xll.SNL.Clients.Office.Excel.Functions.SPG($L61, $BA$3, AZ$2,$AS$4)/1000,0)</f>
        <v>0</v>
      </c>
      <c r="BA61" s="72">
        <f ca="1">IFERROR(_xll.SNL.Clients.Office.Excel.Functions.SPG($L61, $BA$3, BA$2,$AS$4)/1000,0)</f>
        <v>0</v>
      </c>
      <c r="BB61" s="72">
        <f ca="1">IFERROR(_xll.SNL.Clients.Office.Excel.Functions.SPG($L61, $BA$3, BB$2,$AS$4)/1000,0)</f>
        <v>0</v>
      </c>
      <c r="BC61" s="72">
        <f ca="1">IFERROR(_xll.SNL.Clients.Office.Excel.Functions.SPG($L61, $BC$3, BC$2,$AS$4)/1000,0)</f>
        <v>0</v>
      </c>
      <c r="BD61" s="72">
        <f ca="1">IFERROR(_xll.SNL.Clients.Office.Excel.Functions.SPG($L61, $BC$3, BD$2,$AS$4)/1000,0)</f>
        <v>0</v>
      </c>
      <c r="BE61" s="72">
        <f ca="1">IFERROR(_xll.SNL.Clients.Office.Excel.Functions.SPG($L61, $BF$3, BE$2,$AS$4)/1000,0)</f>
        <v>0</v>
      </c>
      <c r="BF61" s="72">
        <f ca="1">IFERROR(_xll.SNL.Clients.Office.Excel.Functions.SPG($L61, $BF$3, BF$2,$AS$4)/1000,0)</f>
        <v>0</v>
      </c>
      <c r="BG61" s="72">
        <f ca="1">IFERROR(_xll.SNL.Clients.Office.Excel.Functions.SPG($L61, $BF$3, BG$2,$AS$4)/1000,0)</f>
        <v>0</v>
      </c>
      <c r="BH61" s="72">
        <f t="shared" ref="BH61:BH85" ca="1" si="311">AS61+AT61*agprice/auprice+AU61*cuprice/auprice+AV61*znprice/auprice+AW61*pbprice/auprice</f>
        <v>0</v>
      </c>
      <c r="BI61" s="72">
        <f t="shared" ref="BI61:BI85" ca="1" si="312">AX61+AY61*agprice/auprice+AZ61*cuprice/auprice+BA61*znprice/auprice+BB61*pbprice/auprice+BH61</f>
        <v>0</v>
      </c>
      <c r="BJ61" s="72">
        <f t="shared" ref="BJ61:BJ85" ca="1" si="313">BC61+BD61*agprice/auprice+BE61*cuprice/auprice+BF61*znprice/auprice+BG61*pbprice/auprice+BH61</f>
        <v>0</v>
      </c>
      <c r="BK61" s="77" t="e">
        <f t="shared" ca="1" si="223"/>
        <v>#NAME?</v>
      </c>
      <c r="BL61" s="72" t="e">
        <f t="shared" ca="1" si="223"/>
        <v>#NAME?</v>
      </c>
      <c r="BM61" s="78" t="e">
        <f t="shared" ca="1" si="223"/>
        <v>#NAME?</v>
      </c>
      <c r="BN61" s="72" t="e">
        <f ca="1">_xll.SNL.Clients.Office.Excel.Functions.SPG($L61, $BN$3, BN$2, "Au", "Options:Curr=USD")</f>
        <v>#NAME?</v>
      </c>
      <c r="BO61" s="72" t="e">
        <f ca="1">_xll.SNL.Clients.Office.Excel.Functions.SPG($L61, $BN$3, BO$2, "Au", "Options:Curr=USD")</f>
        <v>#NAME?</v>
      </c>
      <c r="BP61" s="72" t="e">
        <f ca="1">_xll.SNL.Clients.Office.Excel.Functions.SPG($L61, $BN$3, BP$2, "Au", "Options:Curr=USD")</f>
        <v>#NAME?</v>
      </c>
      <c r="BQ61" s="78" t="e">
        <f ca="1">_xll.SNL.Clients.Office.Excel.Functions.SPG($L61, $BN$3, BQ$2, "Au", "Options:Curr=USD")</f>
        <v>#NAME?</v>
      </c>
      <c r="BR61" s="72" t="str">
        <f ca="1">IFERROR(AVERAGE(_xll.SNL.Clients.Office.Excel.Functions.SPG($L61,$BR$4,"Au",BR$2, "Options:Curr=USD"),_xll.SNL.Clients.Office.Excel.Functions.SPG($L61,$BR$3,"Au",BR$2, "Options:Curr=USD")),"NA")</f>
        <v>NA</v>
      </c>
      <c r="BS61" s="72" t="str">
        <f ca="1">IFERROR(AVERAGE(_xll.SNL.Clients.Office.Excel.Functions.SPG($L61,$BR$4,"Au",BS$2, "Options:Curr=USD"),_xll.SNL.Clients.Office.Excel.Functions.SPG($L61,$BR$3,"Au",BS$2, "Options:Curr=USD")),"NA")</f>
        <v>NA</v>
      </c>
      <c r="BT61" s="78" t="str">
        <f ca="1">IFERROR(AVERAGE(_xll.SNL.Clients.Office.Excel.Functions.SPG($L61,$BR$4,"Au",BT$2, "Options:Curr=USD"),_xll.SNL.Clients.Office.Excel.Functions.SPG($L61,$BR$3,"Au",BT$2, "Options:Curr=USD")),"NA")</f>
        <v>NA</v>
      </c>
      <c r="BV61" s="36" t="s">
        <v>88</v>
      </c>
      <c r="BW61" s="36"/>
      <c r="BX61" s="36" t="s">
        <v>89</v>
      </c>
      <c r="BY61" s="36"/>
    </row>
    <row r="62" spans="1:77" ht="13.8" x14ac:dyDescent="0.25">
      <c r="A62" s="56" t="e">
        <f ca="1">_xll.SNL.Clients.Office.Excel.Functions.SPG($L62, A$3)</f>
        <v>#NAME?</v>
      </c>
      <c r="B62" s="56" t="e">
        <f ca="1">_xll.BDP($K62,B$3)</f>
        <v>#NAME?</v>
      </c>
      <c r="C62" s="56" t="e">
        <f ca="1">_xll.BDP($K62,C$3)</f>
        <v>#NAME?</v>
      </c>
      <c r="D62" s="56" t="e">
        <f ca="1">_xll.BDP($K62,D$3)</f>
        <v>#NAME?</v>
      </c>
      <c r="E62" s="57" t="s">
        <v>256</v>
      </c>
      <c r="F62" s="57" t="s">
        <v>83</v>
      </c>
      <c r="G62" s="57" t="s">
        <v>84</v>
      </c>
      <c r="H62" s="58" t="e">
        <f ca="1">_xll.SNL.Clients.Office.Excel.Functions.SPG($L62, "IQ_TEV", "Options: Curr=USD")</f>
        <v>#NAME?</v>
      </c>
      <c r="I62" s="58" t="e">
        <f ca="1">_xll.SNL.Clients.Office.Excel.Functions.SPG($L62, "SP_MARKETCAP", "Options: Curr=USD")</f>
        <v>#NAME?</v>
      </c>
      <c r="J62" s="59" t="s">
        <v>274</v>
      </c>
      <c r="K62" s="3" t="s">
        <v>275</v>
      </c>
      <c r="L62" s="3" t="s">
        <v>276</v>
      </c>
      <c r="M62" s="60" t="str" cm="1">
        <f t="array" aca="1" ref="M62" ca="1">IFERROR(_xll.SNL.Clients.Office.Excel.Functions.SPG($L62, $M$3)/100,"NA")</f>
        <v>NA</v>
      </c>
      <c r="N62" s="61" t="e" cm="1">
        <f t="array" aca="1" ref="N62" ca="1">_xll.SNL.Clients.Office.Excel.Functions.SPG($L62, "SP_PCFPS_FWD",N$2)</f>
        <v>#NAME?</v>
      </c>
      <c r="O62" s="62" t="e" cm="1">
        <f t="array" aca="1" ref="O62" ca="1">_xll.SNL.Clients.Office.Excel.Functions.SPG($L62, "SP_PCFPS_FWD",O$2)</f>
        <v>#NAME?</v>
      </c>
      <c r="P62" s="63" t="e" cm="1">
        <f t="array" aca="1" ref="P62" ca="1">_xll.SNL.Clients.Office.Excel.Functions.SPG($L62, "SP_PCFPS_FWD",P$2)</f>
        <v>#NAME?</v>
      </c>
      <c r="Q62" s="64" t="str">
        <f ca="1">IFERROR(_xll.SNL.Clients.Office.Excel.Functions.SPG($L62, "SP_FCF_EST",Q$2, "Options: Curr=USD")/1000/I62,"NA")</f>
        <v>NA</v>
      </c>
      <c r="R62" s="64" t="str">
        <f ca="1">IFERROR(_xll.SNL.Clients.Office.Excel.Functions.SPG($L62, "SP_FCF_EST",R$2, "Options: Curr=USD")/1000/I62,"NA")</f>
        <v>NA</v>
      </c>
      <c r="S62" s="64" t="e">
        <f ca="1">_xll.SNL.Clients.Office.Excel.Functions.SPG($L62, "SP_FCF_EST",S$2, "Options: Curr=USD")/1000/$I62</f>
        <v>#NAME?</v>
      </c>
      <c r="T62" s="61" t="e" cm="1">
        <f t="array" aca="1" ref="T62" ca="1">_xll.SNL.Clients.Office.Excel.Functions.SPG($L62, "SP_PE_FWD",T$2)</f>
        <v>#NAME?</v>
      </c>
      <c r="U62" s="63" t="e" cm="1">
        <f t="array" aca="1" ref="U62" ca="1">_xll.SNL.Clients.Office.Excel.Functions.SPG($L62, "SP_PE_FWD",U$2)</f>
        <v>#NAME?</v>
      </c>
      <c r="V62" s="80" t="e" cm="1">
        <f t="array" aca="1" ref="V62" ca="1">_xll.SNL.Clients.Office.Excel.Functions.SPG($L62, $V$3,V$2)</f>
        <v>#NAME?</v>
      </c>
      <c r="W62" s="81" t="e" cm="1">
        <f t="array" aca="1" ref="W62" ca="1">_xll.SNL.Clients.Office.Excel.Functions.SPG($L62, $V$3,W$2)</f>
        <v>#NAME?</v>
      </c>
      <c r="X62" s="82" t="e" cm="1">
        <f t="array" aca="1" ref="X62" ca="1">_xll.SNL.Clients.Office.Excel.Functions.SPG($L62, $V$3,X$2)</f>
        <v>#NAME?</v>
      </c>
      <c r="Y62" s="69" t="e" cm="1">
        <f t="array" aca="1" ref="Y62" ca="1">IF((_xll.SNL.Clients.Office.Excel.Functions.SPG($L62,Y$3,Y$4,"Options: Curr=USD") / _xll.SNL.Clients.Office.Excel.Functions.SPG($L62,"SP_EBITDA_EST",Y$2,"Options: Curr=USD")) &lt; 0, "NM", (_xll.SNL.Clients.Office.Excel.Functions.SPG($L62,Y$3,Y$4,"Options: Curr=USD") / _xll.SNL.Clients.Office.Excel.Functions.SPG($L62,"SP_EBITDA_EST",Y$2,"Options: Curr=USD")))</f>
        <v>#NAME?</v>
      </c>
      <c r="Z62" s="70" t="e" cm="1">
        <f t="array" aca="1" ref="Z62" ca="1">_xll.SNL.Clients.Office.Excel.Functions.SPG($L62, Z$3,Z$4)</f>
        <v>#NAME?</v>
      </c>
      <c r="AA62" s="77" t="str">
        <f ca="1">IFERROR(0.001*AVERAGE(_xll.SNL.Clients.Office.Excel.Functions.SPG($L62,$AA$4,"Au",AA$2),_xll.SNL.Clients.Office.Excel.Functions.SPG($L62,$AA$3,"Au",AA$2)),"NA")</f>
        <v>NA</v>
      </c>
      <c r="AB62" s="72" t="str">
        <f ca="1">IFERROR(0.001*AVERAGE(_xll.SNL.Clients.Office.Excel.Functions.SPG($L62,$AA$4,"Au",AB$2),_xll.SNL.Clients.Office.Excel.Functions.SPG($L62,$AA$3,"Au",AB$2)),"NA")</f>
        <v>NA</v>
      </c>
      <c r="AC62" s="78" t="str">
        <f ca="1">IFERROR(0.001*AVERAGE(_xll.SNL.Clients.Office.Excel.Functions.SPG($L62,$AA$4,"Au",AC$2),_xll.SNL.Clients.Office.Excel.Functions.SPG($L62,$AA$3,"Au",AC$2)),"NA")</f>
        <v>NA</v>
      </c>
      <c r="AD62" s="72" t="e">
        <f ca="1" xml:space="preserve"> IF(ISNUMBER(SEARCH("na",_xll.SNL.Clients.Office.Excel.Functions.SPG($L62, $AD$4, AD$2))), 0,_xll.SNL.Clients.Office.Excel.Functions.SPG($L62, $AD$4, AD$2))</f>
        <v>#NAME?</v>
      </c>
      <c r="AE62" s="72" t="e">
        <f ca="1" xml:space="preserve"> IF(ISNUMBER(SEARCH("na",_xll.SNL.Clients.Office.Excel.Functions.SPG($L62, $AD$4, AE$2))), 0,_xll.SNL.Clients.Office.Excel.Functions.SPG($L62, $AD$4, AE$2))</f>
        <v>#NAME?</v>
      </c>
      <c r="AF62" s="72" t="e">
        <f ca="1" xml:space="preserve"> IF(ISNUMBER(SEARCH("na",_xll.SNL.Clients.Office.Excel.Functions.SPG($L62, $AD$4, AF$2))), 0,_xll.SNL.Clients.Office.Excel.Functions.SPG($L62, $AD$4, AF$2))</f>
        <v>#NAME?</v>
      </c>
      <c r="AG62" s="72" t="e">
        <f ca="1" xml:space="preserve"> IF(ISNUMBER(SEARCH("na",_xll.SNL.Clients.Office.Excel.Functions.SPG($L62, $AG$4, AG$2))), 0,_xll.SNL.Clients.Office.Excel.Functions.SPG($L62, $AG$4, AG$2))</f>
        <v>#NAME?</v>
      </c>
      <c r="AH62" s="72" t="e">
        <f ca="1" xml:space="preserve"> IF(ISNUMBER(SEARCH("na",_xll.SNL.Clients.Office.Excel.Functions.SPG($L62, $AG$4, AH$2))), 0,_xll.SNL.Clients.Office.Excel.Functions.SPG($L62, $AG$4, AH$2))</f>
        <v>#NAME?</v>
      </c>
      <c r="AI62" s="72" t="e">
        <f ca="1" xml:space="preserve"> IF(ISNUMBER(SEARCH("na",_xll.SNL.Clients.Office.Excel.Functions.SPG($L62, $AG$4, AI$2))), 0,_xll.SNL.Clients.Office.Excel.Functions.SPG($L62, $AG$4, AI$2))</f>
        <v>#NAME?</v>
      </c>
      <c r="AJ62" s="72" t="e">
        <f ca="1" xml:space="preserve"> IF(ISNUMBER(SEARCH("na",_xll.SNL.Clients.Office.Excel.Functions.SPG($L62, $AJ$4, AJ$2))), 0,_xll.SNL.Clients.Office.Excel.Functions.SPG($L62, $AJ$4, AJ$2))</f>
        <v>#NAME?</v>
      </c>
      <c r="AK62" s="72" t="e">
        <f ca="1" xml:space="preserve"> IF(ISNUMBER(SEARCH("na",_xll.SNL.Clients.Office.Excel.Functions.SPG($L62, $AJ$4, AK$2))), 0,_xll.SNL.Clients.Office.Excel.Functions.SPG($L62, $AJ$4, AK$2))</f>
        <v>#NAME?</v>
      </c>
      <c r="AL62" s="72" t="e">
        <f ca="1" xml:space="preserve"> IF(ISNUMBER(SEARCH("na",_xll.SNL.Clients.Office.Excel.Functions.SPG($L62, $AJ$4, AL$2))), 0,_xll.SNL.Clients.Office.Excel.Functions.SPG($L62, $AJ$4, AL$2))</f>
        <v>#NAME?</v>
      </c>
      <c r="AM62" s="72" t="e">
        <f t="shared" ref="AM62:AM86" ca="1" si="314">AD62+AG62*agprice/auprice+AJ62*cuprice/auprice</f>
        <v>#NAME?</v>
      </c>
      <c r="AN62" s="72" t="e">
        <f t="shared" ref="AN62:AN86" ca="1" si="315">AE62+AH62*agprice/auprice+AK62*cuprice/auprice</f>
        <v>#NAME?</v>
      </c>
      <c r="AO62" s="72" t="e">
        <f t="shared" ref="AO62:AO86" ca="1" si="316">AF62+AI62*agprice/auprice+AL62*cuprice/auprice</f>
        <v>#NAME?</v>
      </c>
      <c r="AP62" s="83" t="str">
        <f t="shared" ca="1" si="219"/>
        <v>NA</v>
      </c>
      <c r="AQ62" s="84" t="str">
        <f t="shared" ca="1" si="219"/>
        <v>NA</v>
      </c>
      <c r="AR62" s="85" t="str">
        <f t="shared" ca="1" si="219"/>
        <v>NA</v>
      </c>
      <c r="AS62" s="72">
        <f ca="1">IFERROR(_xll.SNL.Clients.Office.Excel.Functions.SPG($L62, $AS$3, AS$2,$AS$4)/1000,0)</f>
        <v>0</v>
      </c>
      <c r="AT62" s="72">
        <f ca="1">IFERROR(_xll.SNL.Clients.Office.Excel.Functions.SPG($L62, $AS$3, AT$2,$AS$4)/1000,0)</f>
        <v>0</v>
      </c>
      <c r="AU62" s="72">
        <f ca="1">IFERROR(_xll.SNL.Clients.Office.Excel.Functions.SPG($L62, $AV$3, AU$2,$AS$4)/1000,0)</f>
        <v>0</v>
      </c>
      <c r="AV62" s="72">
        <f ca="1">IFERROR(_xll.SNL.Clients.Office.Excel.Functions.SPG($L62, $AV$3, AV$2,$AS$4)/1000,0)</f>
        <v>0</v>
      </c>
      <c r="AW62" s="72">
        <f ca="1">IFERROR(_xll.SNL.Clients.Office.Excel.Functions.SPG($L62, $AV$3, AW$2,$AS$4)/1000,0)</f>
        <v>0</v>
      </c>
      <c r="AX62" s="72">
        <f ca="1">IFERROR(_xll.SNL.Clients.Office.Excel.Functions.SPG($L62, $AX$3, AX$2,$AS$4)/1000,0)</f>
        <v>0</v>
      </c>
      <c r="AY62" s="72">
        <f ca="1">IFERROR(_xll.SNL.Clients.Office.Excel.Functions.SPG($L62, $AX$3, AY$2,$AS$4)/1000,0)</f>
        <v>0</v>
      </c>
      <c r="AZ62" s="72">
        <f ca="1">IFERROR(_xll.SNL.Clients.Office.Excel.Functions.SPG($L62, $BA$3, AZ$2,$AS$4)/1000,0)</f>
        <v>0</v>
      </c>
      <c r="BA62" s="72">
        <f ca="1">IFERROR(_xll.SNL.Clients.Office.Excel.Functions.SPG($L62, $BA$3, BA$2,$AS$4)/1000,0)</f>
        <v>0</v>
      </c>
      <c r="BB62" s="72">
        <f ca="1">IFERROR(_xll.SNL.Clients.Office.Excel.Functions.SPG($L62, $BA$3, BB$2,$AS$4)/1000,0)</f>
        <v>0</v>
      </c>
      <c r="BC62" s="72">
        <f ca="1">IFERROR(_xll.SNL.Clients.Office.Excel.Functions.SPG($L62, $BC$3, BC$2,$AS$4)/1000,0)</f>
        <v>0</v>
      </c>
      <c r="BD62" s="72">
        <f ca="1">IFERROR(_xll.SNL.Clients.Office.Excel.Functions.SPG($L62, $BC$3, BD$2,$AS$4)/1000,0)</f>
        <v>0</v>
      </c>
      <c r="BE62" s="72">
        <f ca="1">IFERROR(_xll.SNL.Clients.Office.Excel.Functions.SPG($L62, $BF$3, BE$2,$AS$4)/1000,0)</f>
        <v>0</v>
      </c>
      <c r="BF62" s="72">
        <f ca="1">IFERROR(_xll.SNL.Clients.Office.Excel.Functions.SPG($L62, $BF$3, BF$2,$AS$4)/1000,0)</f>
        <v>0</v>
      </c>
      <c r="BG62" s="72">
        <f ca="1">IFERROR(_xll.SNL.Clients.Office.Excel.Functions.SPG($L62, $BF$3, BG$2,$AS$4)/1000,0)</f>
        <v>0</v>
      </c>
      <c r="BH62" s="72">
        <f t="shared" ref="BH62:BH86" ca="1" si="317">AS62+AT62*agprice/auprice+AU62*cuprice/auprice+AV62*znprice/auprice+AW62*pbprice/auprice</f>
        <v>0</v>
      </c>
      <c r="BI62" s="72">
        <f t="shared" ref="BI62:BI86" ca="1" si="318">AX62+AY62*agprice/auprice+AZ62*cuprice/auprice+BA62*znprice/auprice+BB62*pbprice/auprice+BH62</f>
        <v>0</v>
      </c>
      <c r="BJ62" s="72">
        <f t="shared" ref="BJ62:BJ86" ca="1" si="319">BC62+BD62*agprice/auprice+BE62*cuprice/auprice+BF62*znprice/auprice+BG62*pbprice/auprice+BH62</f>
        <v>0</v>
      </c>
      <c r="BK62" s="77" t="e">
        <f t="shared" ca="1" si="223"/>
        <v>#NAME?</v>
      </c>
      <c r="BL62" s="72" t="e">
        <f t="shared" ca="1" si="223"/>
        <v>#NAME?</v>
      </c>
      <c r="BM62" s="78" t="e">
        <f t="shared" ca="1" si="223"/>
        <v>#NAME?</v>
      </c>
      <c r="BN62" s="72" t="e">
        <f ca="1">_xll.SNL.Clients.Office.Excel.Functions.SPG($L62, $BN$3, BN$2, "Au", "Options:Curr=USD")</f>
        <v>#NAME?</v>
      </c>
      <c r="BO62" s="72" t="e">
        <f ca="1">_xll.SNL.Clients.Office.Excel.Functions.SPG($L62, $BN$3, BO$2, "Au", "Options:Curr=USD")</f>
        <v>#NAME?</v>
      </c>
      <c r="BP62" s="72" t="e">
        <f ca="1">_xll.SNL.Clients.Office.Excel.Functions.SPG($L62, $BN$3, BP$2, "Au", "Options:Curr=USD")</f>
        <v>#NAME?</v>
      </c>
      <c r="BQ62" s="78" t="e">
        <f ca="1">_xll.SNL.Clients.Office.Excel.Functions.SPG($L62, $BN$3, BQ$2, "Au", "Options:Curr=USD")</f>
        <v>#NAME?</v>
      </c>
      <c r="BR62" s="72" t="str">
        <f ca="1">IFERROR(AVERAGE(_xll.SNL.Clients.Office.Excel.Functions.SPG($L62,$BR$4,"Au",BR$2, "Options:Curr=USD"),_xll.SNL.Clients.Office.Excel.Functions.SPG($L62,$BR$3,"Au",BR$2, "Options:Curr=USD")),"NA")</f>
        <v>NA</v>
      </c>
      <c r="BS62" s="72" t="str">
        <f ca="1">IFERROR(AVERAGE(_xll.SNL.Clients.Office.Excel.Functions.SPG($L62,$BR$4,"Au",BS$2, "Options:Curr=USD"),_xll.SNL.Clients.Office.Excel.Functions.SPG($L62,$BR$3,"Au",BS$2, "Options:Curr=USD")),"NA")</f>
        <v>NA</v>
      </c>
      <c r="BT62" s="78" t="str">
        <f ca="1">IFERROR(AVERAGE(_xll.SNL.Clients.Office.Excel.Functions.SPG($L62,$BR$4,"Au",BT$2, "Options:Curr=USD"),_xll.SNL.Clients.Office.Excel.Functions.SPG($L62,$BR$3,"Au",BT$2, "Options:Curr=USD")),"NA")</f>
        <v>NA</v>
      </c>
      <c r="BV62" s="36" t="s">
        <v>88</v>
      </c>
      <c r="BW62" s="36"/>
      <c r="BX62" s="36" t="s">
        <v>89</v>
      </c>
      <c r="BY62" s="36"/>
    </row>
    <row r="63" spans="1:77" ht="13.8" x14ac:dyDescent="0.25">
      <c r="A63" s="56" t="e">
        <f ca="1">_xll.SNL.Clients.Office.Excel.Functions.SPG($L63, A$3)</f>
        <v>#NAME?</v>
      </c>
      <c r="B63" s="56" t="e">
        <f ca="1">_xll.BDP($K63,B$3)</f>
        <v>#NAME?</v>
      </c>
      <c r="C63" s="56" t="e">
        <f ca="1">_xll.BDP($K63,C$3)</f>
        <v>#NAME?</v>
      </c>
      <c r="D63" s="56" t="e">
        <f ca="1">_xll.BDP($K63,D$3)</f>
        <v>#NAME?</v>
      </c>
      <c r="E63" s="57" t="s">
        <v>239</v>
      </c>
      <c r="F63" s="57" t="s">
        <v>107</v>
      </c>
      <c r="G63" s="57" t="s">
        <v>84</v>
      </c>
      <c r="H63" s="58" t="e">
        <f ca="1">_xll.SNL.Clients.Office.Excel.Functions.SPG($L63, "IQ_TEV", "Options: Curr=USD")</f>
        <v>#NAME?</v>
      </c>
      <c r="I63" s="58" t="e">
        <f ca="1">_xll.SNL.Clients.Office.Excel.Functions.SPG($L63, "SP_MARKETCAP", "Options: Curr=USD")</f>
        <v>#NAME?</v>
      </c>
      <c r="J63" s="59" t="s">
        <v>277</v>
      </c>
      <c r="K63" s="3" t="s">
        <v>278</v>
      </c>
      <c r="L63" s="3" t="s">
        <v>279</v>
      </c>
      <c r="M63" s="60" t="str" cm="1">
        <f t="array" aca="1" ref="M63" ca="1">IFERROR(_xll.SNL.Clients.Office.Excel.Functions.SPG($L63, $M$3)/100,"NA")</f>
        <v>NA</v>
      </c>
      <c r="N63" s="61" t="e" cm="1">
        <f t="array" aca="1" ref="N63" ca="1">_xll.SNL.Clients.Office.Excel.Functions.SPG($L63, "SP_PCFPS_FWD",N$2)</f>
        <v>#NAME?</v>
      </c>
      <c r="O63" s="62" t="e" cm="1">
        <f t="array" aca="1" ref="O63" ca="1">_xll.SNL.Clients.Office.Excel.Functions.SPG($L63, "SP_PCFPS_FWD",O$2)</f>
        <v>#NAME?</v>
      </c>
      <c r="P63" s="63" t="e" cm="1">
        <f t="array" aca="1" ref="P63" ca="1">_xll.SNL.Clients.Office.Excel.Functions.SPG($L63, "SP_PCFPS_FWD",P$2)</f>
        <v>#NAME?</v>
      </c>
      <c r="Q63" s="64" t="str">
        <f ca="1">IFERROR(_xll.SNL.Clients.Office.Excel.Functions.SPG($L63, "SP_FCF_EST",Q$2, "Options: Curr=USD")/1000/I63,"NA")</f>
        <v>NA</v>
      </c>
      <c r="R63" s="64" t="str">
        <f ca="1">IFERROR(_xll.SNL.Clients.Office.Excel.Functions.SPG($L63, "SP_FCF_EST",R$2, "Options: Curr=USD")/1000/I63,"NA")</f>
        <v>NA</v>
      </c>
      <c r="S63" s="64" t="e">
        <f ca="1">_xll.SNL.Clients.Office.Excel.Functions.SPG($L63, "SP_FCF_EST",S$2, "Options: Curr=USD")/1000/$I63</f>
        <v>#NAME?</v>
      </c>
      <c r="T63" s="61" t="e" cm="1">
        <f t="array" aca="1" ref="T63" ca="1">_xll.SNL.Clients.Office.Excel.Functions.SPG($L63, "SP_PE_FWD",T$2)</f>
        <v>#NAME?</v>
      </c>
      <c r="U63" s="63" t="e" cm="1">
        <f t="array" aca="1" ref="U63" ca="1">_xll.SNL.Clients.Office.Excel.Functions.SPG($L63, "SP_PE_FWD",U$2)</f>
        <v>#NAME?</v>
      </c>
      <c r="V63" s="80" t="e" cm="1">
        <f t="array" aca="1" ref="V63" ca="1">_xll.SNL.Clients.Office.Excel.Functions.SPG($L63, $V$3,V$2)</f>
        <v>#NAME?</v>
      </c>
      <c r="W63" s="81" t="e" cm="1">
        <f t="array" aca="1" ref="W63" ca="1">_xll.SNL.Clients.Office.Excel.Functions.SPG($L63, $V$3,W$2)</f>
        <v>#NAME?</v>
      </c>
      <c r="X63" s="82" t="e" cm="1">
        <f t="array" aca="1" ref="X63" ca="1">_xll.SNL.Clients.Office.Excel.Functions.SPG($L63, $V$3,X$2)</f>
        <v>#NAME?</v>
      </c>
      <c r="Y63" s="69" t="e" cm="1">
        <f t="array" aca="1" ref="Y63" ca="1">IF((_xll.SNL.Clients.Office.Excel.Functions.SPG($L63,Y$3,Y$4,"Options: Curr=USD") / _xll.SNL.Clients.Office.Excel.Functions.SPG($L63,"SP_EBITDA_EST",Y$2,"Options: Curr=USD")) &lt; 0, "NM", (_xll.SNL.Clients.Office.Excel.Functions.SPG($L63,Y$3,Y$4,"Options: Curr=USD") / _xll.SNL.Clients.Office.Excel.Functions.SPG($L63,"SP_EBITDA_EST",Y$2,"Options: Curr=USD")))</f>
        <v>#NAME?</v>
      </c>
      <c r="Z63" s="70" t="e" cm="1">
        <f t="array" aca="1" ref="Z63" ca="1">_xll.SNL.Clients.Office.Excel.Functions.SPG($L63, Z$3,Z$4)</f>
        <v>#NAME?</v>
      </c>
      <c r="AA63" s="77" t="str">
        <f ca="1">IFERROR(0.001*AVERAGE(_xll.SNL.Clients.Office.Excel.Functions.SPG($L63,$AA$4,"Au",AA$2),_xll.SNL.Clients.Office.Excel.Functions.SPG($L63,$AA$3,"Au",AA$2)),"NA")</f>
        <v>NA</v>
      </c>
      <c r="AB63" s="72" t="str">
        <f ca="1">IFERROR(0.001*AVERAGE(_xll.SNL.Clients.Office.Excel.Functions.SPG($L63,$AA$4,"Au",AB$2),_xll.SNL.Clients.Office.Excel.Functions.SPG($L63,$AA$3,"Au",AB$2)),"NA")</f>
        <v>NA</v>
      </c>
      <c r="AC63" s="78" t="str">
        <f ca="1">IFERROR(0.001*AVERAGE(_xll.SNL.Clients.Office.Excel.Functions.SPG($L63,$AA$4,"Au",AC$2),_xll.SNL.Clients.Office.Excel.Functions.SPG($L63,$AA$3,"Au",AC$2)),"NA")</f>
        <v>NA</v>
      </c>
      <c r="AD63" s="72" t="e">
        <f ca="1" xml:space="preserve"> IF(ISNUMBER(SEARCH("na",_xll.SNL.Clients.Office.Excel.Functions.SPG($L63, $AD$4, AD$2))), 0,_xll.SNL.Clients.Office.Excel.Functions.SPG($L63, $AD$4, AD$2))</f>
        <v>#NAME?</v>
      </c>
      <c r="AE63" s="72" t="e">
        <f ca="1" xml:space="preserve"> IF(ISNUMBER(SEARCH("na",_xll.SNL.Clients.Office.Excel.Functions.SPG($L63, $AD$4, AE$2))), 0,_xll.SNL.Clients.Office.Excel.Functions.SPG($L63, $AD$4, AE$2))</f>
        <v>#NAME?</v>
      </c>
      <c r="AF63" s="72" t="e">
        <f ca="1" xml:space="preserve"> IF(ISNUMBER(SEARCH("na",_xll.SNL.Clients.Office.Excel.Functions.SPG($L63, $AD$4, AF$2))), 0,_xll.SNL.Clients.Office.Excel.Functions.SPG($L63, $AD$4, AF$2))</f>
        <v>#NAME?</v>
      </c>
      <c r="AG63" s="72" t="e">
        <f ca="1" xml:space="preserve"> IF(ISNUMBER(SEARCH("na",_xll.SNL.Clients.Office.Excel.Functions.SPG($L63, $AG$4, AG$2))), 0,_xll.SNL.Clients.Office.Excel.Functions.SPG($L63, $AG$4, AG$2))</f>
        <v>#NAME?</v>
      </c>
      <c r="AH63" s="72" t="e">
        <f ca="1" xml:space="preserve"> IF(ISNUMBER(SEARCH("na",_xll.SNL.Clients.Office.Excel.Functions.SPG($L63, $AG$4, AH$2))), 0,_xll.SNL.Clients.Office.Excel.Functions.SPG($L63, $AG$4, AH$2))</f>
        <v>#NAME?</v>
      </c>
      <c r="AI63" s="72" t="e">
        <f ca="1" xml:space="preserve"> IF(ISNUMBER(SEARCH("na",_xll.SNL.Clients.Office.Excel.Functions.SPG($L63, $AG$4, AI$2))), 0,_xll.SNL.Clients.Office.Excel.Functions.SPG($L63, $AG$4, AI$2))</f>
        <v>#NAME?</v>
      </c>
      <c r="AJ63" s="72" t="e">
        <f ca="1" xml:space="preserve"> IF(ISNUMBER(SEARCH("na",_xll.SNL.Clients.Office.Excel.Functions.SPG($L63, $AJ$4, AJ$2))), 0,_xll.SNL.Clients.Office.Excel.Functions.SPG($L63, $AJ$4, AJ$2))</f>
        <v>#NAME?</v>
      </c>
      <c r="AK63" s="72" t="e">
        <f ca="1" xml:space="preserve"> IF(ISNUMBER(SEARCH("na",_xll.SNL.Clients.Office.Excel.Functions.SPG($L63, $AJ$4, AK$2))), 0,_xll.SNL.Clients.Office.Excel.Functions.SPG($L63, $AJ$4, AK$2))</f>
        <v>#NAME?</v>
      </c>
      <c r="AL63" s="72" t="e">
        <f ca="1" xml:space="preserve"> IF(ISNUMBER(SEARCH("na",_xll.SNL.Clients.Office.Excel.Functions.SPG($L63, $AJ$4, AL$2))), 0,_xll.SNL.Clients.Office.Excel.Functions.SPG($L63, $AJ$4, AL$2))</f>
        <v>#NAME?</v>
      </c>
      <c r="AM63" s="72" t="e">
        <f t="shared" ref="AM63:AM87" ca="1" si="320">AD63+AG63*agprice/auprice+AJ63*cuprice/auprice</f>
        <v>#NAME?</v>
      </c>
      <c r="AN63" s="72" t="e">
        <f t="shared" ref="AN63:AN87" ca="1" si="321">AE63+AH63*agprice/auprice+AK63*cuprice/auprice</f>
        <v>#NAME?</v>
      </c>
      <c r="AO63" s="72" t="e">
        <f t="shared" ref="AO63:AO87" ca="1" si="322">AF63+AI63*agprice/auprice+AL63*cuprice/auprice</f>
        <v>#NAME?</v>
      </c>
      <c r="AP63" s="83" t="str">
        <f t="shared" ca="1" si="219"/>
        <v>NA</v>
      </c>
      <c r="AQ63" s="84" t="str">
        <f t="shared" ca="1" si="219"/>
        <v>NA</v>
      </c>
      <c r="AR63" s="85" t="str">
        <f t="shared" ca="1" si="219"/>
        <v>NA</v>
      </c>
      <c r="AS63" s="72">
        <f ca="1">IFERROR(_xll.SNL.Clients.Office.Excel.Functions.SPG($L63, $AS$3, AS$2,$AS$4)/1000,0)</f>
        <v>0</v>
      </c>
      <c r="AT63" s="72">
        <f ca="1">IFERROR(_xll.SNL.Clients.Office.Excel.Functions.SPG($L63, $AS$3, AT$2,$AS$4)/1000,0)</f>
        <v>0</v>
      </c>
      <c r="AU63" s="72">
        <f ca="1">IFERROR(_xll.SNL.Clients.Office.Excel.Functions.SPG($L63, $AV$3, AU$2,$AS$4)/1000,0)</f>
        <v>0</v>
      </c>
      <c r="AV63" s="72">
        <f ca="1">IFERROR(_xll.SNL.Clients.Office.Excel.Functions.SPG($L63, $AV$3, AV$2,$AS$4)/1000,0)</f>
        <v>0</v>
      </c>
      <c r="AW63" s="72">
        <f ca="1">IFERROR(_xll.SNL.Clients.Office.Excel.Functions.SPG($L63, $AV$3, AW$2,$AS$4)/1000,0)</f>
        <v>0</v>
      </c>
      <c r="AX63" s="72">
        <f ca="1">IFERROR(_xll.SNL.Clients.Office.Excel.Functions.SPG($L63, $AX$3, AX$2,$AS$4)/1000,0)</f>
        <v>0</v>
      </c>
      <c r="AY63" s="72">
        <f ca="1">IFERROR(_xll.SNL.Clients.Office.Excel.Functions.SPG($L63, $AX$3, AY$2,$AS$4)/1000,0)</f>
        <v>0</v>
      </c>
      <c r="AZ63" s="72">
        <f ca="1">IFERROR(_xll.SNL.Clients.Office.Excel.Functions.SPG($L63, $BA$3, AZ$2,$AS$4)/1000,0)</f>
        <v>0</v>
      </c>
      <c r="BA63" s="72">
        <f ca="1">IFERROR(_xll.SNL.Clients.Office.Excel.Functions.SPG($L63, $BA$3, BA$2,$AS$4)/1000,0)</f>
        <v>0</v>
      </c>
      <c r="BB63" s="72">
        <f ca="1">IFERROR(_xll.SNL.Clients.Office.Excel.Functions.SPG($L63, $BA$3, BB$2,$AS$4)/1000,0)</f>
        <v>0</v>
      </c>
      <c r="BC63" s="72">
        <f ca="1">IFERROR(_xll.SNL.Clients.Office.Excel.Functions.SPG($L63, $BC$3, BC$2,$AS$4)/1000,0)</f>
        <v>0</v>
      </c>
      <c r="BD63" s="72">
        <f ca="1">IFERROR(_xll.SNL.Clients.Office.Excel.Functions.SPG($L63, $BC$3, BD$2,$AS$4)/1000,0)</f>
        <v>0</v>
      </c>
      <c r="BE63" s="72">
        <f ca="1">IFERROR(_xll.SNL.Clients.Office.Excel.Functions.SPG($L63, $BF$3, BE$2,$AS$4)/1000,0)</f>
        <v>0</v>
      </c>
      <c r="BF63" s="72">
        <f ca="1">IFERROR(_xll.SNL.Clients.Office.Excel.Functions.SPG($L63, $BF$3, BF$2,$AS$4)/1000,0)</f>
        <v>0</v>
      </c>
      <c r="BG63" s="72">
        <f ca="1">IFERROR(_xll.SNL.Clients.Office.Excel.Functions.SPG($L63, $BF$3, BG$2,$AS$4)/1000,0)</f>
        <v>0</v>
      </c>
      <c r="BH63" s="72">
        <f t="shared" ref="BH63:BH87" ca="1" si="323">AS63+AT63*agprice/auprice+AU63*cuprice/auprice+AV63*znprice/auprice+AW63*pbprice/auprice</f>
        <v>0</v>
      </c>
      <c r="BI63" s="72">
        <f t="shared" ref="BI63:BI87" ca="1" si="324">AX63+AY63*agprice/auprice+AZ63*cuprice/auprice+BA63*znprice/auprice+BB63*pbprice/auprice+BH63</f>
        <v>0</v>
      </c>
      <c r="BJ63" s="72">
        <f t="shared" ref="BJ63:BJ87" ca="1" si="325">BC63+BD63*agprice/auprice+BE63*cuprice/auprice+BF63*znprice/auprice+BG63*pbprice/auprice+BH63</f>
        <v>0</v>
      </c>
      <c r="BK63" s="77" t="e">
        <f t="shared" ca="1" si="223"/>
        <v>#NAME?</v>
      </c>
      <c r="BL63" s="72" t="e">
        <f t="shared" ca="1" si="223"/>
        <v>#NAME?</v>
      </c>
      <c r="BM63" s="78" t="e">
        <f t="shared" ca="1" si="223"/>
        <v>#NAME?</v>
      </c>
      <c r="BN63" s="72" t="e">
        <f ca="1">_xll.SNL.Clients.Office.Excel.Functions.SPG($L63, $BN$3, BN$2, "Au", "Options:Curr=USD")</f>
        <v>#NAME?</v>
      </c>
      <c r="BO63" s="72" t="e">
        <f ca="1">_xll.SNL.Clients.Office.Excel.Functions.SPG($L63, $BN$3, BO$2, "Au", "Options:Curr=USD")</f>
        <v>#NAME?</v>
      </c>
      <c r="BP63" s="72" t="e">
        <f ca="1">_xll.SNL.Clients.Office.Excel.Functions.SPG($L63, $BN$3, BP$2, "Au", "Options:Curr=USD")</f>
        <v>#NAME?</v>
      </c>
      <c r="BQ63" s="78" t="e">
        <f ca="1">_xll.SNL.Clients.Office.Excel.Functions.SPG($L63, $BN$3, BQ$2, "Au", "Options:Curr=USD")</f>
        <v>#NAME?</v>
      </c>
      <c r="BR63" s="72" t="str">
        <f ca="1">IFERROR(AVERAGE(_xll.SNL.Clients.Office.Excel.Functions.SPG($L63,$BR$4,"Au",BR$2, "Options:Curr=USD"),_xll.SNL.Clients.Office.Excel.Functions.SPG($L63,$BR$3,"Au",BR$2, "Options:Curr=USD")),"NA")</f>
        <v>NA</v>
      </c>
      <c r="BS63" s="72" t="str">
        <f ca="1">IFERROR(AVERAGE(_xll.SNL.Clients.Office.Excel.Functions.SPG($L63,$BR$4,"Au",BS$2, "Options:Curr=USD"),_xll.SNL.Clients.Office.Excel.Functions.SPG($L63,$BR$3,"Au",BS$2, "Options:Curr=USD")),"NA")</f>
        <v>NA</v>
      </c>
      <c r="BT63" s="78" t="str">
        <f ca="1">IFERROR(AVERAGE(_xll.SNL.Clients.Office.Excel.Functions.SPG($L63,$BR$4,"Au",BT$2, "Options:Curr=USD"),_xll.SNL.Clients.Office.Excel.Functions.SPG($L63,$BR$3,"Au",BT$2, "Options:Curr=USD")),"NA")</f>
        <v>NA</v>
      </c>
      <c r="BV63" s="36" t="s">
        <v>88</v>
      </c>
      <c r="BW63" s="36"/>
      <c r="BX63" s="36" t="s">
        <v>89</v>
      </c>
      <c r="BY63" s="36"/>
    </row>
    <row r="64" spans="1:77" ht="13.8" x14ac:dyDescent="0.25">
      <c r="A64" s="56" t="e">
        <f ca="1">_xll.SNL.Clients.Office.Excel.Functions.SPG($L64, A$3)</f>
        <v>#NAME?</v>
      </c>
      <c r="B64" s="56" t="e">
        <f ca="1">_xll.BDP($K64,B$3)</f>
        <v>#NAME?</v>
      </c>
      <c r="C64" s="56" t="e">
        <f ca="1">_xll.BDP($K64,C$3)</f>
        <v>#NAME?</v>
      </c>
      <c r="D64" s="56" t="e">
        <f ca="1">_xll.BDP($K64,D$3)</f>
        <v>#NAME?</v>
      </c>
      <c r="E64" s="57" t="s">
        <v>280</v>
      </c>
      <c r="F64" s="57" t="s">
        <v>107</v>
      </c>
      <c r="G64" s="57" t="s">
        <v>118</v>
      </c>
      <c r="H64" s="58" t="e">
        <f ca="1">_xll.SNL.Clients.Office.Excel.Functions.SPG($L64, "IQ_TEV", "Options: Curr=USD")</f>
        <v>#NAME?</v>
      </c>
      <c r="I64" s="58" t="e">
        <f ca="1">_xll.SNL.Clients.Office.Excel.Functions.SPG($L64, "SP_MARKETCAP", "Options: Curr=USD")</f>
        <v>#NAME?</v>
      </c>
      <c r="J64" s="59" t="s">
        <v>281</v>
      </c>
      <c r="K64" s="3" t="s">
        <v>282</v>
      </c>
      <c r="L64" s="3" t="s">
        <v>283</v>
      </c>
      <c r="M64" s="60" t="str" cm="1">
        <f t="array" aca="1" ref="M64" ca="1">IFERROR(_xll.SNL.Clients.Office.Excel.Functions.SPG($L64, $M$3)/100,"NA")</f>
        <v>NA</v>
      </c>
      <c r="N64" s="61" t="e" cm="1">
        <f t="array" aca="1" ref="N64" ca="1">_xll.SNL.Clients.Office.Excel.Functions.SPG($L64, "SP_PCFPS_FWD",N$2)</f>
        <v>#NAME?</v>
      </c>
      <c r="O64" s="62" t="e" cm="1">
        <f t="array" aca="1" ref="O64" ca="1">_xll.SNL.Clients.Office.Excel.Functions.SPG($L64, "SP_PCFPS_FWD",O$2)</f>
        <v>#NAME?</v>
      </c>
      <c r="P64" s="63" t="e" cm="1">
        <f t="array" aca="1" ref="P64" ca="1">_xll.SNL.Clients.Office.Excel.Functions.SPG($L64, "SP_PCFPS_FWD",P$2)</f>
        <v>#NAME?</v>
      </c>
      <c r="Q64" s="64" t="str">
        <f ca="1">IFERROR(_xll.SNL.Clients.Office.Excel.Functions.SPG($L64, "SP_FCF_EST",Q$2, "Options: Curr=USD")/1000/I64,"NA")</f>
        <v>NA</v>
      </c>
      <c r="R64" s="64" t="str">
        <f ca="1">IFERROR(_xll.SNL.Clients.Office.Excel.Functions.SPG($L64, "SP_FCF_EST",R$2, "Options: Curr=USD")/1000/I64,"NA")</f>
        <v>NA</v>
      </c>
      <c r="S64" s="64" t="e">
        <f ca="1">_xll.SNL.Clients.Office.Excel.Functions.SPG($L64, "SP_FCF_EST",S$2, "Options: Curr=USD")/1000/$I64</f>
        <v>#NAME?</v>
      </c>
      <c r="T64" s="61" t="e" cm="1">
        <f t="array" aca="1" ref="T64" ca="1">_xll.SNL.Clients.Office.Excel.Functions.SPG($L64, "SP_PE_FWD",T$2)</f>
        <v>#NAME?</v>
      </c>
      <c r="U64" s="63" t="e" cm="1">
        <f t="array" aca="1" ref="U64" ca="1">_xll.SNL.Clients.Office.Excel.Functions.SPG($L64, "SP_PE_FWD",U$2)</f>
        <v>#NAME?</v>
      </c>
      <c r="V64" s="80" t="e" cm="1">
        <f t="array" aca="1" ref="V64" ca="1">_xll.SNL.Clients.Office.Excel.Functions.SPG($L64, $V$3,V$2)</f>
        <v>#NAME?</v>
      </c>
      <c r="W64" s="81" t="e" cm="1">
        <f t="array" aca="1" ref="W64" ca="1">_xll.SNL.Clients.Office.Excel.Functions.SPG($L64, $V$3,W$2)</f>
        <v>#NAME?</v>
      </c>
      <c r="X64" s="82" t="e" cm="1">
        <f t="array" aca="1" ref="X64" ca="1">_xll.SNL.Clients.Office.Excel.Functions.SPG($L64, $V$3,X$2)</f>
        <v>#NAME?</v>
      </c>
      <c r="Y64" s="69" t="e" cm="1">
        <f t="array" aca="1" ref="Y64" ca="1">IF((_xll.SNL.Clients.Office.Excel.Functions.SPG($L64,Y$3,Y$4,"Options: Curr=USD") / _xll.SNL.Clients.Office.Excel.Functions.SPG($L64,"SP_EBITDA_EST",Y$2,"Options: Curr=USD")) &lt; 0, "NM", (_xll.SNL.Clients.Office.Excel.Functions.SPG($L64,Y$3,Y$4,"Options: Curr=USD") / _xll.SNL.Clients.Office.Excel.Functions.SPG($L64,"SP_EBITDA_EST",Y$2,"Options: Curr=USD")))</f>
        <v>#NAME?</v>
      </c>
      <c r="Z64" s="70" t="e" cm="1">
        <f t="array" aca="1" ref="Z64" ca="1">_xll.SNL.Clients.Office.Excel.Functions.SPG($L64, Z$3,Z$4)</f>
        <v>#NAME?</v>
      </c>
      <c r="AA64" s="77" t="str">
        <f ca="1">IFERROR(0.001*AVERAGE(_xll.SNL.Clients.Office.Excel.Functions.SPG($L64,$AA$4,"Au",AA$2),_xll.SNL.Clients.Office.Excel.Functions.SPG($L64,$AA$3,"Au",AA$2)),"NA")</f>
        <v>NA</v>
      </c>
      <c r="AB64" s="72" t="str">
        <f ca="1">IFERROR(0.001*AVERAGE(_xll.SNL.Clients.Office.Excel.Functions.SPG($L64,$AA$4,"Au",AB$2),_xll.SNL.Clients.Office.Excel.Functions.SPG($L64,$AA$3,"Au",AB$2)),"NA")</f>
        <v>NA</v>
      </c>
      <c r="AC64" s="78" t="str">
        <f ca="1">IFERROR(0.001*AVERAGE(_xll.SNL.Clients.Office.Excel.Functions.SPG($L64,$AA$4,"Au",AC$2),_xll.SNL.Clients.Office.Excel.Functions.SPG($L64,$AA$3,"Au",AC$2)),"NA")</f>
        <v>NA</v>
      </c>
      <c r="AD64" s="72" t="e">
        <f ca="1" xml:space="preserve"> IF(ISNUMBER(SEARCH("na",_xll.SNL.Clients.Office.Excel.Functions.SPG($L64, $AD$4, AD$2))), 0,_xll.SNL.Clients.Office.Excel.Functions.SPG($L64, $AD$4, AD$2))</f>
        <v>#NAME?</v>
      </c>
      <c r="AE64" s="72" t="e">
        <f ca="1" xml:space="preserve"> IF(ISNUMBER(SEARCH("na",_xll.SNL.Clients.Office.Excel.Functions.SPG($L64, $AD$4, AE$2))), 0,_xll.SNL.Clients.Office.Excel.Functions.SPG($L64, $AD$4, AE$2))</f>
        <v>#NAME?</v>
      </c>
      <c r="AF64" s="72" t="e">
        <f ca="1" xml:space="preserve"> IF(ISNUMBER(SEARCH("na",_xll.SNL.Clients.Office.Excel.Functions.SPG($L64, $AD$4, AF$2))), 0,_xll.SNL.Clients.Office.Excel.Functions.SPG($L64, $AD$4, AF$2))</f>
        <v>#NAME?</v>
      </c>
      <c r="AG64" s="72" t="e">
        <f ca="1" xml:space="preserve"> IF(ISNUMBER(SEARCH("na",_xll.SNL.Clients.Office.Excel.Functions.SPG($L64, $AG$4, AG$2))), 0,_xll.SNL.Clients.Office.Excel.Functions.SPG($L64, $AG$4, AG$2))</f>
        <v>#NAME?</v>
      </c>
      <c r="AH64" s="72" t="e">
        <f ca="1" xml:space="preserve"> IF(ISNUMBER(SEARCH("na",_xll.SNL.Clients.Office.Excel.Functions.SPG($L64, $AG$4, AH$2))), 0,_xll.SNL.Clients.Office.Excel.Functions.SPG($L64, $AG$4, AH$2))</f>
        <v>#NAME?</v>
      </c>
      <c r="AI64" s="72" t="e">
        <f ca="1" xml:space="preserve"> IF(ISNUMBER(SEARCH("na",_xll.SNL.Clients.Office.Excel.Functions.SPG($L64, $AG$4, AI$2))), 0,_xll.SNL.Clients.Office.Excel.Functions.SPG($L64, $AG$4, AI$2))</f>
        <v>#NAME?</v>
      </c>
      <c r="AJ64" s="72" t="e">
        <f ca="1" xml:space="preserve"> IF(ISNUMBER(SEARCH("na",_xll.SNL.Clients.Office.Excel.Functions.SPG($L64, $AJ$4, AJ$2))), 0,_xll.SNL.Clients.Office.Excel.Functions.SPG($L64, $AJ$4, AJ$2))</f>
        <v>#NAME?</v>
      </c>
      <c r="AK64" s="72" t="e">
        <f ca="1" xml:space="preserve"> IF(ISNUMBER(SEARCH("na",_xll.SNL.Clients.Office.Excel.Functions.SPG($L64, $AJ$4, AK$2))), 0,_xll.SNL.Clients.Office.Excel.Functions.SPG($L64, $AJ$4, AK$2))</f>
        <v>#NAME?</v>
      </c>
      <c r="AL64" s="72" t="e">
        <f ca="1" xml:space="preserve"> IF(ISNUMBER(SEARCH("na",_xll.SNL.Clients.Office.Excel.Functions.SPG($L64, $AJ$4, AL$2))), 0,_xll.SNL.Clients.Office.Excel.Functions.SPG($L64, $AJ$4, AL$2))</f>
        <v>#NAME?</v>
      </c>
      <c r="AM64" s="72" t="e">
        <f t="shared" ref="AM64:AM88" ca="1" si="326">AD64+AG64*agprice/auprice+AJ64*cuprice/auprice</f>
        <v>#NAME?</v>
      </c>
      <c r="AN64" s="72" t="e">
        <f t="shared" ref="AN64:AN88" ca="1" si="327">AE64+AH64*agprice/auprice+AK64*cuprice/auprice</f>
        <v>#NAME?</v>
      </c>
      <c r="AO64" s="72" t="e">
        <f t="shared" ref="AO64:AO88" ca="1" si="328">AF64+AI64*agprice/auprice+AL64*cuprice/auprice</f>
        <v>#NAME?</v>
      </c>
      <c r="AP64" s="83" t="str">
        <f t="shared" ca="1" si="219"/>
        <v>NA</v>
      </c>
      <c r="AQ64" s="84" t="str">
        <f t="shared" ca="1" si="219"/>
        <v>NA</v>
      </c>
      <c r="AR64" s="85" t="str">
        <f t="shared" ca="1" si="219"/>
        <v>NA</v>
      </c>
      <c r="AS64" s="72">
        <f ca="1">IFERROR(_xll.SNL.Clients.Office.Excel.Functions.SPG($L64, $AS$3, AS$2,$AS$4)/1000,0)</f>
        <v>0</v>
      </c>
      <c r="AT64" s="72">
        <f ca="1">IFERROR(_xll.SNL.Clients.Office.Excel.Functions.SPG($L64, $AS$3, AT$2,$AS$4)/1000,0)</f>
        <v>0</v>
      </c>
      <c r="AU64" s="72">
        <f ca="1">IFERROR(_xll.SNL.Clients.Office.Excel.Functions.SPG($L64, $AV$3, AU$2,$AS$4)/1000,0)</f>
        <v>0</v>
      </c>
      <c r="AV64" s="72">
        <f ca="1">IFERROR(_xll.SNL.Clients.Office.Excel.Functions.SPG($L64, $AV$3, AV$2,$AS$4)/1000,0)</f>
        <v>0</v>
      </c>
      <c r="AW64" s="72">
        <f ca="1">IFERROR(_xll.SNL.Clients.Office.Excel.Functions.SPG($L64, $AV$3, AW$2,$AS$4)/1000,0)</f>
        <v>0</v>
      </c>
      <c r="AX64" s="72">
        <f ca="1">IFERROR(_xll.SNL.Clients.Office.Excel.Functions.SPG($L64, $AX$3, AX$2,$AS$4)/1000,0)</f>
        <v>0</v>
      </c>
      <c r="AY64" s="72">
        <f ca="1">IFERROR(_xll.SNL.Clients.Office.Excel.Functions.SPG($L64, $AX$3, AY$2,$AS$4)/1000,0)</f>
        <v>0</v>
      </c>
      <c r="AZ64" s="72">
        <f ca="1">IFERROR(_xll.SNL.Clients.Office.Excel.Functions.SPG($L64, $BA$3, AZ$2,$AS$4)/1000,0)</f>
        <v>0</v>
      </c>
      <c r="BA64" s="72">
        <f ca="1">IFERROR(_xll.SNL.Clients.Office.Excel.Functions.SPG($L64, $BA$3, BA$2,$AS$4)/1000,0)</f>
        <v>0</v>
      </c>
      <c r="BB64" s="72">
        <f ca="1">IFERROR(_xll.SNL.Clients.Office.Excel.Functions.SPG($L64, $BA$3, BB$2,$AS$4)/1000,0)</f>
        <v>0</v>
      </c>
      <c r="BC64" s="72">
        <f ca="1">IFERROR(_xll.SNL.Clients.Office.Excel.Functions.SPG($L64, $BC$3, BC$2,$AS$4)/1000,0)</f>
        <v>0</v>
      </c>
      <c r="BD64" s="72">
        <f ca="1">IFERROR(_xll.SNL.Clients.Office.Excel.Functions.SPG($L64, $BC$3, BD$2,$AS$4)/1000,0)</f>
        <v>0</v>
      </c>
      <c r="BE64" s="72">
        <f ca="1">IFERROR(_xll.SNL.Clients.Office.Excel.Functions.SPG($L64, $BF$3, BE$2,$AS$4)/1000,0)</f>
        <v>0</v>
      </c>
      <c r="BF64" s="72">
        <f ca="1">IFERROR(_xll.SNL.Clients.Office.Excel.Functions.SPG($L64, $BF$3, BF$2,$AS$4)/1000,0)</f>
        <v>0</v>
      </c>
      <c r="BG64" s="72">
        <f ca="1">IFERROR(_xll.SNL.Clients.Office.Excel.Functions.SPG($L64, $BF$3, BG$2,$AS$4)/1000,0)</f>
        <v>0</v>
      </c>
      <c r="BH64" s="72">
        <f t="shared" ref="BH64:BH88" ca="1" si="329">AS64+AT64*agprice/auprice+AU64*cuprice/auprice+AV64*znprice/auprice+AW64*pbprice/auprice</f>
        <v>0</v>
      </c>
      <c r="BI64" s="72">
        <f t="shared" ref="BI64:BI88" ca="1" si="330">AX64+AY64*agprice/auprice+AZ64*cuprice/auprice+BA64*znprice/auprice+BB64*pbprice/auprice+BH64</f>
        <v>0</v>
      </c>
      <c r="BJ64" s="72">
        <f t="shared" ref="BJ64:BJ88" ca="1" si="331">BC64+BD64*agprice/auprice+BE64*cuprice/auprice+BF64*znprice/auprice+BG64*pbprice/auprice+BH64</f>
        <v>0</v>
      </c>
      <c r="BK64" s="77" t="e">
        <f t="shared" ca="1" si="223"/>
        <v>#NAME?</v>
      </c>
      <c r="BL64" s="72" t="e">
        <f t="shared" ca="1" si="223"/>
        <v>#NAME?</v>
      </c>
      <c r="BM64" s="78" t="e">
        <f t="shared" ca="1" si="223"/>
        <v>#NAME?</v>
      </c>
      <c r="BN64" s="72" t="e">
        <f ca="1">_xll.SNL.Clients.Office.Excel.Functions.SPG($L64, $BN$3, BN$2, "Au", "Options:Curr=USD")</f>
        <v>#NAME?</v>
      </c>
      <c r="BO64" s="72" t="e">
        <f ca="1">_xll.SNL.Clients.Office.Excel.Functions.SPG($L64, $BN$3, BO$2, "Au", "Options:Curr=USD")</f>
        <v>#NAME?</v>
      </c>
      <c r="BP64" s="72" t="e">
        <f ca="1">_xll.SNL.Clients.Office.Excel.Functions.SPG($L64, $BN$3, BP$2, "Au", "Options:Curr=USD")</f>
        <v>#NAME?</v>
      </c>
      <c r="BQ64" s="78" t="e">
        <f ca="1">_xll.SNL.Clients.Office.Excel.Functions.SPG($L64, $BN$3, BQ$2, "Au", "Options:Curr=USD")</f>
        <v>#NAME?</v>
      </c>
      <c r="BR64" s="72" t="str">
        <f ca="1">IFERROR(AVERAGE(_xll.SNL.Clients.Office.Excel.Functions.SPG($L64,$BR$4,"Au",BR$2, "Options:Curr=USD"),_xll.SNL.Clients.Office.Excel.Functions.SPG($L64,$BR$3,"Au",BR$2, "Options:Curr=USD")),"NA")</f>
        <v>NA</v>
      </c>
      <c r="BS64" s="72" t="str">
        <f ca="1">IFERROR(AVERAGE(_xll.SNL.Clients.Office.Excel.Functions.SPG($L64,$BR$4,"Au",BS$2, "Options:Curr=USD"),_xll.SNL.Clients.Office.Excel.Functions.SPG($L64,$BR$3,"Au",BS$2, "Options:Curr=USD")),"NA")</f>
        <v>NA</v>
      </c>
      <c r="BT64" s="78" t="str">
        <f ca="1">IFERROR(AVERAGE(_xll.SNL.Clients.Office.Excel.Functions.SPG($L64,$BR$4,"Au",BT$2, "Options:Curr=USD"),_xll.SNL.Clients.Office.Excel.Functions.SPG($L64,$BR$3,"Au",BT$2, "Options:Curr=USD")),"NA")</f>
        <v>NA</v>
      </c>
      <c r="BV64" s="119" t="s">
        <v>88</v>
      </c>
      <c r="BW64" s="119"/>
      <c r="BX64" s="36" t="s">
        <v>89</v>
      </c>
      <c r="BY64" s="119"/>
    </row>
    <row r="65" spans="1:77" ht="13.8" x14ac:dyDescent="0.25">
      <c r="A65" s="56" t="e">
        <f ca="1">_xll.SNL.Clients.Office.Excel.Functions.SPG($L65, A$3)</f>
        <v>#NAME?</v>
      </c>
      <c r="B65" s="56" t="e">
        <f ca="1">_xll.BDP($K65,B$3)</f>
        <v>#NAME?</v>
      </c>
      <c r="C65" s="56" t="e">
        <f ca="1">_xll.BDP($K65,C$3)</f>
        <v>#NAME?</v>
      </c>
      <c r="D65" s="56" t="e">
        <f ca="1">_xll.BDP($K65,D$3)</f>
        <v>#NAME?</v>
      </c>
      <c r="E65" s="57" t="s">
        <v>239</v>
      </c>
      <c r="F65" s="57" t="s">
        <v>107</v>
      </c>
      <c r="G65" s="57" t="s">
        <v>84</v>
      </c>
      <c r="H65" s="58" t="e">
        <f ca="1">_xll.SNL.Clients.Office.Excel.Functions.SPG($L65, "IQ_TEV", "Options: Curr=USD")</f>
        <v>#NAME?</v>
      </c>
      <c r="I65" s="58" t="e">
        <f ca="1">_xll.SNL.Clients.Office.Excel.Functions.SPG($L65, "SP_MARKETCAP", "Options: Curr=USD")</f>
        <v>#NAME?</v>
      </c>
      <c r="J65" s="59" t="s">
        <v>284</v>
      </c>
      <c r="K65" s="3" t="s">
        <v>285</v>
      </c>
      <c r="L65" s="3" t="s">
        <v>286</v>
      </c>
      <c r="M65" s="60" t="str" cm="1">
        <f t="array" aca="1" ref="M65" ca="1">IFERROR(_xll.SNL.Clients.Office.Excel.Functions.SPG($L65, $M$3)/100,"NA")</f>
        <v>NA</v>
      </c>
      <c r="N65" s="61" t="e" cm="1">
        <f t="array" aca="1" ref="N65" ca="1">_xll.SNL.Clients.Office.Excel.Functions.SPG($L65, "SP_PCFPS_FWD",N$2)</f>
        <v>#NAME?</v>
      </c>
      <c r="O65" s="62" t="e" cm="1">
        <f t="array" aca="1" ref="O65" ca="1">_xll.SNL.Clients.Office.Excel.Functions.SPG($L65, "SP_PCFPS_FWD",O$2)</f>
        <v>#NAME?</v>
      </c>
      <c r="P65" s="63" t="e" cm="1">
        <f t="array" aca="1" ref="P65" ca="1">_xll.SNL.Clients.Office.Excel.Functions.SPG($L65, "SP_PCFPS_FWD",P$2)</f>
        <v>#NAME?</v>
      </c>
      <c r="Q65" s="64" t="str">
        <f ca="1">IFERROR(_xll.SNL.Clients.Office.Excel.Functions.SPG($L65, "SP_FCF_EST",Q$2, "Options: Curr=USD")/1000/I65,"NA")</f>
        <v>NA</v>
      </c>
      <c r="R65" s="64" t="str">
        <f ca="1">IFERROR(_xll.SNL.Clients.Office.Excel.Functions.SPG($L65, "SP_FCF_EST",R$2, "Options: Curr=USD")/1000/I65,"NA")</f>
        <v>NA</v>
      </c>
      <c r="S65" s="64" t="str">
        <f ca="1">IFERROR(_xll.SNL.Clients.Office.Excel.Functions.SPG($L65, "SP_FCF_EST",S$2, "Options: Curr=USD")/1000/J65,"NA")</f>
        <v>NA</v>
      </c>
      <c r="T65" s="61" t="e" cm="1">
        <f t="array" aca="1" ref="T65" ca="1">_xll.SNL.Clients.Office.Excel.Functions.SPG($L65, "SP_PE_FWD",T$2)</f>
        <v>#NAME?</v>
      </c>
      <c r="U65" s="63" t="e" cm="1">
        <f t="array" aca="1" ref="U65" ca="1">_xll.SNL.Clients.Office.Excel.Functions.SPG($L65, "SP_PE_FWD",U$2)</f>
        <v>#NAME?</v>
      </c>
      <c r="V65" s="80" t="e" cm="1">
        <f t="array" aca="1" ref="V65" ca="1">_xll.SNL.Clients.Office.Excel.Functions.SPG($L65, $V$3,V$2)</f>
        <v>#NAME?</v>
      </c>
      <c r="W65" s="81" t="e" cm="1">
        <f t="array" aca="1" ref="W65" ca="1">_xll.SNL.Clients.Office.Excel.Functions.SPG($L65, $V$3,W$2)</f>
        <v>#NAME?</v>
      </c>
      <c r="X65" s="82" t="e" cm="1">
        <f t="array" aca="1" ref="X65" ca="1">_xll.SNL.Clients.Office.Excel.Functions.SPG($L65, $V$3,X$2)</f>
        <v>#NAME?</v>
      </c>
      <c r="Y65" s="69" t="e" cm="1">
        <f t="array" aca="1" ref="Y65" ca="1">IF((_xll.SNL.Clients.Office.Excel.Functions.SPG($L65,Y$3,Y$4,"Options: Curr=USD") / _xll.SNL.Clients.Office.Excel.Functions.SPG($L65,"SP_EBITDA_EST",Y$2,"Options: Curr=USD")) &lt; 0, "NM", (_xll.SNL.Clients.Office.Excel.Functions.SPG($L65,Y$3,Y$4,"Options: Curr=USD") / _xll.SNL.Clients.Office.Excel.Functions.SPG($L65,"SP_EBITDA_EST",Y$2,"Options: Curr=USD")))</f>
        <v>#NAME?</v>
      </c>
      <c r="Z65" s="70" t="e" cm="1">
        <f t="array" aca="1" ref="Z65" ca="1">_xll.SNL.Clients.Office.Excel.Functions.SPG($L65, Z$3,Z$4)</f>
        <v>#NAME?</v>
      </c>
      <c r="AA65" s="71" t="str">
        <f ca="1">IFERROR(0.001*AVERAGE(_xll.SNL.Clients.Office.Excel.Functions.SPG($L65,$AA$4,"Au",AA$2),_xll.SNL.Clients.Office.Excel.Functions.SPG($L65,$AA$3,"Au",AA$2)),"NA")</f>
        <v>NA</v>
      </c>
      <c r="AB65" s="72" t="str">
        <f ca="1">IFERROR(0.001*AVERAGE(_xll.SNL.Clients.Office.Excel.Functions.SPG($L65,$AA$4,"Au",AB$2),_xll.SNL.Clients.Office.Excel.Functions.SPG($L65,$AA$3,"Au",AB$2)),"NA")</f>
        <v>NA</v>
      </c>
      <c r="AC65" s="73" t="str">
        <f ca="1">IFERROR(0.001*AVERAGE(_xll.SNL.Clients.Office.Excel.Functions.SPG($L65,$AA$4,"Au",AC$2),_xll.SNL.Clients.Office.Excel.Functions.SPG($L65,$AA$3,"Au",AC$2)),"NA")</f>
        <v>NA</v>
      </c>
      <c r="AD65" s="72" t="e">
        <f ca="1" xml:space="preserve"> IF(ISNUMBER(SEARCH("na",_xll.SNL.Clients.Office.Excel.Functions.SPG($L65, $AD$4, AD$2))), 0,_xll.SNL.Clients.Office.Excel.Functions.SPG($L65, $AD$4, AD$2))</f>
        <v>#NAME?</v>
      </c>
      <c r="AE65" s="72" t="e">
        <f ca="1" xml:space="preserve"> IF(ISNUMBER(SEARCH("na",_xll.SNL.Clients.Office.Excel.Functions.SPG($L65, $AD$4, AE$2))), 0,_xll.SNL.Clients.Office.Excel.Functions.SPG($L65, $AD$4, AE$2))</f>
        <v>#NAME?</v>
      </c>
      <c r="AF65" s="72" t="e">
        <f ca="1" xml:space="preserve"> IF(ISNUMBER(SEARCH("na",_xll.SNL.Clients.Office.Excel.Functions.SPG($L65, $AD$4, AF$2))), 0,_xll.SNL.Clients.Office.Excel.Functions.SPG($L65, $AD$4, AF$2))</f>
        <v>#NAME?</v>
      </c>
      <c r="AG65" s="72" t="e">
        <f ca="1" xml:space="preserve"> IF(ISNUMBER(SEARCH("na",_xll.SNL.Clients.Office.Excel.Functions.SPG($L65, $AG$4, AG$2))), 0,_xll.SNL.Clients.Office.Excel.Functions.SPG($L65, $AG$4, AG$2))</f>
        <v>#NAME?</v>
      </c>
      <c r="AH65" s="72" t="e">
        <f ca="1" xml:space="preserve"> IF(ISNUMBER(SEARCH("na",_xll.SNL.Clients.Office.Excel.Functions.SPG($L65, $AG$4, AH$2))), 0,_xll.SNL.Clients.Office.Excel.Functions.SPG($L65, $AG$4, AH$2))</f>
        <v>#NAME?</v>
      </c>
      <c r="AI65" s="72" t="e">
        <f ca="1" xml:space="preserve"> IF(ISNUMBER(SEARCH("na",_xll.SNL.Clients.Office.Excel.Functions.SPG($L65, $AG$4, AI$2))), 0,_xll.SNL.Clients.Office.Excel.Functions.SPG($L65, $AG$4, AI$2))</f>
        <v>#NAME?</v>
      </c>
      <c r="AJ65" s="72" t="e">
        <f ca="1" xml:space="preserve"> IF(ISNUMBER(SEARCH("na",_xll.SNL.Clients.Office.Excel.Functions.SPG($L65, $AJ$4, AJ$2))), 0,_xll.SNL.Clients.Office.Excel.Functions.SPG($L65, $AJ$4, AJ$2))</f>
        <v>#NAME?</v>
      </c>
      <c r="AK65" s="72" t="e">
        <f ca="1" xml:space="preserve"> IF(ISNUMBER(SEARCH("na",_xll.SNL.Clients.Office.Excel.Functions.SPG($L65, $AJ$4, AK$2))), 0,_xll.SNL.Clients.Office.Excel.Functions.SPG($L65, $AJ$4, AK$2))</f>
        <v>#NAME?</v>
      </c>
      <c r="AL65" s="72" t="e">
        <f ca="1" xml:space="preserve"> IF(ISNUMBER(SEARCH("na",_xll.SNL.Clients.Office.Excel.Functions.SPG($L65, $AJ$4, AL$2))), 0,_xll.SNL.Clients.Office.Excel.Functions.SPG($L65, $AJ$4, AL$2))</f>
        <v>#NAME?</v>
      </c>
      <c r="AM65" s="72" t="e">
        <f t="shared" ref="AM65:AM72" ca="1" si="332">AD65+AG65*agprice/auprice+AJ65*cuprice/auprice</f>
        <v>#NAME?</v>
      </c>
      <c r="AN65" s="72" t="e">
        <f t="shared" ref="AN65:AN72" ca="1" si="333">AE65+AH65*agprice/auprice+AK65*cuprice/auprice</f>
        <v>#NAME?</v>
      </c>
      <c r="AO65" s="72" t="e">
        <f t="shared" ref="AO65:AO72" ca="1" si="334">AF65+AI65*agprice/auprice+AL65*cuprice/auprice</f>
        <v>#NAME?</v>
      </c>
      <c r="AP65" s="83" t="str">
        <f t="shared" ca="1" si="219"/>
        <v>NA</v>
      </c>
      <c r="AQ65" s="84" t="str">
        <f t="shared" ca="1" si="219"/>
        <v>NA</v>
      </c>
      <c r="AR65" s="85" t="str">
        <f ca="1">IFERROR($H65/AO65*1000,"NA")</f>
        <v>NA</v>
      </c>
      <c r="AS65" s="72">
        <f ca="1">IFERROR(_xll.SNL.Clients.Office.Excel.Functions.SPG($L65, $AS$3, AS$2,$AS$4)/1000,0)</f>
        <v>0</v>
      </c>
      <c r="AT65" s="72">
        <f ca="1">IFERROR(_xll.SNL.Clients.Office.Excel.Functions.SPG($L65, $AS$3, AT$2,$AS$4)/1000,0)</f>
        <v>0</v>
      </c>
      <c r="AU65" s="72">
        <f ca="1">IFERROR(_xll.SNL.Clients.Office.Excel.Functions.SPG($L65, $AV$3, AU$2,$AS$4)/1000,0)</f>
        <v>0</v>
      </c>
      <c r="AV65" s="72">
        <f ca="1">IFERROR(_xll.SNL.Clients.Office.Excel.Functions.SPG($L65, $AV$3, AV$2,$AS$4)/1000,0)</f>
        <v>0</v>
      </c>
      <c r="AW65" s="72">
        <f ca="1">IFERROR(_xll.SNL.Clients.Office.Excel.Functions.SPG($L65, $AV$3, AW$2,$AS$4)/1000,0)</f>
        <v>0</v>
      </c>
      <c r="AX65" s="72">
        <f ca="1">IFERROR(_xll.SNL.Clients.Office.Excel.Functions.SPG($L65, $AX$3, AX$2,$AS$4)/1000,0)</f>
        <v>0</v>
      </c>
      <c r="AY65" s="72">
        <f ca="1">IFERROR(_xll.SNL.Clients.Office.Excel.Functions.SPG($L65, $AX$3, AY$2,$AS$4)/1000,0)</f>
        <v>0</v>
      </c>
      <c r="AZ65" s="72">
        <f ca="1">IFERROR(_xll.SNL.Clients.Office.Excel.Functions.SPG($L65, $BA$3, AZ$2,$AS$4)/1000,0)</f>
        <v>0</v>
      </c>
      <c r="BA65" s="72">
        <f ca="1">IFERROR(_xll.SNL.Clients.Office.Excel.Functions.SPG($L65, $BA$3, BA$2,$AS$4)/1000,0)</f>
        <v>0</v>
      </c>
      <c r="BB65" s="72">
        <f ca="1">IFERROR(_xll.SNL.Clients.Office.Excel.Functions.SPG($L65, $BA$3, BB$2,$AS$4)/1000,0)</f>
        <v>0</v>
      </c>
      <c r="BC65" s="72">
        <f ca="1">IFERROR(_xll.SNL.Clients.Office.Excel.Functions.SPG($L65, $BC$3, BC$2,$AS$4)/1000,0)</f>
        <v>0</v>
      </c>
      <c r="BD65" s="72">
        <f ca="1">IFERROR(_xll.SNL.Clients.Office.Excel.Functions.SPG($L65, $BC$3, BD$2,$AS$4)/1000,0)</f>
        <v>0</v>
      </c>
      <c r="BE65" s="72">
        <f ca="1">IFERROR(_xll.SNL.Clients.Office.Excel.Functions.SPG($L65, $BF$3, BE$2,$AS$4)/1000,0)</f>
        <v>0</v>
      </c>
      <c r="BF65" s="72">
        <f ca="1">IFERROR(_xll.SNL.Clients.Office.Excel.Functions.SPG($L65, $BF$3, BF$2,$AS$4)/1000,0)</f>
        <v>0</v>
      </c>
      <c r="BG65" s="72">
        <f ca="1">IFERROR(_xll.SNL.Clients.Office.Excel.Functions.SPG($L65, $BF$3, BG$2,$AS$4)/1000,0)</f>
        <v>0</v>
      </c>
      <c r="BH65" s="72">
        <f t="shared" ref="BH65:BH72" ca="1" si="335">AS65+AT65*agprice/auprice+AU65*cuprice/auprice+AV65*znprice/auprice+AW65*pbprice/auprice</f>
        <v>0</v>
      </c>
      <c r="BI65" s="72">
        <f t="shared" ref="BI65:BI72" ca="1" si="336">AX65+AY65*agprice/auprice+AZ65*cuprice/auprice+BA65*znprice/auprice+BB65*pbprice/auprice+BH65</f>
        <v>0</v>
      </c>
      <c r="BJ65" s="72">
        <f t="shared" ref="BJ65:BJ72" ca="1" si="337">BC65+BD65*agprice/auprice+BE65*cuprice/auprice+BF65*znprice/auprice+BG65*pbprice/auprice+BH65</f>
        <v>0</v>
      </c>
      <c r="BK65" s="77" t="e">
        <f t="shared" ca="1" si="223"/>
        <v>#NAME?</v>
      </c>
      <c r="BL65" s="72" t="e">
        <f t="shared" ca="1" si="223"/>
        <v>#NAME?</v>
      </c>
      <c r="BM65" s="78" t="e">
        <f t="shared" ca="1" si="223"/>
        <v>#NAME?</v>
      </c>
      <c r="BN65" s="72" t="e">
        <f ca="1">_xll.SNL.Clients.Office.Excel.Functions.SPG($L65, $BN$3, BN$2, "Au", "Options:Curr=USD")</f>
        <v>#NAME?</v>
      </c>
      <c r="BO65" s="72" t="e">
        <f ca="1">_xll.SNL.Clients.Office.Excel.Functions.SPG($L65, $BN$3, BO$2, "Au", "Options:Curr=USD")</f>
        <v>#NAME?</v>
      </c>
      <c r="BP65" s="72" t="e">
        <f ca="1">_xll.SNL.Clients.Office.Excel.Functions.SPG($L65, $BN$3, BP$2, "Au", "Options:Curr=USD")</f>
        <v>#NAME?</v>
      </c>
      <c r="BQ65" s="78" t="e">
        <f ca="1">_xll.SNL.Clients.Office.Excel.Functions.SPG($L65, $BN$3, BQ$2, "Au", "Options:Curr=USD")</f>
        <v>#NAME?</v>
      </c>
      <c r="BR65" s="72" t="str">
        <f ca="1">IFERROR(AVERAGE(_xll.SNL.Clients.Office.Excel.Functions.SPG($L65,$BR$4,"Au",BR$2, "Options:Curr=USD"),_xll.SNL.Clients.Office.Excel.Functions.SPG($L65,$BR$3,"Au",BR$2, "Options:Curr=USD")),"NA")</f>
        <v>NA</v>
      </c>
      <c r="BS65" s="72" t="str">
        <f ca="1">IFERROR(AVERAGE(_xll.SNL.Clients.Office.Excel.Functions.SPG($L65,$BR$4,"Au",BS$2, "Options:Curr=USD"),_xll.SNL.Clients.Office.Excel.Functions.SPG($L65,$BR$3,"Au",BS$2, "Options:Curr=USD")),"NA")</f>
        <v>NA</v>
      </c>
      <c r="BT65" s="78" t="str">
        <f ca="1">IFERROR(AVERAGE(_xll.SNL.Clients.Office.Excel.Functions.SPG($L65,$BR$4,"Au",BT$2, "Options:Curr=USD"),_xll.SNL.Clients.Office.Excel.Functions.SPG($L65,$BR$3,"Au",BT$2, "Options:Curr=USD")),"NA")</f>
        <v>NA</v>
      </c>
      <c r="BV65" s="36" t="s">
        <v>88</v>
      </c>
      <c r="BW65" s="36"/>
      <c r="BX65" s="36" t="s">
        <v>195</v>
      </c>
      <c r="BY65" s="36"/>
    </row>
    <row r="66" spans="1:77" ht="13.8" x14ac:dyDescent="0.25">
      <c r="A66" s="56" t="e">
        <f ca="1">_xll.SNL.Clients.Office.Excel.Functions.SPG($L66, A$3)</f>
        <v>#NAME?</v>
      </c>
      <c r="B66" s="56" t="e">
        <f ca="1">_xll.BDP($K66,B$3)</f>
        <v>#NAME?</v>
      </c>
      <c r="C66" s="56" t="e">
        <f ca="1">_xll.BDP($K66,C$3)</f>
        <v>#NAME?</v>
      </c>
      <c r="D66" s="56" t="e">
        <f ca="1">_xll.BDP($K66,D$3)</f>
        <v>#NAME?</v>
      </c>
      <c r="E66" s="57" t="s">
        <v>287</v>
      </c>
      <c r="F66" s="57" t="s">
        <v>107</v>
      </c>
      <c r="G66" s="57" t="s">
        <v>84</v>
      </c>
      <c r="H66" s="58" t="e">
        <f ca="1">_xll.SNL.Clients.Office.Excel.Functions.SPG($L66, "IQ_TEV", "Options: Curr=USD")</f>
        <v>#NAME?</v>
      </c>
      <c r="I66" s="58" t="e">
        <f ca="1">_xll.SNL.Clients.Office.Excel.Functions.SPG($L66, "SP_MARKETCAP", "Options: Curr=USD")</f>
        <v>#NAME?</v>
      </c>
      <c r="J66" s="59" t="s">
        <v>288</v>
      </c>
      <c r="K66" s="3" t="s">
        <v>289</v>
      </c>
      <c r="L66" s="18" t="s">
        <v>290</v>
      </c>
      <c r="M66" s="60" t="str" cm="1">
        <f t="array" aca="1" ref="M66" ca="1">IFERROR(_xll.SNL.Clients.Office.Excel.Functions.SPG($L66, $M$3)/100,"NA")</f>
        <v>NA</v>
      </c>
      <c r="N66" s="61" t="e" cm="1">
        <f t="array" aca="1" ref="N66" ca="1">_xll.SNL.Clients.Office.Excel.Functions.SPG($L66, "SP_PCFPS_FWD",N$2)</f>
        <v>#NAME?</v>
      </c>
      <c r="O66" s="62" t="e" cm="1">
        <f t="array" aca="1" ref="O66" ca="1">_xll.SNL.Clients.Office.Excel.Functions.SPG($L66, "SP_PCFPS_FWD",O$2)</f>
        <v>#NAME?</v>
      </c>
      <c r="P66" s="63" t="e" cm="1">
        <f t="array" aca="1" ref="P66" ca="1">_xll.SNL.Clients.Office.Excel.Functions.SPG($L66, "SP_PCFPS_FWD",P$2)</f>
        <v>#NAME?</v>
      </c>
      <c r="Q66" s="64" t="str">
        <f ca="1">IFERROR(_xll.SNL.Clients.Office.Excel.Functions.SPG($L66, "SP_FCF_EST",Q$2, "Options: Curr=USD")/1000/I66,"NA")</f>
        <v>NA</v>
      </c>
      <c r="R66" s="64" t="str">
        <f ca="1">IFERROR(_xll.SNL.Clients.Office.Excel.Functions.SPG($L66, "SP_FCF_EST",R$2, "Options: Curr=USD")/1000/I66,"NA")</f>
        <v>NA</v>
      </c>
      <c r="S66" s="64" t="str">
        <f ca="1">IFERROR(_xll.SNL.Clients.Office.Excel.Functions.SPG($L66, "SP_FCF_EST",S$2, "Options: Curr=USD")/1000/J66,"NA")</f>
        <v>NA</v>
      </c>
      <c r="T66" s="61" t="e" cm="1">
        <f t="array" aca="1" ref="T66" ca="1">_xll.SNL.Clients.Office.Excel.Functions.SPG($L66, "SP_PE_FWD",T$2)</f>
        <v>#NAME?</v>
      </c>
      <c r="U66" s="63" t="e" cm="1">
        <f t="array" aca="1" ref="U66" ca="1">_xll.SNL.Clients.Office.Excel.Functions.SPG($L66, "SP_PE_FWD",U$2)</f>
        <v>#NAME?</v>
      </c>
      <c r="V66" s="80" t="e" cm="1">
        <f t="array" aca="1" ref="V66" ca="1">_xll.SNL.Clients.Office.Excel.Functions.SPG($L66, $V$3,V$2)</f>
        <v>#NAME?</v>
      </c>
      <c r="W66" s="81" t="e" cm="1">
        <f t="array" aca="1" ref="W66" ca="1">_xll.SNL.Clients.Office.Excel.Functions.SPG($L66, $V$3,W$2)</f>
        <v>#NAME?</v>
      </c>
      <c r="X66" s="82" t="e" cm="1">
        <f t="array" aca="1" ref="X66" ca="1">_xll.SNL.Clients.Office.Excel.Functions.SPG($L66, $V$3,X$2)</f>
        <v>#NAME?</v>
      </c>
      <c r="Y66" s="69" t="e" cm="1">
        <f t="array" aca="1" ref="Y66" ca="1">IF((_xll.SNL.Clients.Office.Excel.Functions.SPG($L66,Y$3,Y$4,"Options: Curr=USD") / _xll.SNL.Clients.Office.Excel.Functions.SPG($L66,"SP_EBITDA_EST",Y$2,"Options: Curr=USD")) &lt; 0, "NM", (_xll.SNL.Clients.Office.Excel.Functions.SPG($L66,Y$3,Y$4,"Options: Curr=USD") / _xll.SNL.Clients.Office.Excel.Functions.SPG($L66,"SP_EBITDA_EST",Y$2,"Options: Curr=USD")))</f>
        <v>#NAME?</v>
      </c>
      <c r="Z66" s="70" t="e" cm="1">
        <f t="array" aca="1" ref="Z66" ca="1">_xll.SNL.Clients.Office.Excel.Functions.SPG($L66, Z$3,Z$4)</f>
        <v>#NAME?</v>
      </c>
      <c r="AA66" s="77" t="str">
        <f ca="1">IFERROR(0.001*AVERAGE(_xll.SNL.Clients.Office.Excel.Functions.SPG($L66,$AA$4,"Au",AA$2),_xll.SNL.Clients.Office.Excel.Functions.SPG($L66,$AA$3,"Au",AA$2)),"NA")</f>
        <v>NA</v>
      </c>
      <c r="AB66" s="72" t="str">
        <f ca="1">IFERROR(0.001*AVERAGE(_xll.SNL.Clients.Office.Excel.Functions.SPG($L66,$AA$4,"Au",AB$2),_xll.SNL.Clients.Office.Excel.Functions.SPG($L66,$AA$3,"Au",AB$2)),"NA")</f>
        <v>NA</v>
      </c>
      <c r="AC66" s="78" t="str">
        <f ca="1">IFERROR(0.001*AVERAGE(_xll.SNL.Clients.Office.Excel.Functions.SPG($L66,$AA$4,"Au",AC$2),_xll.SNL.Clients.Office.Excel.Functions.SPG($L66,$AA$3,"Au",AC$2)),"NA")</f>
        <v>NA</v>
      </c>
      <c r="AD66" s="72" t="e">
        <f ca="1" xml:space="preserve"> IF(ISNUMBER(SEARCH("na",_xll.SNL.Clients.Office.Excel.Functions.SPG($L66, $AD$4, AD$2))), 0,_xll.SNL.Clients.Office.Excel.Functions.SPG($L66, $AD$4, AD$2))</f>
        <v>#NAME?</v>
      </c>
      <c r="AE66" s="72" t="e">
        <f ca="1" xml:space="preserve"> IF(ISNUMBER(SEARCH("na",_xll.SNL.Clients.Office.Excel.Functions.SPG($L66, $AD$4, AE$2))), 0,_xll.SNL.Clients.Office.Excel.Functions.SPG($L66, $AD$4, AE$2))</f>
        <v>#NAME?</v>
      </c>
      <c r="AF66" s="72" t="e">
        <f ca="1" xml:space="preserve"> IF(ISNUMBER(SEARCH("na",_xll.SNL.Clients.Office.Excel.Functions.SPG($L66, $AD$4, AF$2))), 0,_xll.SNL.Clients.Office.Excel.Functions.SPG($L66, $AD$4, AF$2))</f>
        <v>#NAME?</v>
      </c>
      <c r="AG66" s="72" t="e">
        <f ca="1" xml:space="preserve"> IF(ISNUMBER(SEARCH("na",_xll.SNL.Clients.Office.Excel.Functions.SPG($L66, $AG$4, AG$2))), 0,_xll.SNL.Clients.Office.Excel.Functions.SPG($L66, $AG$4, AG$2))</f>
        <v>#NAME?</v>
      </c>
      <c r="AH66" s="72" t="e">
        <f ca="1" xml:space="preserve"> IF(ISNUMBER(SEARCH("na",_xll.SNL.Clients.Office.Excel.Functions.SPG($L66, $AG$4, AH$2))), 0,_xll.SNL.Clients.Office.Excel.Functions.SPG($L66, $AG$4, AH$2))</f>
        <v>#NAME?</v>
      </c>
      <c r="AI66" s="72" t="e">
        <f ca="1" xml:space="preserve"> IF(ISNUMBER(SEARCH("na",_xll.SNL.Clients.Office.Excel.Functions.SPG($L66, $AG$4, AI$2))), 0,_xll.SNL.Clients.Office.Excel.Functions.SPG($L66, $AG$4, AI$2))</f>
        <v>#NAME?</v>
      </c>
      <c r="AJ66" s="72" t="e">
        <f ca="1" xml:space="preserve"> IF(ISNUMBER(SEARCH("na",_xll.SNL.Clients.Office.Excel.Functions.SPG($L66, $AJ$4, AJ$2))), 0,_xll.SNL.Clients.Office.Excel.Functions.SPG($L66, $AJ$4, AJ$2))</f>
        <v>#NAME?</v>
      </c>
      <c r="AK66" s="72" t="e">
        <f ca="1" xml:space="preserve"> IF(ISNUMBER(SEARCH("na",_xll.SNL.Clients.Office.Excel.Functions.SPG($L66, $AJ$4, AK$2))), 0,_xll.SNL.Clients.Office.Excel.Functions.SPG($L66, $AJ$4, AK$2))</f>
        <v>#NAME?</v>
      </c>
      <c r="AL66" s="72" t="e">
        <f ca="1" xml:space="preserve"> IF(ISNUMBER(SEARCH("na",_xll.SNL.Clients.Office.Excel.Functions.SPG($L66, $AJ$4, AL$2))), 0,_xll.SNL.Clients.Office.Excel.Functions.SPG($L66, $AJ$4, AL$2))</f>
        <v>#NAME?</v>
      </c>
      <c r="AM66" s="72" t="e">
        <f t="shared" ref="AM66:AM73" ca="1" si="338">AD66+AG66*agprice/auprice+AJ66*cuprice/auprice</f>
        <v>#NAME?</v>
      </c>
      <c r="AN66" s="72" t="e">
        <f t="shared" ref="AN66:AN73" ca="1" si="339">AE66+AH66*agprice/auprice+AK66*cuprice/auprice</f>
        <v>#NAME?</v>
      </c>
      <c r="AO66" s="72" t="e">
        <f t="shared" ref="AO66:AO73" ca="1" si="340">AF66+AI66*agprice/auprice+AL66*cuprice/auprice</f>
        <v>#NAME?</v>
      </c>
      <c r="AP66" s="83" t="str">
        <f t="shared" ca="1" si="219"/>
        <v>NA</v>
      </c>
      <c r="AQ66" s="84" t="str">
        <f t="shared" ca="1" si="219"/>
        <v>NA</v>
      </c>
      <c r="AR66" s="85" t="str">
        <f ca="1">IFERROR($H66/AO66*1000,"NA")</f>
        <v>NA</v>
      </c>
      <c r="AS66" s="72">
        <f ca="1">IFERROR(_xll.SNL.Clients.Office.Excel.Functions.SPG($L66, $AS$3, AS$2,$AS$4)/1000,0)</f>
        <v>0</v>
      </c>
      <c r="AT66" s="72">
        <f ca="1">IFERROR(_xll.SNL.Clients.Office.Excel.Functions.SPG($L66, $AS$3, AT$2,$AS$4)/1000,0)</f>
        <v>0</v>
      </c>
      <c r="AU66" s="72">
        <f ca="1">IFERROR(_xll.SNL.Clients.Office.Excel.Functions.SPG($L66, $AV$3, AU$2,$AS$4)/1000,0)</f>
        <v>0</v>
      </c>
      <c r="AV66" s="72">
        <f ca="1">IFERROR(_xll.SNL.Clients.Office.Excel.Functions.SPG($L66, $AV$3, AV$2,$AS$4)/1000,0)</f>
        <v>0</v>
      </c>
      <c r="AW66" s="72">
        <f ca="1">IFERROR(_xll.SNL.Clients.Office.Excel.Functions.SPG($L66, $AV$3, AW$2,$AS$4)/1000,0)</f>
        <v>0</v>
      </c>
      <c r="AX66" s="72">
        <f ca="1">IFERROR(_xll.SNL.Clients.Office.Excel.Functions.SPG($L66, $AX$3, AX$2,$AS$4)/1000,0)</f>
        <v>0</v>
      </c>
      <c r="AY66" s="72">
        <f ca="1">IFERROR(_xll.SNL.Clients.Office.Excel.Functions.SPG($L66, $AX$3, AY$2,$AS$4)/1000,0)</f>
        <v>0</v>
      </c>
      <c r="AZ66" s="72">
        <f ca="1">IFERROR(_xll.SNL.Clients.Office.Excel.Functions.SPG($L66, $BA$3, AZ$2,$AS$4)/1000,0)</f>
        <v>0</v>
      </c>
      <c r="BA66" s="72">
        <f ca="1">IFERROR(_xll.SNL.Clients.Office.Excel.Functions.SPG($L66, $BA$3, BA$2,$AS$4)/1000,0)</f>
        <v>0</v>
      </c>
      <c r="BB66" s="72">
        <f ca="1">IFERROR(_xll.SNL.Clients.Office.Excel.Functions.SPG($L66, $BA$3, BB$2,$AS$4)/1000,0)</f>
        <v>0</v>
      </c>
      <c r="BC66" s="72">
        <f ca="1">IFERROR(_xll.SNL.Clients.Office.Excel.Functions.SPG($L66, $BC$3, BC$2,$AS$4)/1000,0)</f>
        <v>0</v>
      </c>
      <c r="BD66" s="72">
        <f ca="1">IFERROR(_xll.SNL.Clients.Office.Excel.Functions.SPG($L66, $BC$3, BD$2,$AS$4)/1000,0)</f>
        <v>0</v>
      </c>
      <c r="BE66" s="72">
        <f ca="1">IFERROR(_xll.SNL.Clients.Office.Excel.Functions.SPG($L66, $BF$3, BE$2,$AS$4)/1000,0)</f>
        <v>0</v>
      </c>
      <c r="BF66" s="72">
        <f ca="1">IFERROR(_xll.SNL.Clients.Office.Excel.Functions.SPG($L66, $BF$3, BF$2,$AS$4)/1000,0)</f>
        <v>0</v>
      </c>
      <c r="BG66" s="72">
        <f ca="1">IFERROR(_xll.SNL.Clients.Office.Excel.Functions.SPG($L66, $BF$3, BG$2,$AS$4)/1000,0)</f>
        <v>0</v>
      </c>
      <c r="BH66" s="72">
        <f t="shared" ref="BH66:BH73" ca="1" si="341">AS66+AT66*agprice/auprice+AU66*cuprice/auprice+AV66*znprice/auprice+AW66*pbprice/auprice</f>
        <v>0</v>
      </c>
      <c r="BI66" s="72">
        <f t="shared" ref="BI66:BI73" ca="1" si="342">AX66+AY66*agprice/auprice+AZ66*cuprice/auprice+BA66*znprice/auprice+BB66*pbprice/auprice+BH66</f>
        <v>0</v>
      </c>
      <c r="BJ66" s="72">
        <f t="shared" ref="BJ66:BJ73" ca="1" si="343">BC66+BD66*agprice/auprice+BE66*cuprice/auprice+BF66*znprice/auprice+BG66*pbprice/auprice+BH66</f>
        <v>0</v>
      </c>
      <c r="BK66" s="77" t="e">
        <f t="shared" ca="1" si="223"/>
        <v>#NAME?</v>
      </c>
      <c r="BL66" s="72" t="e">
        <f t="shared" ca="1" si="223"/>
        <v>#NAME?</v>
      </c>
      <c r="BM66" s="78" t="e">
        <f t="shared" ca="1" si="223"/>
        <v>#NAME?</v>
      </c>
      <c r="BN66" s="72" t="e">
        <f ca="1">_xll.SNL.Clients.Office.Excel.Functions.SPG($L66, $BN$3, BN$2, "Au", "Options:Curr=USD")</f>
        <v>#NAME?</v>
      </c>
      <c r="BO66" s="72" t="e">
        <f ca="1">_xll.SNL.Clients.Office.Excel.Functions.SPG($L66, $BN$3, BO$2, "Au", "Options:Curr=USD")</f>
        <v>#NAME?</v>
      </c>
      <c r="BP66" s="72" t="e">
        <f ca="1">_xll.SNL.Clients.Office.Excel.Functions.SPG($L66, $BN$3, BP$2, "Au", "Options:Curr=USD")</f>
        <v>#NAME?</v>
      </c>
      <c r="BQ66" s="78" t="e">
        <f ca="1">_xll.SNL.Clients.Office.Excel.Functions.SPG($L66, $BN$3, BQ$2, "Au", "Options:Curr=USD")</f>
        <v>#NAME?</v>
      </c>
      <c r="BR66" s="72" t="str">
        <f ca="1">IFERROR(AVERAGE(_xll.SNL.Clients.Office.Excel.Functions.SPG($L66,$BR$4,"Au",BR$2, "Options:Curr=USD"),_xll.SNL.Clients.Office.Excel.Functions.SPG($L66,$BR$3,"Au",BR$2, "Options:Curr=USD")),"NA")</f>
        <v>NA</v>
      </c>
      <c r="BS66" s="72" t="str">
        <f ca="1">IFERROR(AVERAGE(_xll.SNL.Clients.Office.Excel.Functions.SPG($L66,$BR$4,"Au",BS$2, "Options:Curr=USD"),_xll.SNL.Clients.Office.Excel.Functions.SPG($L66,$BR$3,"Au",BS$2, "Options:Curr=USD")),"NA")</f>
        <v>NA</v>
      </c>
      <c r="BT66" s="78" t="str">
        <f ca="1">IFERROR(AVERAGE(_xll.SNL.Clients.Office.Excel.Functions.SPG($L66,$BR$4,"Au",BT$2, "Options:Curr=USD"),_xll.SNL.Clients.Office.Excel.Functions.SPG($L66,$BR$3,"Au",BT$2, "Options:Curr=USD")),"NA")</f>
        <v>NA</v>
      </c>
      <c r="BV66" s="36" t="s">
        <v>88</v>
      </c>
      <c r="BW66" s="36"/>
      <c r="BX66" s="36" t="s">
        <v>195</v>
      </c>
      <c r="BY66" s="36"/>
    </row>
    <row r="67" spans="1:77" ht="13.8" x14ac:dyDescent="0.25">
      <c r="A67" s="56" t="e">
        <f ca="1">_xll.SNL.Clients.Office.Excel.Functions.SPG($L67, A$3)</f>
        <v>#NAME?</v>
      </c>
      <c r="B67" s="56" t="e">
        <f ca="1">_xll.BDP($K67,B$3)</f>
        <v>#NAME?</v>
      </c>
      <c r="C67" s="56" t="e">
        <f ca="1">_xll.BDP($K67,C$3)</f>
        <v>#NAME?</v>
      </c>
      <c r="D67" s="56" t="e">
        <f ca="1">_xll.BDP($K67,D$3)</f>
        <v>#NAME?</v>
      </c>
      <c r="E67" s="57" t="s">
        <v>230</v>
      </c>
      <c r="F67" s="57" t="s">
        <v>83</v>
      </c>
      <c r="G67" s="57" t="s">
        <v>84</v>
      </c>
      <c r="H67" s="58" t="e">
        <f ca="1">_xll.SNL.Clients.Office.Excel.Functions.SPG($L67, "IQ_TEV", "Options: Curr=USD")</f>
        <v>#NAME?</v>
      </c>
      <c r="I67" s="58" t="e">
        <f ca="1">_xll.SNL.Clients.Office.Excel.Functions.SPG($L67, "SP_MARKETCAP", "Options: Curr=USD")</f>
        <v>#NAME?</v>
      </c>
      <c r="J67" s="59" t="s">
        <v>291</v>
      </c>
      <c r="K67" s="3" t="s">
        <v>292</v>
      </c>
      <c r="L67" s="3" t="s">
        <v>293</v>
      </c>
      <c r="M67" s="60" t="str" cm="1">
        <f t="array" aca="1" ref="M67" ca="1">IFERROR(_xll.SNL.Clients.Office.Excel.Functions.SPG($L67, $M$3)/100,"NA")</f>
        <v>NA</v>
      </c>
      <c r="N67" s="61" t="e" cm="1">
        <f t="array" aca="1" ref="N67" ca="1">_xll.SNL.Clients.Office.Excel.Functions.SPG($L67, "SP_PCFPS_FWD",N$2)</f>
        <v>#NAME?</v>
      </c>
      <c r="O67" s="62" t="e" cm="1">
        <f t="array" aca="1" ref="O67" ca="1">_xll.SNL.Clients.Office.Excel.Functions.SPG($L67, "SP_PCFPS_FWD",O$2)</f>
        <v>#NAME?</v>
      </c>
      <c r="P67" s="63" t="e" cm="1">
        <f t="array" aca="1" ref="P67" ca="1">_xll.SNL.Clients.Office.Excel.Functions.SPG($L67, "SP_PCFPS_FWD",P$2)</f>
        <v>#NAME?</v>
      </c>
      <c r="Q67" s="64" t="str">
        <f ca="1">IFERROR(_xll.SNL.Clients.Office.Excel.Functions.SPG($L67, "SP_FCF_EST",Q$2, "Options: Curr=USD")/1000/I67,"NA")</f>
        <v>NA</v>
      </c>
      <c r="R67" s="64" t="str">
        <f ca="1">IFERROR(_xll.SNL.Clients.Office.Excel.Functions.SPG($L67, "SP_FCF_EST",R$2, "Options: Curr=USD")/1000/I67,"NA")</f>
        <v>NA</v>
      </c>
      <c r="S67" s="64" t="e">
        <f ca="1">_xll.SNL.Clients.Office.Excel.Functions.SPG($L67, "SP_FCF_EST",S$2, "Options: Curr=USD")/1000/$I67</f>
        <v>#NAME?</v>
      </c>
      <c r="T67" s="61" t="e" cm="1">
        <f t="array" aca="1" ref="T67" ca="1">_xll.SNL.Clients.Office.Excel.Functions.SPG($L67, "SP_PE_FWD",T$2)</f>
        <v>#NAME?</v>
      </c>
      <c r="U67" s="63" t="e" cm="1">
        <f t="array" aca="1" ref="U67" ca="1">_xll.SNL.Clients.Office.Excel.Functions.SPG($L67, "SP_PE_FWD",U$2)</f>
        <v>#NAME?</v>
      </c>
      <c r="V67" s="80" t="e" cm="1">
        <f t="array" aca="1" ref="V67" ca="1">_xll.SNL.Clients.Office.Excel.Functions.SPG($L67, $V$3,V$2)</f>
        <v>#NAME?</v>
      </c>
      <c r="W67" s="81" t="e" cm="1">
        <f t="array" aca="1" ref="W67" ca="1">_xll.SNL.Clients.Office.Excel.Functions.SPG($L67, $V$3,W$2)</f>
        <v>#NAME?</v>
      </c>
      <c r="X67" s="82" t="e" cm="1">
        <f t="array" aca="1" ref="X67" ca="1">_xll.SNL.Clients.Office.Excel.Functions.SPG($L67, $V$3,X$2)</f>
        <v>#NAME?</v>
      </c>
      <c r="Y67" s="69" t="e" cm="1">
        <f t="array" aca="1" ref="Y67" ca="1">IF((_xll.SNL.Clients.Office.Excel.Functions.SPG($L67,Y$3,Y$4,"Options: Curr=USD") / _xll.SNL.Clients.Office.Excel.Functions.SPG($L67,"SP_EBITDA_EST",Y$2,"Options: Curr=USD")) &lt; 0, "NM", (_xll.SNL.Clients.Office.Excel.Functions.SPG($L67,Y$3,Y$4,"Options: Curr=USD") / _xll.SNL.Clients.Office.Excel.Functions.SPG($L67,"SP_EBITDA_EST",Y$2,"Options: Curr=USD")))</f>
        <v>#NAME?</v>
      </c>
      <c r="Z67" s="70" t="e" cm="1">
        <f t="array" aca="1" ref="Z67" ca="1">_xll.SNL.Clients.Office.Excel.Functions.SPG($L67, Z$3,Z$4)</f>
        <v>#NAME?</v>
      </c>
      <c r="AA67" s="77" t="str">
        <f ca="1">IFERROR(0.001*AVERAGE(_xll.SNL.Clients.Office.Excel.Functions.SPG($L67,$AA$4,"Au",AA$2),_xll.SNL.Clients.Office.Excel.Functions.SPG($L67,$AA$3,"Au",AA$2)),"NA")</f>
        <v>NA</v>
      </c>
      <c r="AB67" s="72" t="str">
        <f ca="1">IFERROR(0.001*AVERAGE(_xll.SNL.Clients.Office.Excel.Functions.SPG($L67,$AA$4,"Au",AB$2),_xll.SNL.Clients.Office.Excel.Functions.SPG($L67,$AA$3,"Au",AB$2)),"NA")</f>
        <v>NA</v>
      </c>
      <c r="AC67" s="78" t="str">
        <f ca="1">IFERROR(0.001*AVERAGE(_xll.SNL.Clients.Office.Excel.Functions.SPG($L67,$AA$4,"Au",AC$2),_xll.SNL.Clients.Office.Excel.Functions.SPG($L67,$AA$3,"Au",AC$2)),"NA")</f>
        <v>NA</v>
      </c>
      <c r="AD67" s="72" t="e">
        <f ca="1" xml:space="preserve"> IF(ISNUMBER(SEARCH("na",_xll.SNL.Clients.Office.Excel.Functions.SPG($L67, $AD$4, AD$2))), 0,_xll.SNL.Clients.Office.Excel.Functions.SPG($L67, $AD$4, AD$2))</f>
        <v>#NAME?</v>
      </c>
      <c r="AE67" s="72" t="e">
        <f ca="1" xml:space="preserve"> IF(ISNUMBER(SEARCH("na",_xll.SNL.Clients.Office.Excel.Functions.SPG($L67, $AD$4, AE$2))), 0,_xll.SNL.Clients.Office.Excel.Functions.SPG($L67, $AD$4, AE$2))</f>
        <v>#NAME?</v>
      </c>
      <c r="AF67" s="72" t="e">
        <f ca="1" xml:space="preserve"> IF(ISNUMBER(SEARCH("na",_xll.SNL.Clients.Office.Excel.Functions.SPG($L67, $AD$4, AF$2))), 0,_xll.SNL.Clients.Office.Excel.Functions.SPG($L67, $AD$4, AF$2))</f>
        <v>#NAME?</v>
      </c>
      <c r="AG67" s="72" t="e">
        <f ca="1" xml:space="preserve"> IF(ISNUMBER(SEARCH("na",_xll.SNL.Clients.Office.Excel.Functions.SPG($L67, $AG$4, AG$2))), 0,_xll.SNL.Clients.Office.Excel.Functions.SPG($L67, $AG$4, AG$2))</f>
        <v>#NAME?</v>
      </c>
      <c r="AH67" s="72" t="e">
        <f ca="1" xml:space="preserve"> IF(ISNUMBER(SEARCH("na",_xll.SNL.Clients.Office.Excel.Functions.SPG($L67, $AG$4, AH$2))), 0,_xll.SNL.Clients.Office.Excel.Functions.SPG($L67, $AG$4, AH$2))</f>
        <v>#NAME?</v>
      </c>
      <c r="AI67" s="72" t="e">
        <f ca="1" xml:space="preserve"> IF(ISNUMBER(SEARCH("na",_xll.SNL.Clients.Office.Excel.Functions.SPG($L67, $AG$4, AI$2))), 0,_xll.SNL.Clients.Office.Excel.Functions.SPG($L67, $AG$4, AI$2))</f>
        <v>#NAME?</v>
      </c>
      <c r="AJ67" s="72" t="e">
        <f ca="1" xml:space="preserve"> IF(ISNUMBER(SEARCH("na",_xll.SNL.Clients.Office.Excel.Functions.SPG($L67, $AJ$4, AJ$2))), 0,_xll.SNL.Clients.Office.Excel.Functions.SPG($L67, $AJ$4, AJ$2))</f>
        <v>#NAME?</v>
      </c>
      <c r="AK67" s="72" t="e">
        <f ca="1" xml:space="preserve"> IF(ISNUMBER(SEARCH("na",_xll.SNL.Clients.Office.Excel.Functions.SPG($L67, $AJ$4, AK$2))), 0,_xll.SNL.Clients.Office.Excel.Functions.SPG($L67, $AJ$4, AK$2))</f>
        <v>#NAME?</v>
      </c>
      <c r="AL67" s="72" t="e">
        <f ca="1" xml:space="preserve"> IF(ISNUMBER(SEARCH("na",_xll.SNL.Clients.Office.Excel.Functions.SPG($L67, $AJ$4, AL$2))), 0,_xll.SNL.Clients.Office.Excel.Functions.SPG($L67, $AJ$4, AL$2))</f>
        <v>#NAME?</v>
      </c>
      <c r="AM67" s="72" t="e">
        <f t="shared" ref="AM67:AM74" ca="1" si="344">AD67+AG67*agprice/auprice+AJ67*cuprice/auprice</f>
        <v>#NAME?</v>
      </c>
      <c r="AN67" s="72" t="e">
        <f t="shared" ref="AN67:AN74" ca="1" si="345">AE67+AH67*agprice/auprice+AK67*cuprice/auprice</f>
        <v>#NAME?</v>
      </c>
      <c r="AO67" s="72" t="e">
        <f t="shared" ref="AO67:AO74" ca="1" si="346">AF67+AI67*agprice/auprice+AL67*cuprice/auprice</f>
        <v>#NAME?</v>
      </c>
      <c r="AP67" s="83" t="str">
        <f t="shared" ca="1" si="219"/>
        <v>NA</v>
      </c>
      <c r="AQ67" s="84" t="str">
        <f t="shared" ca="1" si="219"/>
        <v>NA</v>
      </c>
      <c r="AR67" s="85" t="str">
        <f t="shared" ca="1" si="219"/>
        <v>NA</v>
      </c>
      <c r="AS67" s="72">
        <f ca="1">IFERROR(_xll.SNL.Clients.Office.Excel.Functions.SPG($L67, $AS$3, AS$2,$AS$4)/1000,0)</f>
        <v>0</v>
      </c>
      <c r="AT67" s="72">
        <f ca="1">IFERROR(_xll.SNL.Clients.Office.Excel.Functions.SPG($L67, $AS$3, AT$2,$AS$4)/1000,0)</f>
        <v>0</v>
      </c>
      <c r="AU67" s="72">
        <f ca="1">IFERROR(_xll.SNL.Clients.Office.Excel.Functions.SPG($L67, $AV$3, AU$2,$AS$4)/1000,0)</f>
        <v>0</v>
      </c>
      <c r="AV67" s="72">
        <f ca="1">IFERROR(_xll.SNL.Clients.Office.Excel.Functions.SPG($L67, $AV$3, AV$2,$AS$4)/1000,0)</f>
        <v>0</v>
      </c>
      <c r="AW67" s="72">
        <f ca="1">IFERROR(_xll.SNL.Clients.Office.Excel.Functions.SPG($L67, $AV$3, AW$2,$AS$4)/1000,0)</f>
        <v>0</v>
      </c>
      <c r="AX67" s="72">
        <f ca="1">IFERROR(_xll.SNL.Clients.Office.Excel.Functions.SPG($L67, $AX$3, AX$2,$AS$4)/1000,0)</f>
        <v>0</v>
      </c>
      <c r="AY67" s="72">
        <f ca="1">IFERROR(_xll.SNL.Clients.Office.Excel.Functions.SPG($L67, $AX$3, AY$2,$AS$4)/1000,0)</f>
        <v>0</v>
      </c>
      <c r="AZ67" s="72">
        <f ca="1">IFERROR(_xll.SNL.Clients.Office.Excel.Functions.SPG($L67, $BA$3, AZ$2,$AS$4)/1000,0)</f>
        <v>0</v>
      </c>
      <c r="BA67" s="72">
        <f ca="1">IFERROR(_xll.SNL.Clients.Office.Excel.Functions.SPG($L67, $BA$3, BA$2,$AS$4)/1000,0)</f>
        <v>0</v>
      </c>
      <c r="BB67" s="72">
        <f ca="1">IFERROR(_xll.SNL.Clients.Office.Excel.Functions.SPG($L67, $BA$3, BB$2,$AS$4)/1000,0)</f>
        <v>0</v>
      </c>
      <c r="BC67" s="72">
        <f ca="1">IFERROR(_xll.SNL.Clients.Office.Excel.Functions.SPG($L67, $BC$3, BC$2,$AS$4)/1000,0)</f>
        <v>0</v>
      </c>
      <c r="BD67" s="72">
        <f ca="1">IFERROR(_xll.SNL.Clients.Office.Excel.Functions.SPG($L67, $BC$3, BD$2,$AS$4)/1000,0)</f>
        <v>0</v>
      </c>
      <c r="BE67" s="72">
        <f ca="1">IFERROR(_xll.SNL.Clients.Office.Excel.Functions.SPG($L67, $BF$3, BE$2,$AS$4)/1000,0)</f>
        <v>0</v>
      </c>
      <c r="BF67" s="72">
        <f ca="1">IFERROR(_xll.SNL.Clients.Office.Excel.Functions.SPG($L67, $BF$3, BF$2,$AS$4)/1000,0)</f>
        <v>0</v>
      </c>
      <c r="BG67" s="72">
        <f ca="1">IFERROR(_xll.SNL.Clients.Office.Excel.Functions.SPG($L67, $BF$3, BG$2,$AS$4)/1000,0)</f>
        <v>0</v>
      </c>
      <c r="BH67" s="72">
        <f t="shared" ref="BH67:BH74" ca="1" si="347">AS67+AT67*agprice/auprice+AU67*cuprice/auprice+AV67*znprice/auprice+AW67*pbprice/auprice</f>
        <v>0</v>
      </c>
      <c r="BI67" s="72">
        <f t="shared" ref="BI67:BI74" ca="1" si="348">AX67+AY67*agprice/auprice+AZ67*cuprice/auprice+BA67*znprice/auprice+BB67*pbprice/auprice+BH67</f>
        <v>0</v>
      </c>
      <c r="BJ67" s="72">
        <f t="shared" ref="BJ67:BJ74" ca="1" si="349">BC67+BD67*agprice/auprice+BE67*cuprice/auprice+BF67*znprice/auprice+BG67*pbprice/auprice+BH67</f>
        <v>0</v>
      </c>
      <c r="BK67" s="77" t="e">
        <f t="shared" ca="1" si="223"/>
        <v>#NAME?</v>
      </c>
      <c r="BL67" s="72" t="e">
        <f t="shared" ca="1" si="223"/>
        <v>#NAME?</v>
      </c>
      <c r="BM67" s="78" t="e">
        <f t="shared" ca="1" si="223"/>
        <v>#NAME?</v>
      </c>
      <c r="BN67" s="72" t="e">
        <f ca="1">_xll.SNL.Clients.Office.Excel.Functions.SPG($L67, $BN$3, BN$2, "Au", "Options:Curr=USD")</f>
        <v>#NAME?</v>
      </c>
      <c r="BO67" s="72" t="e">
        <f ca="1">_xll.SNL.Clients.Office.Excel.Functions.SPG($L67, $BN$3, BO$2, "Au", "Options:Curr=USD")</f>
        <v>#NAME?</v>
      </c>
      <c r="BP67" s="72" t="e">
        <f ca="1">_xll.SNL.Clients.Office.Excel.Functions.SPG($L67, $BN$3, BP$2, "Au", "Options:Curr=USD")</f>
        <v>#NAME?</v>
      </c>
      <c r="BQ67" s="78" t="e">
        <f ca="1">_xll.SNL.Clients.Office.Excel.Functions.SPG($L67, $BN$3, BQ$2, "Au", "Options:Curr=USD")</f>
        <v>#NAME?</v>
      </c>
      <c r="BR67" s="72" t="str">
        <f ca="1">IFERROR(AVERAGE(_xll.SNL.Clients.Office.Excel.Functions.SPG($L67,$BR$4,"Au",BR$2, "Options:Curr=USD"),_xll.SNL.Clients.Office.Excel.Functions.SPG($L67,$BR$3,"Au",BR$2, "Options:Curr=USD")),"NA")</f>
        <v>NA</v>
      </c>
      <c r="BS67" s="72" t="str">
        <f ca="1">IFERROR(AVERAGE(_xll.SNL.Clients.Office.Excel.Functions.SPG($L67,$BR$4,"Au",BS$2, "Options:Curr=USD"),_xll.SNL.Clients.Office.Excel.Functions.SPG($L67,$BR$3,"Au",BS$2, "Options:Curr=USD")),"NA")</f>
        <v>NA</v>
      </c>
      <c r="BT67" s="78" t="str">
        <f ca="1">IFERROR(AVERAGE(_xll.SNL.Clients.Office.Excel.Functions.SPG($L67,$BR$4,"Au",BT$2, "Options:Curr=USD"),_xll.SNL.Clients.Office.Excel.Functions.SPG($L67,$BR$3,"Au",BT$2, "Options:Curr=USD")),"NA")</f>
        <v>NA</v>
      </c>
      <c r="BV67" s="36" t="s">
        <v>88</v>
      </c>
      <c r="BW67" s="36"/>
      <c r="BX67" s="36" t="s">
        <v>195</v>
      </c>
      <c r="BY67" s="36"/>
    </row>
    <row r="68" spans="1:77" ht="13.8" x14ac:dyDescent="0.25">
      <c r="A68" s="56" t="e">
        <f ca="1">_xll.SNL.Clients.Office.Excel.Functions.SPG($L68, A$3)</f>
        <v>#NAME?</v>
      </c>
      <c r="B68" s="56" t="e">
        <f ca="1">_xll.BDP($K68,B$3)</f>
        <v>#NAME?</v>
      </c>
      <c r="C68" s="56" t="e">
        <f ca="1">_xll.BDP($K68,C$3)</f>
        <v>#NAME?</v>
      </c>
      <c r="D68" s="56" t="e">
        <f ca="1">_xll.BDP($K68,D$3)</f>
        <v>#NAME?</v>
      </c>
      <c r="E68" s="57" t="s">
        <v>294</v>
      </c>
      <c r="F68" s="57" t="s">
        <v>83</v>
      </c>
      <c r="G68" s="57" t="s">
        <v>84</v>
      </c>
      <c r="H68" s="58" t="e">
        <f ca="1">_xll.SNL.Clients.Office.Excel.Functions.SPG($L68, "IQ_TEV", "Options: Curr=USD")</f>
        <v>#NAME?</v>
      </c>
      <c r="I68" s="58" t="e">
        <f ca="1">_xll.SNL.Clients.Office.Excel.Functions.SPG($L68, "SP_MARKETCAP", "Options: Curr=USD")</f>
        <v>#NAME?</v>
      </c>
      <c r="J68" s="59" t="s">
        <v>295</v>
      </c>
      <c r="K68" s="3" t="s">
        <v>296</v>
      </c>
      <c r="L68" s="3" t="s">
        <v>297</v>
      </c>
      <c r="M68" s="60" t="str" cm="1">
        <f t="array" aca="1" ref="M68" ca="1">IFERROR(_xll.SNL.Clients.Office.Excel.Functions.SPG($L68, $M$3)/100,"NA")</f>
        <v>NA</v>
      </c>
      <c r="N68" s="61" t="e" cm="1">
        <f t="array" aca="1" ref="N68" ca="1">_xll.SNL.Clients.Office.Excel.Functions.SPG($L68, "SP_PCFPS_FWD",N$2)</f>
        <v>#NAME?</v>
      </c>
      <c r="O68" s="62" t="e" cm="1">
        <f t="array" aca="1" ref="O68" ca="1">_xll.SNL.Clients.Office.Excel.Functions.SPG($L68, "SP_PCFPS_FWD",O$2)</f>
        <v>#NAME?</v>
      </c>
      <c r="P68" s="63" t="e" cm="1">
        <f t="array" aca="1" ref="P68" ca="1">_xll.SNL.Clients.Office.Excel.Functions.SPG($L68, "SP_PCFPS_FWD",P$2)</f>
        <v>#NAME?</v>
      </c>
      <c r="Q68" s="64" t="str">
        <f ca="1">IFERROR(_xll.SNL.Clients.Office.Excel.Functions.SPG($L68, "SP_FCF_EST",Q$2, "Options: Curr=USD")/1000/I68,"NA")</f>
        <v>NA</v>
      </c>
      <c r="R68" s="64" t="str">
        <f ca="1">IFERROR(_xll.SNL.Clients.Office.Excel.Functions.SPG($L68, "SP_FCF_EST",R$2, "Options: Curr=USD")/1000/I68,"NA")</f>
        <v>NA</v>
      </c>
      <c r="S68" s="64" t="e">
        <f ca="1">_xll.SNL.Clients.Office.Excel.Functions.SPG($L68, "SP_FCF_EST",S$2, "Options: Curr=USD")/1000/$I68</f>
        <v>#NAME?</v>
      </c>
      <c r="T68" s="61" t="e" cm="1">
        <f t="array" aca="1" ref="T68" ca="1">_xll.SNL.Clients.Office.Excel.Functions.SPG($L68, "SP_PE_FWD",T$2)</f>
        <v>#NAME?</v>
      </c>
      <c r="U68" s="63" t="e" cm="1">
        <f t="array" aca="1" ref="U68" ca="1">_xll.SNL.Clients.Office.Excel.Functions.SPG($L68, "SP_PE_FWD",U$2)</f>
        <v>#NAME?</v>
      </c>
      <c r="V68" s="80" t="e" cm="1">
        <f t="array" aca="1" ref="V68" ca="1">_xll.SNL.Clients.Office.Excel.Functions.SPG($L68, $V$3,V$2)</f>
        <v>#NAME?</v>
      </c>
      <c r="W68" s="81" t="e" cm="1">
        <f t="array" aca="1" ref="W68" ca="1">_xll.SNL.Clients.Office.Excel.Functions.SPG($L68, $V$3,W$2)</f>
        <v>#NAME?</v>
      </c>
      <c r="X68" s="82" t="e" cm="1">
        <f t="array" aca="1" ref="X68" ca="1">_xll.SNL.Clients.Office.Excel.Functions.SPG($L68, $V$3,X$2)</f>
        <v>#NAME?</v>
      </c>
      <c r="Y68" s="69" t="e" cm="1">
        <f t="array" aca="1" ref="Y68" ca="1">IF((_xll.SNL.Clients.Office.Excel.Functions.SPG($L68,Y$3,Y$4,"Options: Curr=USD") / _xll.SNL.Clients.Office.Excel.Functions.SPG($L68,"SP_EBITDA_EST",Y$2,"Options: Curr=USD")) &lt; 0, "NM", (_xll.SNL.Clients.Office.Excel.Functions.SPG($L68,Y$3,Y$4,"Options: Curr=USD") / _xll.SNL.Clients.Office.Excel.Functions.SPG($L68,"SP_EBITDA_EST",Y$2,"Options: Curr=USD")))</f>
        <v>#NAME?</v>
      </c>
      <c r="Z68" s="70" t="e" cm="1">
        <f t="array" aca="1" ref="Z68" ca="1">_xll.SNL.Clients.Office.Excel.Functions.SPG($L68, Z$3,Z$4)</f>
        <v>#NAME?</v>
      </c>
      <c r="AA68" s="77" t="str">
        <f ca="1">IFERROR(0.001*AVERAGE(_xll.SNL.Clients.Office.Excel.Functions.SPG($L68,$AA$4,"Au",AA$2),_xll.SNL.Clients.Office.Excel.Functions.SPG($L68,$AA$3,"Au",AA$2)),"NA")</f>
        <v>NA</v>
      </c>
      <c r="AB68" s="72" t="str">
        <f ca="1">IFERROR(0.001*AVERAGE(_xll.SNL.Clients.Office.Excel.Functions.SPG($L68,$AA$4,"Au",AB$2),_xll.SNL.Clients.Office.Excel.Functions.SPG($L68,$AA$3,"Au",AB$2)),"NA")</f>
        <v>NA</v>
      </c>
      <c r="AC68" s="78" t="str">
        <f ca="1">IFERROR(0.001*AVERAGE(_xll.SNL.Clients.Office.Excel.Functions.SPG($L68,$AA$4,"Au",AC$2),_xll.SNL.Clients.Office.Excel.Functions.SPG($L68,$AA$3,"Au",AC$2)),"NA")</f>
        <v>NA</v>
      </c>
      <c r="AD68" s="72" t="e">
        <f ca="1" xml:space="preserve"> IF(ISNUMBER(SEARCH("na",_xll.SNL.Clients.Office.Excel.Functions.SPG($L68, $AD$4, AD$2))), 0,_xll.SNL.Clients.Office.Excel.Functions.SPG($L68, $AD$4, AD$2))</f>
        <v>#NAME?</v>
      </c>
      <c r="AE68" s="72" t="e">
        <f ca="1" xml:space="preserve"> IF(ISNUMBER(SEARCH("na",_xll.SNL.Clients.Office.Excel.Functions.SPG($L68, $AD$4, AE$2))), 0,_xll.SNL.Clients.Office.Excel.Functions.SPG($L68, $AD$4, AE$2))</f>
        <v>#NAME?</v>
      </c>
      <c r="AF68" s="72" t="e">
        <f ca="1" xml:space="preserve"> IF(ISNUMBER(SEARCH("na",_xll.SNL.Clients.Office.Excel.Functions.SPG($L68, $AD$4, AF$2))), 0,_xll.SNL.Clients.Office.Excel.Functions.SPG($L68, $AD$4, AF$2))</f>
        <v>#NAME?</v>
      </c>
      <c r="AG68" s="72" t="e">
        <f ca="1" xml:space="preserve"> IF(ISNUMBER(SEARCH("na",_xll.SNL.Clients.Office.Excel.Functions.SPG($L68, $AG$4, AG$2))), 0,_xll.SNL.Clients.Office.Excel.Functions.SPG($L68, $AG$4, AG$2))</f>
        <v>#NAME?</v>
      </c>
      <c r="AH68" s="72" t="e">
        <f ca="1" xml:space="preserve"> IF(ISNUMBER(SEARCH("na",_xll.SNL.Clients.Office.Excel.Functions.SPG($L68, $AG$4, AH$2))), 0,_xll.SNL.Clients.Office.Excel.Functions.SPG($L68, $AG$4, AH$2))</f>
        <v>#NAME?</v>
      </c>
      <c r="AI68" s="72" t="e">
        <f ca="1" xml:space="preserve"> IF(ISNUMBER(SEARCH("na",_xll.SNL.Clients.Office.Excel.Functions.SPG($L68, $AG$4, AI$2))), 0,_xll.SNL.Clients.Office.Excel.Functions.SPG($L68, $AG$4, AI$2))</f>
        <v>#NAME?</v>
      </c>
      <c r="AJ68" s="72" t="e">
        <f ca="1" xml:space="preserve"> IF(ISNUMBER(SEARCH("na",_xll.SNL.Clients.Office.Excel.Functions.SPG($L68, $AJ$4, AJ$2))), 0,_xll.SNL.Clients.Office.Excel.Functions.SPG($L68, $AJ$4, AJ$2))</f>
        <v>#NAME?</v>
      </c>
      <c r="AK68" s="72" t="e">
        <f ca="1" xml:space="preserve"> IF(ISNUMBER(SEARCH("na",_xll.SNL.Clients.Office.Excel.Functions.SPG($L68, $AJ$4, AK$2))), 0,_xll.SNL.Clients.Office.Excel.Functions.SPG($L68, $AJ$4, AK$2))</f>
        <v>#NAME?</v>
      </c>
      <c r="AL68" s="72" t="e">
        <f ca="1" xml:space="preserve"> IF(ISNUMBER(SEARCH("na",_xll.SNL.Clients.Office.Excel.Functions.SPG($L68, $AJ$4, AL$2))), 0,_xll.SNL.Clients.Office.Excel.Functions.SPG($L68, $AJ$4, AL$2))</f>
        <v>#NAME?</v>
      </c>
      <c r="AM68" s="72" t="e">
        <f t="shared" ref="AM68:AM75" ca="1" si="350">AD68+AG68*agprice/auprice+AJ68*cuprice/auprice</f>
        <v>#NAME?</v>
      </c>
      <c r="AN68" s="72" t="e">
        <f t="shared" ref="AN68:AN75" ca="1" si="351">AE68+AH68*agprice/auprice+AK68*cuprice/auprice</f>
        <v>#NAME?</v>
      </c>
      <c r="AO68" s="72" t="e">
        <f t="shared" ref="AO68:AO75" ca="1" si="352">AF68+AI68*agprice/auprice+AL68*cuprice/auprice</f>
        <v>#NAME?</v>
      </c>
      <c r="AP68" s="83" t="str">
        <f t="shared" ca="1" si="219"/>
        <v>NA</v>
      </c>
      <c r="AQ68" s="84" t="str">
        <f t="shared" ca="1" si="219"/>
        <v>NA</v>
      </c>
      <c r="AR68" s="85" t="str">
        <f t="shared" ca="1" si="219"/>
        <v>NA</v>
      </c>
      <c r="AS68" s="72">
        <f ca="1">IFERROR(_xll.SNL.Clients.Office.Excel.Functions.SPG($L68, $AS$3, AS$2,$AS$4)/1000,0)</f>
        <v>0</v>
      </c>
      <c r="AT68" s="72">
        <f ca="1">IFERROR(_xll.SNL.Clients.Office.Excel.Functions.SPG($L68, $AS$3, AT$2,$AS$4)/1000,0)</f>
        <v>0</v>
      </c>
      <c r="AU68" s="72">
        <f ca="1">IFERROR(_xll.SNL.Clients.Office.Excel.Functions.SPG($L68, $AV$3, AU$2,$AS$4)/1000,0)</f>
        <v>0</v>
      </c>
      <c r="AV68" s="72">
        <f ca="1">IFERROR(_xll.SNL.Clients.Office.Excel.Functions.SPG($L68, $AV$3, AV$2,$AS$4)/1000,0)</f>
        <v>0</v>
      </c>
      <c r="AW68" s="72">
        <f ca="1">IFERROR(_xll.SNL.Clients.Office.Excel.Functions.SPG($L68, $AV$3, AW$2,$AS$4)/1000,0)</f>
        <v>0</v>
      </c>
      <c r="AX68" s="72">
        <f ca="1">IFERROR(_xll.SNL.Clients.Office.Excel.Functions.SPG($L68, $AX$3, AX$2,$AS$4)/1000,0)</f>
        <v>0</v>
      </c>
      <c r="AY68" s="72">
        <f ca="1">IFERROR(_xll.SNL.Clients.Office.Excel.Functions.SPG($L68, $AX$3, AY$2,$AS$4)/1000,0)</f>
        <v>0</v>
      </c>
      <c r="AZ68" s="72">
        <f ca="1">IFERROR(_xll.SNL.Clients.Office.Excel.Functions.SPG($L68, $BA$3, AZ$2,$AS$4)/1000,0)</f>
        <v>0</v>
      </c>
      <c r="BA68" s="72">
        <f ca="1">IFERROR(_xll.SNL.Clients.Office.Excel.Functions.SPG($L68, $BA$3, BA$2,$AS$4)/1000,0)</f>
        <v>0</v>
      </c>
      <c r="BB68" s="72">
        <f ca="1">IFERROR(_xll.SNL.Clients.Office.Excel.Functions.SPG($L68, $BA$3, BB$2,$AS$4)/1000,0)</f>
        <v>0</v>
      </c>
      <c r="BC68" s="72">
        <f ca="1">IFERROR(_xll.SNL.Clients.Office.Excel.Functions.SPG($L68, $BC$3, BC$2,$AS$4)/1000,0)</f>
        <v>0</v>
      </c>
      <c r="BD68" s="72">
        <f ca="1">IFERROR(_xll.SNL.Clients.Office.Excel.Functions.SPG($L68, $BC$3, BD$2,$AS$4)/1000,0)</f>
        <v>0</v>
      </c>
      <c r="BE68" s="72">
        <f ca="1">IFERROR(_xll.SNL.Clients.Office.Excel.Functions.SPG($L68, $BF$3, BE$2,$AS$4)/1000,0)</f>
        <v>0</v>
      </c>
      <c r="BF68" s="72">
        <f ca="1">IFERROR(_xll.SNL.Clients.Office.Excel.Functions.SPG($L68, $BF$3, BF$2,$AS$4)/1000,0)</f>
        <v>0</v>
      </c>
      <c r="BG68" s="72">
        <f ca="1">IFERROR(_xll.SNL.Clients.Office.Excel.Functions.SPG($L68, $BF$3, BG$2,$AS$4)/1000,0)</f>
        <v>0</v>
      </c>
      <c r="BH68" s="72">
        <f t="shared" ref="BH68:BH75" ca="1" si="353">AS68+AT68*agprice/auprice+AU68*cuprice/auprice+AV68*znprice/auprice+AW68*pbprice/auprice</f>
        <v>0</v>
      </c>
      <c r="BI68" s="72">
        <f t="shared" ref="BI68:BI75" ca="1" si="354">AX68+AY68*agprice/auprice+AZ68*cuprice/auprice+BA68*znprice/auprice+BB68*pbprice/auprice+BH68</f>
        <v>0</v>
      </c>
      <c r="BJ68" s="72">
        <f t="shared" ref="BJ68:BJ75" ca="1" si="355">BC68+BD68*agprice/auprice+BE68*cuprice/auprice+BF68*znprice/auprice+BG68*pbprice/auprice+BH68</f>
        <v>0</v>
      </c>
      <c r="BK68" s="77" t="e">
        <f t="shared" ca="1" si="223"/>
        <v>#NAME?</v>
      </c>
      <c r="BL68" s="72" t="e">
        <f t="shared" ca="1" si="223"/>
        <v>#NAME?</v>
      </c>
      <c r="BM68" s="78" t="e">
        <f t="shared" ca="1" si="223"/>
        <v>#NAME?</v>
      </c>
      <c r="BN68" s="72" t="e">
        <f ca="1">_xll.SNL.Clients.Office.Excel.Functions.SPG($L68, $BN$3, BN$2, "Au", "Options:Curr=USD")</f>
        <v>#NAME?</v>
      </c>
      <c r="BO68" s="72" t="e">
        <f ca="1">_xll.SNL.Clients.Office.Excel.Functions.SPG($L68, $BN$3, BO$2, "Au", "Options:Curr=USD")</f>
        <v>#NAME?</v>
      </c>
      <c r="BP68" s="72" t="e">
        <f ca="1">_xll.SNL.Clients.Office.Excel.Functions.SPG($L68, $BN$3, BP$2, "Au", "Options:Curr=USD")</f>
        <v>#NAME?</v>
      </c>
      <c r="BQ68" s="78" t="e">
        <f ca="1">_xll.SNL.Clients.Office.Excel.Functions.SPG($L68, $BN$3, BQ$2, "Au", "Options:Curr=USD")</f>
        <v>#NAME?</v>
      </c>
      <c r="BR68" s="72" t="str">
        <f ca="1">IFERROR(AVERAGE(_xll.SNL.Clients.Office.Excel.Functions.SPG($L68,$BR$4,"Au",BR$2, "Options:Curr=USD"),_xll.SNL.Clients.Office.Excel.Functions.SPG($L68,$BR$3,"Au",BR$2, "Options:Curr=USD")),"NA")</f>
        <v>NA</v>
      </c>
      <c r="BS68" s="72" t="str">
        <f ca="1">IFERROR(AVERAGE(_xll.SNL.Clients.Office.Excel.Functions.SPG($L68,$BR$4,"Au",BS$2, "Options:Curr=USD"),_xll.SNL.Clients.Office.Excel.Functions.SPG($L68,$BR$3,"Au",BS$2, "Options:Curr=USD")),"NA")</f>
        <v>NA</v>
      </c>
      <c r="BT68" s="78" t="str">
        <f ca="1">IFERROR(AVERAGE(_xll.SNL.Clients.Office.Excel.Functions.SPG($L68,$BR$4,"Au",BT$2, "Options:Curr=USD"),_xll.SNL.Clients.Office.Excel.Functions.SPG($L68,$BR$3,"Au",BT$2, "Options:Curr=USD")),"NA")</f>
        <v>NA</v>
      </c>
      <c r="BV68" s="36" t="s">
        <v>88</v>
      </c>
      <c r="BW68" s="36"/>
      <c r="BX68" s="36" t="s">
        <v>195</v>
      </c>
      <c r="BY68" s="36"/>
    </row>
    <row r="69" spans="1:77" ht="13.8" x14ac:dyDescent="0.25">
      <c r="A69" s="56" t="e">
        <f ca="1">_xll.SNL.Clients.Office.Excel.Functions.SPG($L69, A$3)</f>
        <v>#NAME?</v>
      </c>
      <c r="B69" s="56" t="e">
        <f ca="1">_xll.BDP($K69,B$3)</f>
        <v>#NAME?</v>
      </c>
      <c r="C69" s="56" t="e">
        <f ca="1">_xll.BDP($K69,C$3)</f>
        <v>#NAME?</v>
      </c>
      <c r="D69" s="56" t="e">
        <f ca="1">_xll.BDP($K69,D$3)</f>
        <v>#NAME?</v>
      </c>
      <c r="E69" s="57" t="s">
        <v>145</v>
      </c>
      <c r="F69" s="57" t="s">
        <v>107</v>
      </c>
      <c r="G69" s="57" t="s">
        <v>84</v>
      </c>
      <c r="H69" s="58" t="e">
        <f ca="1">_xll.SNL.Clients.Office.Excel.Functions.SPG($L69, "IQ_TEV", "Options: Curr=USD")</f>
        <v>#NAME?</v>
      </c>
      <c r="I69" s="58" t="e">
        <f ca="1">_xll.SNL.Clients.Office.Excel.Functions.SPG($L69, "SP_MARKETCAP", "Options: Curr=USD")</f>
        <v>#NAME?</v>
      </c>
      <c r="J69" s="59" t="s">
        <v>298</v>
      </c>
      <c r="K69" s="3" t="s">
        <v>299</v>
      </c>
      <c r="L69" s="3" t="s">
        <v>300</v>
      </c>
      <c r="M69" s="60" t="str" cm="1">
        <f t="array" aca="1" ref="M69" ca="1">IFERROR(_xll.SNL.Clients.Office.Excel.Functions.SPG($L69, $M$3)/100,"NA")</f>
        <v>NA</v>
      </c>
      <c r="N69" s="61" t="e" cm="1">
        <f t="array" aca="1" ref="N69" ca="1">_xll.SNL.Clients.Office.Excel.Functions.SPG($L69, "SP_PCFPS_FWD",N$2)</f>
        <v>#NAME?</v>
      </c>
      <c r="O69" s="62" t="e" cm="1">
        <f t="array" aca="1" ref="O69" ca="1">_xll.SNL.Clients.Office.Excel.Functions.SPG($L69, "SP_PCFPS_FWD",O$2)</f>
        <v>#NAME?</v>
      </c>
      <c r="P69" s="63" t="e" cm="1">
        <f t="array" aca="1" ref="P69" ca="1">_xll.SNL.Clients.Office.Excel.Functions.SPG($L69, "SP_PCFPS_FWD",P$2)</f>
        <v>#NAME?</v>
      </c>
      <c r="Q69" s="64" t="str">
        <f ca="1">IFERROR(_xll.SNL.Clients.Office.Excel.Functions.SPG($L69, "SP_FCF_EST",Q$2, "Options: Curr=USD")/1000/I69,"NA")</f>
        <v>NA</v>
      </c>
      <c r="R69" s="64" t="str">
        <f ca="1">IFERROR(_xll.SNL.Clients.Office.Excel.Functions.SPG($L69, "SP_FCF_EST",R$2, "Options: Curr=USD")/1000/I69,"NA")</f>
        <v>NA</v>
      </c>
      <c r="S69" s="64" t="str">
        <f ca="1">IFERROR(_xll.SNL.Clients.Office.Excel.Functions.SPG($L69, "SP_FCF_EST",S$2, "Options: Curr=USD")/1000/J69,"NA")</f>
        <v>NA</v>
      </c>
      <c r="T69" s="61" t="e" cm="1">
        <f t="array" aca="1" ref="T69" ca="1">_xll.SNL.Clients.Office.Excel.Functions.SPG($L69, "SP_PE_FWD",T$2)</f>
        <v>#NAME?</v>
      </c>
      <c r="U69" s="63" t="e" cm="1">
        <f t="array" aca="1" ref="U69" ca="1">_xll.SNL.Clients.Office.Excel.Functions.SPG($L69, "SP_PE_FWD",U$2)</f>
        <v>#NAME?</v>
      </c>
      <c r="V69" s="80" t="e" cm="1">
        <f t="array" aca="1" ref="V69" ca="1">_xll.SNL.Clients.Office.Excel.Functions.SPG($L69, $V$3,V$2)</f>
        <v>#NAME?</v>
      </c>
      <c r="W69" s="81" t="e" cm="1">
        <f t="array" aca="1" ref="W69" ca="1">_xll.SNL.Clients.Office.Excel.Functions.SPG($L69, $V$3,W$2)</f>
        <v>#NAME?</v>
      </c>
      <c r="X69" s="82" t="e" cm="1">
        <f t="array" aca="1" ref="X69" ca="1">_xll.SNL.Clients.Office.Excel.Functions.SPG($L69, $V$3,X$2)</f>
        <v>#NAME?</v>
      </c>
      <c r="Y69" s="69" t="e" cm="1">
        <f t="array" aca="1" ref="Y69" ca="1">IF((_xll.SNL.Clients.Office.Excel.Functions.SPG($L69,Y$3,Y$4,"Options: Curr=USD") / _xll.SNL.Clients.Office.Excel.Functions.SPG($L69,"SP_EBITDA_EST",Y$2,"Options: Curr=USD")) &lt; 0, "NM", (_xll.SNL.Clients.Office.Excel.Functions.SPG($L69,Y$3,Y$4,"Options: Curr=USD") / _xll.SNL.Clients.Office.Excel.Functions.SPG($L69,"SP_EBITDA_EST",Y$2,"Options: Curr=USD")))</f>
        <v>#NAME?</v>
      </c>
      <c r="Z69" s="70" t="e" cm="1">
        <f t="array" aca="1" ref="Z69" ca="1">_xll.SNL.Clients.Office.Excel.Functions.SPG($L69, Z$3,Z$4)</f>
        <v>#NAME?</v>
      </c>
      <c r="AA69" s="77" t="str">
        <f ca="1">IFERROR(0.001*AVERAGE(_xll.SNL.Clients.Office.Excel.Functions.SPG($L69,$AA$4,"Au",AA$2),_xll.SNL.Clients.Office.Excel.Functions.SPG($L69,$AA$3,"Au",AA$2)),"NA")</f>
        <v>NA</v>
      </c>
      <c r="AB69" s="72" t="str">
        <f ca="1">IFERROR(0.001*AVERAGE(_xll.SNL.Clients.Office.Excel.Functions.SPG($L69,$AA$4,"Au",AB$2),_xll.SNL.Clients.Office.Excel.Functions.SPG($L69,$AA$3,"Au",AB$2)),"NA")</f>
        <v>NA</v>
      </c>
      <c r="AC69" s="78" t="str">
        <f ca="1">IFERROR(0.001*AVERAGE(_xll.SNL.Clients.Office.Excel.Functions.SPG($L69,$AA$4,"Au",AC$2),_xll.SNL.Clients.Office.Excel.Functions.SPG($L69,$AA$3,"Au",AC$2)),"NA")</f>
        <v>NA</v>
      </c>
      <c r="AD69" s="72" t="e">
        <f ca="1" xml:space="preserve"> IF(ISNUMBER(SEARCH("na",_xll.SNL.Clients.Office.Excel.Functions.SPG($L69, $AD$4, AD$2))), 0,_xll.SNL.Clients.Office.Excel.Functions.SPG($L69, $AD$4, AD$2))</f>
        <v>#NAME?</v>
      </c>
      <c r="AE69" s="72" t="e">
        <f ca="1" xml:space="preserve"> IF(ISNUMBER(SEARCH("na",_xll.SNL.Clients.Office.Excel.Functions.SPG($L69, $AD$4, AE$2))), 0,_xll.SNL.Clients.Office.Excel.Functions.SPG($L69, $AD$4, AE$2))</f>
        <v>#NAME?</v>
      </c>
      <c r="AF69" s="72" t="e">
        <f ca="1" xml:space="preserve"> IF(ISNUMBER(SEARCH("na",_xll.SNL.Clients.Office.Excel.Functions.SPG($L69, $AD$4, AF$2))), 0,_xll.SNL.Clients.Office.Excel.Functions.SPG($L69, $AD$4, AF$2))</f>
        <v>#NAME?</v>
      </c>
      <c r="AG69" s="72" t="e">
        <f ca="1" xml:space="preserve"> IF(ISNUMBER(SEARCH("na",_xll.SNL.Clients.Office.Excel.Functions.SPG($L69, $AG$4, AG$2))), 0,_xll.SNL.Clients.Office.Excel.Functions.SPG($L69, $AG$4, AG$2))</f>
        <v>#NAME?</v>
      </c>
      <c r="AH69" s="72" t="e">
        <f ca="1" xml:space="preserve"> IF(ISNUMBER(SEARCH("na",_xll.SNL.Clients.Office.Excel.Functions.SPG($L69, $AG$4, AH$2))), 0,_xll.SNL.Clients.Office.Excel.Functions.SPG($L69, $AG$4, AH$2))</f>
        <v>#NAME?</v>
      </c>
      <c r="AI69" s="72" t="e">
        <f ca="1" xml:space="preserve"> IF(ISNUMBER(SEARCH("na",_xll.SNL.Clients.Office.Excel.Functions.SPG($L69, $AG$4, AI$2))), 0,_xll.SNL.Clients.Office.Excel.Functions.SPG($L69, $AG$4, AI$2))</f>
        <v>#NAME?</v>
      </c>
      <c r="AJ69" s="72" t="e">
        <f ca="1" xml:space="preserve"> IF(ISNUMBER(SEARCH("na",_xll.SNL.Clients.Office.Excel.Functions.SPG($L69, $AJ$4, AJ$2))), 0,_xll.SNL.Clients.Office.Excel.Functions.SPG($L69, $AJ$4, AJ$2))</f>
        <v>#NAME?</v>
      </c>
      <c r="AK69" s="72" t="e">
        <f ca="1" xml:space="preserve"> IF(ISNUMBER(SEARCH("na",_xll.SNL.Clients.Office.Excel.Functions.SPG($L69, $AJ$4, AK$2))), 0,_xll.SNL.Clients.Office.Excel.Functions.SPG($L69, $AJ$4, AK$2))</f>
        <v>#NAME?</v>
      </c>
      <c r="AL69" s="72" t="e">
        <f ca="1" xml:space="preserve"> IF(ISNUMBER(SEARCH("na",_xll.SNL.Clients.Office.Excel.Functions.SPG($L69, $AJ$4, AL$2))), 0,_xll.SNL.Clients.Office.Excel.Functions.SPG($L69, $AJ$4, AL$2))</f>
        <v>#NAME?</v>
      </c>
      <c r="AM69" s="72" t="e">
        <f t="shared" ref="AM69:AM76" ca="1" si="356">AD69+AG69*agprice/auprice+AJ69*cuprice/auprice</f>
        <v>#NAME?</v>
      </c>
      <c r="AN69" s="72" t="e">
        <f t="shared" ref="AN69:AN76" ca="1" si="357">AE69+AH69*agprice/auprice+AK69*cuprice/auprice</f>
        <v>#NAME?</v>
      </c>
      <c r="AO69" s="72" t="e">
        <f t="shared" ref="AO69:AO76" ca="1" si="358">AF69+AI69*agprice/auprice+AL69*cuprice/auprice</f>
        <v>#NAME?</v>
      </c>
      <c r="AP69" s="83" t="str">
        <f t="shared" ca="1" si="219"/>
        <v>NA</v>
      </c>
      <c r="AQ69" s="84" t="str">
        <f t="shared" ca="1" si="219"/>
        <v>NA</v>
      </c>
      <c r="AR69" s="85" t="str">
        <f t="shared" ca="1" si="219"/>
        <v>NA</v>
      </c>
      <c r="AS69" s="72">
        <f ca="1">IFERROR(_xll.SNL.Clients.Office.Excel.Functions.SPG($L69, $AS$3, AS$2,$AS$4)/1000,0)</f>
        <v>0</v>
      </c>
      <c r="AT69" s="72">
        <f ca="1">IFERROR(_xll.SNL.Clients.Office.Excel.Functions.SPG($L69, $AS$3, AT$2,$AS$4)/1000,0)</f>
        <v>0</v>
      </c>
      <c r="AU69" s="72">
        <f ca="1">IFERROR(_xll.SNL.Clients.Office.Excel.Functions.SPG($L69, $AV$3, AU$2,$AS$4)/1000,0)</f>
        <v>0</v>
      </c>
      <c r="AV69" s="72">
        <f ca="1">IFERROR(_xll.SNL.Clients.Office.Excel.Functions.SPG($L69, $AV$3, AV$2,$AS$4)/1000,0)</f>
        <v>0</v>
      </c>
      <c r="AW69" s="72">
        <f ca="1">IFERROR(_xll.SNL.Clients.Office.Excel.Functions.SPG($L69, $AV$3, AW$2,$AS$4)/1000,0)</f>
        <v>0</v>
      </c>
      <c r="AX69" s="72">
        <f ca="1">IFERROR(_xll.SNL.Clients.Office.Excel.Functions.SPG($L69, $AX$3, AX$2,$AS$4)/1000,0)</f>
        <v>0</v>
      </c>
      <c r="AY69" s="72">
        <f ca="1">IFERROR(_xll.SNL.Clients.Office.Excel.Functions.SPG($L69, $AX$3, AY$2,$AS$4)/1000,0)</f>
        <v>0</v>
      </c>
      <c r="AZ69" s="72">
        <f ca="1">IFERROR(_xll.SNL.Clients.Office.Excel.Functions.SPG($L69, $BA$3, AZ$2,$AS$4)/1000,0)</f>
        <v>0</v>
      </c>
      <c r="BA69" s="72">
        <f ca="1">IFERROR(_xll.SNL.Clients.Office.Excel.Functions.SPG($L69, $BA$3, BA$2,$AS$4)/1000,0)</f>
        <v>0</v>
      </c>
      <c r="BB69" s="72">
        <f ca="1">IFERROR(_xll.SNL.Clients.Office.Excel.Functions.SPG($L69, $BA$3, BB$2,$AS$4)/1000,0)</f>
        <v>0</v>
      </c>
      <c r="BC69" s="72">
        <f ca="1">IFERROR(_xll.SNL.Clients.Office.Excel.Functions.SPG($L69, $BC$3, BC$2,$AS$4)/1000,0)</f>
        <v>0</v>
      </c>
      <c r="BD69" s="72">
        <f ca="1">IFERROR(_xll.SNL.Clients.Office.Excel.Functions.SPG($L69, $BC$3, BD$2,$AS$4)/1000,0)</f>
        <v>0</v>
      </c>
      <c r="BE69" s="72">
        <f ca="1">IFERROR(_xll.SNL.Clients.Office.Excel.Functions.SPG($L69, $BF$3, BE$2,$AS$4)/1000,0)</f>
        <v>0</v>
      </c>
      <c r="BF69" s="72">
        <f ca="1">IFERROR(_xll.SNL.Clients.Office.Excel.Functions.SPG($L69, $BF$3, BF$2,$AS$4)/1000,0)</f>
        <v>0</v>
      </c>
      <c r="BG69" s="72">
        <f ca="1">IFERROR(_xll.SNL.Clients.Office.Excel.Functions.SPG($L69, $BF$3, BG$2,$AS$4)/1000,0)</f>
        <v>0</v>
      </c>
      <c r="BH69" s="72">
        <f t="shared" ref="BH69:BH76" ca="1" si="359">AS69+AT69*agprice/auprice+AU69*cuprice/auprice+AV69*znprice/auprice+AW69*pbprice/auprice</f>
        <v>0</v>
      </c>
      <c r="BI69" s="72">
        <f t="shared" ref="BI69:BI76" ca="1" si="360">AX69+AY69*agprice/auprice+AZ69*cuprice/auprice+BA69*znprice/auprice+BB69*pbprice/auprice+BH69</f>
        <v>0</v>
      </c>
      <c r="BJ69" s="72">
        <f t="shared" ref="BJ69:BJ76" ca="1" si="361">BC69+BD69*agprice/auprice+BE69*cuprice/auprice+BF69*znprice/auprice+BG69*pbprice/auprice+BH69</f>
        <v>0</v>
      </c>
      <c r="BK69" s="77" t="e">
        <f t="shared" ca="1" si="223"/>
        <v>#NAME?</v>
      </c>
      <c r="BL69" s="72" t="e">
        <f t="shared" ca="1" si="223"/>
        <v>#NAME?</v>
      </c>
      <c r="BM69" s="78" t="e">
        <f t="shared" ca="1" si="223"/>
        <v>#NAME?</v>
      </c>
      <c r="BN69" s="72" t="e">
        <f ca="1">_xll.SNL.Clients.Office.Excel.Functions.SPG($L69, $BN$3, BN$2, "Au", "Options:Curr=USD")</f>
        <v>#NAME?</v>
      </c>
      <c r="BO69" s="72" t="e">
        <f ca="1">_xll.SNL.Clients.Office.Excel.Functions.SPG($L69, $BN$3, BO$2, "Au", "Options:Curr=USD")</f>
        <v>#NAME?</v>
      </c>
      <c r="BP69" s="72" t="e">
        <f ca="1">_xll.SNL.Clients.Office.Excel.Functions.SPG($L69, $BN$3, BP$2, "Au", "Options:Curr=USD")</f>
        <v>#NAME?</v>
      </c>
      <c r="BQ69" s="78" t="e">
        <f ca="1">_xll.SNL.Clients.Office.Excel.Functions.SPG($L69, $BN$3, BQ$2, "Au", "Options:Curr=USD")</f>
        <v>#NAME?</v>
      </c>
      <c r="BR69" s="72" t="str">
        <f ca="1">IFERROR(AVERAGE(_xll.SNL.Clients.Office.Excel.Functions.SPG($L69,$BR$4,"Au",BR$2, "Options:Curr=USD"),_xll.SNL.Clients.Office.Excel.Functions.SPG($L69,$BR$3,"Au",BR$2, "Options:Curr=USD")),"NA")</f>
        <v>NA</v>
      </c>
      <c r="BS69" s="72" t="str">
        <f ca="1">IFERROR(AVERAGE(_xll.SNL.Clients.Office.Excel.Functions.SPG($L69,$BR$4,"Au",BS$2, "Options:Curr=USD"),_xll.SNL.Clients.Office.Excel.Functions.SPG($L69,$BR$3,"Au",BS$2, "Options:Curr=USD")),"NA")</f>
        <v>NA</v>
      </c>
      <c r="BT69" s="78" t="str">
        <f ca="1">IFERROR(AVERAGE(_xll.SNL.Clients.Office.Excel.Functions.SPG($L69,$BR$4,"Au",BT$2, "Options:Curr=USD"),_xll.SNL.Clients.Office.Excel.Functions.SPG($L69,$BR$3,"Au",BT$2, "Options:Curr=USD")),"NA")</f>
        <v>NA</v>
      </c>
      <c r="BV69" s="36" t="s">
        <v>88</v>
      </c>
      <c r="BW69" s="36"/>
      <c r="BX69" s="36" t="s">
        <v>195</v>
      </c>
      <c r="BY69" s="36"/>
    </row>
    <row r="70" spans="1:77" ht="13.8" x14ac:dyDescent="0.25">
      <c r="A70" s="56" t="e">
        <f ca="1">_xll.SNL.Clients.Office.Excel.Functions.SPG($L70, A$3)</f>
        <v>#NAME?</v>
      </c>
      <c r="B70" s="56" t="e">
        <f ca="1">_xll.BDP($K70,B$3)</f>
        <v>#NAME?</v>
      </c>
      <c r="C70" s="56" t="e">
        <f ca="1">_xll.BDP($K70,C$3)</f>
        <v>#NAME?</v>
      </c>
      <c r="D70" s="56" t="e">
        <f ca="1">_xll.BDP($K70,D$3)</f>
        <v>#NAME?</v>
      </c>
      <c r="E70" s="57" t="s">
        <v>90</v>
      </c>
      <c r="F70" s="57" t="s">
        <v>83</v>
      </c>
      <c r="G70" s="57" t="s">
        <v>84</v>
      </c>
      <c r="H70" s="58" t="e">
        <f ca="1">_xll.SNL.Clients.Office.Excel.Functions.SPG($L70, "IQ_TEV", "Options: Curr=USD")</f>
        <v>#NAME?</v>
      </c>
      <c r="I70" s="58" t="e">
        <f ca="1">_xll.SNL.Clients.Office.Excel.Functions.SPG($L70, "SP_MARKETCAP", "Options: Curr=USD")</f>
        <v>#NAME?</v>
      </c>
      <c r="J70" s="59" t="s">
        <v>301</v>
      </c>
      <c r="K70" s="3" t="s">
        <v>302</v>
      </c>
      <c r="L70" s="3" t="s">
        <v>303</v>
      </c>
      <c r="M70" s="60" t="str" cm="1">
        <f t="array" aca="1" ref="M70" ca="1">IFERROR(_xll.SNL.Clients.Office.Excel.Functions.SPG($L70, $M$3)/100,"NA")</f>
        <v>NA</v>
      </c>
      <c r="N70" s="61" t="e" cm="1">
        <f t="array" aca="1" ref="N70" ca="1">_xll.SNL.Clients.Office.Excel.Functions.SPG($L70, "SP_PCFPS_FWD",N$2)</f>
        <v>#NAME?</v>
      </c>
      <c r="O70" s="62" t="e" cm="1">
        <f t="array" aca="1" ref="O70" ca="1">_xll.SNL.Clients.Office.Excel.Functions.SPG($L70, "SP_PCFPS_FWD",O$2)</f>
        <v>#NAME?</v>
      </c>
      <c r="P70" s="63" t="e" cm="1">
        <f t="array" aca="1" ref="P70" ca="1">_xll.SNL.Clients.Office.Excel.Functions.SPG($L70, "SP_PCFPS_FWD",P$2)</f>
        <v>#NAME?</v>
      </c>
      <c r="Q70" s="64" t="str">
        <f ca="1">IFERROR(_xll.SNL.Clients.Office.Excel.Functions.SPG($L70, "SP_FCF_EST",Q$2, "Options: Curr=USD")/1000/I70,"NA")</f>
        <v>NA</v>
      </c>
      <c r="R70" s="64" t="str">
        <f ca="1">IFERROR(_xll.SNL.Clients.Office.Excel.Functions.SPG($L70, "SP_FCF_EST",R$2, "Options: Curr=USD")/1000/I70,"NA")</f>
        <v>NA</v>
      </c>
      <c r="S70" s="64" t="e">
        <f ca="1">_xll.SNL.Clients.Office.Excel.Functions.SPG($L70, "SP_FCF_EST",S$2, "Options: Curr=USD")/1000/$I70</f>
        <v>#NAME?</v>
      </c>
      <c r="T70" s="61" t="e" cm="1">
        <f t="array" aca="1" ref="T70" ca="1">_xll.SNL.Clients.Office.Excel.Functions.SPG($L70, "SP_PE_FWD",T$2)</f>
        <v>#NAME?</v>
      </c>
      <c r="U70" s="63" t="e" cm="1">
        <f t="array" aca="1" ref="U70" ca="1">_xll.SNL.Clients.Office.Excel.Functions.SPG($L70, "SP_PE_FWD",U$2)</f>
        <v>#NAME?</v>
      </c>
      <c r="V70" s="80" t="e" cm="1">
        <f t="array" aca="1" ref="V70" ca="1">_xll.SNL.Clients.Office.Excel.Functions.SPG($L70, $V$3,V$2)</f>
        <v>#NAME?</v>
      </c>
      <c r="W70" s="81" t="e" cm="1">
        <f t="array" aca="1" ref="W70" ca="1">_xll.SNL.Clients.Office.Excel.Functions.SPG($L70, $V$3,W$2)</f>
        <v>#NAME?</v>
      </c>
      <c r="X70" s="82" t="e" cm="1">
        <f t="array" aca="1" ref="X70" ca="1">_xll.SNL.Clients.Office.Excel.Functions.SPG($L70, $V$3,X$2)</f>
        <v>#NAME?</v>
      </c>
      <c r="Y70" s="69" t="e" cm="1">
        <f t="array" aca="1" ref="Y70" ca="1">IF((_xll.SNL.Clients.Office.Excel.Functions.SPG($L70,Y$3,Y$4,"Options: Curr=USD") / _xll.SNL.Clients.Office.Excel.Functions.SPG($L70,"SP_EBITDA_EST",Y$2,"Options: Curr=USD")) &lt; 0, "NM", (_xll.SNL.Clients.Office.Excel.Functions.SPG($L70,Y$3,Y$4,"Options: Curr=USD") / _xll.SNL.Clients.Office.Excel.Functions.SPG($L70,"SP_EBITDA_EST",Y$2,"Options: Curr=USD")))</f>
        <v>#NAME?</v>
      </c>
      <c r="Z70" s="70" t="e" cm="1">
        <f t="array" aca="1" ref="Z70" ca="1">_xll.SNL.Clients.Office.Excel.Functions.SPG($L70, Z$3,Z$4)</f>
        <v>#NAME?</v>
      </c>
      <c r="AA70" s="77" t="str">
        <f ca="1">IFERROR(0.001*AVERAGE(_xll.SNL.Clients.Office.Excel.Functions.SPG($L70,$AA$4,"Au",AA$2),_xll.SNL.Clients.Office.Excel.Functions.SPG($L70,$AA$3,"Au",AA$2)),"NA")</f>
        <v>NA</v>
      </c>
      <c r="AB70" s="72" t="str">
        <f ca="1">IFERROR(0.001*AVERAGE(_xll.SNL.Clients.Office.Excel.Functions.SPG($L70,$AA$4,"Au",AB$2),_xll.SNL.Clients.Office.Excel.Functions.SPG($L70,$AA$3,"Au",AB$2)),"NA")</f>
        <v>NA</v>
      </c>
      <c r="AC70" s="78" t="str">
        <f ca="1">IFERROR(0.001*AVERAGE(_xll.SNL.Clients.Office.Excel.Functions.SPG($L70,$AA$4,"Au",AC$2),_xll.SNL.Clients.Office.Excel.Functions.SPG($L70,$AA$3,"Au",AC$2)),"NA")</f>
        <v>NA</v>
      </c>
      <c r="AD70" s="72" t="e">
        <f ca="1" xml:space="preserve"> IF(ISNUMBER(SEARCH("na",_xll.SNL.Clients.Office.Excel.Functions.SPG($L70, $AD$4, AD$2))), 0,_xll.SNL.Clients.Office.Excel.Functions.SPG($L70, $AD$4, AD$2))</f>
        <v>#NAME?</v>
      </c>
      <c r="AE70" s="72" t="e">
        <f ca="1" xml:space="preserve"> IF(ISNUMBER(SEARCH("na",_xll.SNL.Clients.Office.Excel.Functions.SPG($L70, $AD$4, AE$2))), 0,_xll.SNL.Clients.Office.Excel.Functions.SPG($L70, $AD$4, AE$2))</f>
        <v>#NAME?</v>
      </c>
      <c r="AF70" s="72" t="e">
        <f ca="1" xml:space="preserve"> IF(ISNUMBER(SEARCH("na",_xll.SNL.Clients.Office.Excel.Functions.SPG($L70, $AD$4, AF$2))), 0,_xll.SNL.Clients.Office.Excel.Functions.SPG($L70, $AD$4, AF$2))</f>
        <v>#NAME?</v>
      </c>
      <c r="AG70" s="72" t="e">
        <f ca="1" xml:space="preserve"> IF(ISNUMBER(SEARCH("na",_xll.SNL.Clients.Office.Excel.Functions.SPG($L70, $AG$4, AG$2))), 0,_xll.SNL.Clients.Office.Excel.Functions.SPG($L70, $AG$4, AG$2))</f>
        <v>#NAME?</v>
      </c>
      <c r="AH70" s="72" t="e">
        <f ca="1" xml:space="preserve"> IF(ISNUMBER(SEARCH("na",_xll.SNL.Clients.Office.Excel.Functions.SPG($L70, $AG$4, AH$2))), 0,_xll.SNL.Clients.Office.Excel.Functions.SPG($L70, $AG$4, AH$2))</f>
        <v>#NAME?</v>
      </c>
      <c r="AI70" s="72" t="e">
        <f ca="1" xml:space="preserve"> IF(ISNUMBER(SEARCH("na",_xll.SNL.Clients.Office.Excel.Functions.SPG($L70, $AG$4, AI$2))), 0,_xll.SNL.Clients.Office.Excel.Functions.SPG($L70, $AG$4, AI$2))</f>
        <v>#NAME?</v>
      </c>
      <c r="AJ70" s="72" t="e">
        <f ca="1" xml:space="preserve"> IF(ISNUMBER(SEARCH("na",_xll.SNL.Clients.Office.Excel.Functions.SPG($L70, $AJ$4, AJ$2))), 0,_xll.SNL.Clients.Office.Excel.Functions.SPG($L70, $AJ$4, AJ$2))</f>
        <v>#NAME?</v>
      </c>
      <c r="AK70" s="72" t="e">
        <f ca="1" xml:space="preserve"> IF(ISNUMBER(SEARCH("na",_xll.SNL.Clients.Office.Excel.Functions.SPG($L70, $AJ$4, AK$2))), 0,_xll.SNL.Clients.Office.Excel.Functions.SPG($L70, $AJ$4, AK$2))</f>
        <v>#NAME?</v>
      </c>
      <c r="AL70" s="72" t="e">
        <f ca="1" xml:space="preserve"> IF(ISNUMBER(SEARCH("na",_xll.SNL.Clients.Office.Excel.Functions.SPG($L70, $AJ$4, AL$2))), 0,_xll.SNL.Clients.Office.Excel.Functions.SPG($L70, $AJ$4, AL$2))</f>
        <v>#NAME?</v>
      </c>
      <c r="AM70" s="72" t="e">
        <f t="shared" ref="AM70:AM77" ca="1" si="362">AD70+AG70*agprice/auprice+AJ70*cuprice/auprice</f>
        <v>#NAME?</v>
      </c>
      <c r="AN70" s="72" t="e">
        <f t="shared" ref="AN70:AN77" ca="1" si="363">AE70+AH70*agprice/auprice+AK70*cuprice/auprice</f>
        <v>#NAME?</v>
      </c>
      <c r="AO70" s="72" t="e">
        <f t="shared" ref="AO70:AO77" ca="1" si="364">AF70+AI70*agprice/auprice+AL70*cuprice/auprice</f>
        <v>#NAME?</v>
      </c>
      <c r="AP70" s="83" t="str">
        <f t="shared" ca="1" si="219"/>
        <v>NA</v>
      </c>
      <c r="AQ70" s="84" t="str">
        <f t="shared" ca="1" si="219"/>
        <v>NA</v>
      </c>
      <c r="AR70" s="85" t="str">
        <f t="shared" ca="1" si="219"/>
        <v>NA</v>
      </c>
      <c r="AS70" s="72">
        <f ca="1">IFERROR(_xll.SNL.Clients.Office.Excel.Functions.SPG($L70, $AS$3, AS$2,$AS$4)/1000,0)</f>
        <v>0</v>
      </c>
      <c r="AT70" s="72">
        <f ca="1">IFERROR(_xll.SNL.Clients.Office.Excel.Functions.SPG($L70, $AS$3, AT$2,$AS$4)/1000,0)</f>
        <v>0</v>
      </c>
      <c r="AU70" s="72">
        <f ca="1">IFERROR(_xll.SNL.Clients.Office.Excel.Functions.SPG($L70, $AV$3, AU$2,$AS$4)/1000,0)</f>
        <v>0</v>
      </c>
      <c r="AV70" s="72">
        <f ca="1">IFERROR(_xll.SNL.Clients.Office.Excel.Functions.SPG($L70, $AV$3, AV$2,$AS$4)/1000,0)</f>
        <v>0</v>
      </c>
      <c r="AW70" s="72">
        <f ca="1">IFERROR(_xll.SNL.Clients.Office.Excel.Functions.SPG($L70, $AV$3, AW$2,$AS$4)/1000,0)</f>
        <v>0</v>
      </c>
      <c r="AX70" s="72">
        <f ca="1">IFERROR(_xll.SNL.Clients.Office.Excel.Functions.SPG($L70, $AX$3, AX$2,$AS$4)/1000,0)</f>
        <v>0</v>
      </c>
      <c r="AY70" s="72">
        <f ca="1">IFERROR(_xll.SNL.Clients.Office.Excel.Functions.SPG($L70, $AX$3, AY$2,$AS$4)/1000,0)</f>
        <v>0</v>
      </c>
      <c r="AZ70" s="72">
        <f ca="1">IFERROR(_xll.SNL.Clients.Office.Excel.Functions.SPG($L70, $BA$3, AZ$2,$AS$4)/1000,0)</f>
        <v>0</v>
      </c>
      <c r="BA70" s="72">
        <f ca="1">IFERROR(_xll.SNL.Clients.Office.Excel.Functions.SPG($L70, $BA$3, BA$2,$AS$4)/1000,0)</f>
        <v>0</v>
      </c>
      <c r="BB70" s="72">
        <f ca="1">IFERROR(_xll.SNL.Clients.Office.Excel.Functions.SPG($L70, $BA$3, BB$2,$AS$4)/1000,0)</f>
        <v>0</v>
      </c>
      <c r="BC70" s="72">
        <f ca="1">IFERROR(_xll.SNL.Clients.Office.Excel.Functions.SPG($L70, $BC$3, BC$2,$AS$4)/1000,0)</f>
        <v>0</v>
      </c>
      <c r="BD70" s="72">
        <f ca="1">IFERROR(_xll.SNL.Clients.Office.Excel.Functions.SPG($L70, $BC$3, BD$2,$AS$4)/1000,0)</f>
        <v>0</v>
      </c>
      <c r="BE70" s="72">
        <f ca="1">IFERROR(_xll.SNL.Clients.Office.Excel.Functions.SPG($L70, $BF$3, BE$2,$AS$4)/1000,0)</f>
        <v>0</v>
      </c>
      <c r="BF70" s="72">
        <f ca="1">IFERROR(_xll.SNL.Clients.Office.Excel.Functions.SPG($L70, $BF$3, BF$2,$AS$4)/1000,0)</f>
        <v>0</v>
      </c>
      <c r="BG70" s="72">
        <f ca="1">IFERROR(_xll.SNL.Clients.Office.Excel.Functions.SPG($L70, $BF$3, BG$2,$AS$4)/1000,0)</f>
        <v>0</v>
      </c>
      <c r="BH70" s="72">
        <f t="shared" ref="BH70:BH77" ca="1" si="365">AS70+AT70*agprice/auprice+AU70*cuprice/auprice+AV70*znprice/auprice+AW70*pbprice/auprice</f>
        <v>0</v>
      </c>
      <c r="BI70" s="72">
        <f t="shared" ref="BI70:BI77" ca="1" si="366">AX70+AY70*agprice/auprice+AZ70*cuprice/auprice+BA70*znprice/auprice+BB70*pbprice/auprice+BH70</f>
        <v>0</v>
      </c>
      <c r="BJ70" s="72">
        <f t="shared" ref="BJ70:BJ77" ca="1" si="367">BC70+BD70*agprice/auprice+BE70*cuprice/auprice+BF70*znprice/auprice+BG70*pbprice/auprice+BH70</f>
        <v>0</v>
      </c>
      <c r="BK70" s="77" t="e">
        <f t="shared" ca="1" si="223"/>
        <v>#NAME?</v>
      </c>
      <c r="BL70" s="72" t="e">
        <f t="shared" ca="1" si="223"/>
        <v>#NAME?</v>
      </c>
      <c r="BM70" s="78" t="e">
        <f t="shared" ca="1" si="223"/>
        <v>#NAME?</v>
      </c>
      <c r="BN70" s="72" t="e">
        <f ca="1">_xll.SNL.Clients.Office.Excel.Functions.SPG($L70, $BN$3, BN$2, "Au", "Options:Curr=USD")</f>
        <v>#NAME?</v>
      </c>
      <c r="BO70" s="72" t="e">
        <f ca="1">_xll.SNL.Clients.Office.Excel.Functions.SPG($L70, $BN$3, BO$2, "Au", "Options:Curr=USD")</f>
        <v>#NAME?</v>
      </c>
      <c r="BP70" s="72" t="e">
        <f ca="1">_xll.SNL.Clients.Office.Excel.Functions.SPG($L70, $BN$3, BP$2, "Au", "Options:Curr=USD")</f>
        <v>#NAME?</v>
      </c>
      <c r="BQ70" s="78" t="e">
        <f ca="1">_xll.SNL.Clients.Office.Excel.Functions.SPG($L70, $BN$3, BQ$2, "Au", "Options:Curr=USD")</f>
        <v>#NAME?</v>
      </c>
      <c r="BR70" s="72" t="str">
        <f ca="1">IFERROR(AVERAGE(_xll.SNL.Clients.Office.Excel.Functions.SPG($L70,$BR$4,"Au",BR$2, "Options:Curr=USD"),_xll.SNL.Clients.Office.Excel.Functions.SPG($L70,$BR$3,"Au",BR$2, "Options:Curr=USD")),"NA")</f>
        <v>NA</v>
      </c>
      <c r="BS70" s="72" t="str">
        <f ca="1">IFERROR(AVERAGE(_xll.SNL.Clients.Office.Excel.Functions.SPG($L70,$BR$4,"Au",BS$2, "Options:Curr=USD"),_xll.SNL.Clients.Office.Excel.Functions.SPG($L70,$BR$3,"Au",BS$2, "Options:Curr=USD")),"NA")</f>
        <v>NA</v>
      </c>
      <c r="BT70" s="78" t="str">
        <f ca="1">IFERROR(AVERAGE(_xll.SNL.Clients.Office.Excel.Functions.SPG($L70,$BR$4,"Au",BT$2, "Options:Curr=USD"),_xll.SNL.Clients.Office.Excel.Functions.SPG($L70,$BR$3,"Au",BT$2, "Options:Curr=USD")),"NA")</f>
        <v>NA</v>
      </c>
      <c r="BV70" s="36" t="s">
        <v>88</v>
      </c>
      <c r="BW70" s="36"/>
      <c r="BX70" s="36" t="s">
        <v>195</v>
      </c>
      <c r="BY70" s="36"/>
    </row>
    <row r="71" spans="1:77" ht="13.8" x14ac:dyDescent="0.25">
      <c r="A71" s="56" t="e">
        <f ca="1">_xll.SNL.Clients.Office.Excel.Functions.SPG($L71, A$3)</f>
        <v>#NAME?</v>
      </c>
      <c r="B71" s="56" t="e">
        <f ca="1">_xll.BDP($K71,B$3)</f>
        <v>#NAME?</v>
      </c>
      <c r="C71" s="56" t="e">
        <f ca="1">_xll.BDP($K71,C$3)</f>
        <v>#NAME?</v>
      </c>
      <c r="D71" s="56" t="e">
        <f ca="1">_xll.BDP($K71,D$3)</f>
        <v>#NAME?</v>
      </c>
      <c r="E71" s="57" t="s">
        <v>304</v>
      </c>
      <c r="F71" s="57" t="s">
        <v>107</v>
      </c>
      <c r="G71" s="57" t="s">
        <v>84</v>
      </c>
      <c r="H71" s="58" t="e">
        <f ca="1">_xll.SNL.Clients.Office.Excel.Functions.SPG($L71, "IQ_TEV", "Options: Curr=USD")</f>
        <v>#NAME?</v>
      </c>
      <c r="I71" s="58" t="e">
        <f ca="1">_xll.SNL.Clients.Office.Excel.Functions.SPG($L71, "SP_MARKETCAP", "Options: Curr=USD")</f>
        <v>#NAME?</v>
      </c>
      <c r="J71" s="59" t="s">
        <v>305</v>
      </c>
      <c r="K71" s="3" t="s">
        <v>306</v>
      </c>
      <c r="L71" s="3" t="s">
        <v>307</v>
      </c>
      <c r="M71" s="60" t="str" cm="1">
        <f t="array" aca="1" ref="M71" ca="1">IFERROR(_xll.SNL.Clients.Office.Excel.Functions.SPG($L71, $M$3)/100,"NA")</f>
        <v>NA</v>
      </c>
      <c r="N71" s="61" t="e" cm="1">
        <f t="array" aca="1" ref="N71" ca="1">_xll.SNL.Clients.Office.Excel.Functions.SPG($L71, "SP_PCFPS_FWD",N$2)</f>
        <v>#NAME?</v>
      </c>
      <c r="O71" s="62" t="e" cm="1">
        <f t="array" aca="1" ref="O71" ca="1">_xll.SNL.Clients.Office.Excel.Functions.SPG($L71, "SP_PCFPS_FWD",O$2)</f>
        <v>#NAME?</v>
      </c>
      <c r="P71" s="63" t="e" cm="1">
        <f t="array" aca="1" ref="P71" ca="1">_xll.SNL.Clients.Office.Excel.Functions.SPG($L71, "SP_PCFPS_FWD",P$2)</f>
        <v>#NAME?</v>
      </c>
      <c r="Q71" s="64" t="str">
        <f ca="1">IFERROR(_xll.SNL.Clients.Office.Excel.Functions.SPG($L71, "SP_FCF_EST",Q$2, "Options: Curr=USD")/1000/I71,"NA")</f>
        <v>NA</v>
      </c>
      <c r="R71" s="64" t="str">
        <f ca="1">IFERROR(_xll.SNL.Clients.Office.Excel.Functions.SPG($L71, "SP_FCF_EST",R$2, "Options: Curr=USD")/1000/I71,"NA")</f>
        <v>NA</v>
      </c>
      <c r="S71" s="64" t="e">
        <f ca="1">_xll.SNL.Clients.Office.Excel.Functions.SPG($L71, "SP_FCF_EST",S$2, "Options: Curr=USD")/1000/$I71</f>
        <v>#NAME?</v>
      </c>
      <c r="T71" s="61" t="e" cm="1">
        <f t="array" aca="1" ref="T71" ca="1">_xll.SNL.Clients.Office.Excel.Functions.SPG($L71, "SP_PE_FWD",T$2)</f>
        <v>#NAME?</v>
      </c>
      <c r="U71" s="63" t="e" cm="1">
        <f t="array" aca="1" ref="U71" ca="1">_xll.SNL.Clients.Office.Excel.Functions.SPG($L71, "SP_PE_FWD",U$2)</f>
        <v>#NAME?</v>
      </c>
      <c r="V71" s="80" t="e" cm="1">
        <f t="array" aca="1" ref="V71" ca="1">_xll.SNL.Clients.Office.Excel.Functions.SPG($L71, $V$3,V$2)</f>
        <v>#NAME?</v>
      </c>
      <c r="W71" s="81" t="e" cm="1">
        <f t="array" aca="1" ref="W71" ca="1">_xll.SNL.Clients.Office.Excel.Functions.SPG($L71, $V$3,W$2)</f>
        <v>#NAME?</v>
      </c>
      <c r="X71" s="82" t="e" cm="1">
        <f t="array" aca="1" ref="X71" ca="1">_xll.SNL.Clients.Office.Excel.Functions.SPG($L71, $V$3,X$2)</f>
        <v>#NAME?</v>
      </c>
      <c r="Y71" s="69" t="e" cm="1">
        <f t="array" aca="1" ref="Y71" ca="1">IF((_xll.SNL.Clients.Office.Excel.Functions.SPG($L71,Y$3,Y$4,"Options: Curr=USD") / _xll.SNL.Clients.Office.Excel.Functions.SPG($L71,"SP_EBITDA_EST",Y$2,"Options: Curr=USD")) &lt; 0, "NM", (_xll.SNL.Clients.Office.Excel.Functions.SPG($L71,Y$3,Y$4,"Options: Curr=USD") / _xll.SNL.Clients.Office.Excel.Functions.SPG($L71,"SP_EBITDA_EST",Y$2,"Options: Curr=USD")))</f>
        <v>#NAME?</v>
      </c>
      <c r="Z71" s="70" t="e" cm="1">
        <f t="array" aca="1" ref="Z71" ca="1">_xll.SNL.Clients.Office.Excel.Functions.SPG($L71, Z$3,Z$4)</f>
        <v>#NAME?</v>
      </c>
      <c r="AA71" s="77" t="str">
        <f ca="1">IFERROR(0.001*AVERAGE(_xll.SNL.Clients.Office.Excel.Functions.SPG($L71,$AA$4,"Au",AA$2),_xll.SNL.Clients.Office.Excel.Functions.SPG($L71,$AA$3,"Au",AA$2)),"NA")</f>
        <v>NA</v>
      </c>
      <c r="AB71" s="72" t="str">
        <f ca="1">IFERROR(0.001*AVERAGE(_xll.SNL.Clients.Office.Excel.Functions.SPG($L71,$AA$4,"Au",AB$2),_xll.SNL.Clients.Office.Excel.Functions.SPG($L71,$AA$3,"Au",AB$2)),"NA")</f>
        <v>NA</v>
      </c>
      <c r="AC71" s="78" t="str">
        <f ca="1">IFERROR(0.001*AVERAGE(_xll.SNL.Clients.Office.Excel.Functions.SPG($L71,$AA$4,"Au",AC$2),_xll.SNL.Clients.Office.Excel.Functions.SPG($L71,$AA$3,"Au",AC$2)),"NA")</f>
        <v>NA</v>
      </c>
      <c r="AD71" s="72" t="e">
        <f ca="1" xml:space="preserve"> IF(ISNUMBER(SEARCH("na",_xll.SNL.Clients.Office.Excel.Functions.SPG($L71, $AD$4, AD$2))), 0,_xll.SNL.Clients.Office.Excel.Functions.SPG($L71, $AD$4, AD$2))</f>
        <v>#NAME?</v>
      </c>
      <c r="AE71" s="72" t="e">
        <f ca="1" xml:space="preserve"> IF(ISNUMBER(SEARCH("na",_xll.SNL.Clients.Office.Excel.Functions.SPG($L71, $AD$4, AE$2))), 0,_xll.SNL.Clients.Office.Excel.Functions.SPG($L71, $AD$4, AE$2))</f>
        <v>#NAME?</v>
      </c>
      <c r="AF71" s="72" t="e">
        <f ca="1" xml:space="preserve"> IF(ISNUMBER(SEARCH("na",_xll.SNL.Clients.Office.Excel.Functions.SPG($L71, $AD$4, AF$2))), 0,_xll.SNL.Clients.Office.Excel.Functions.SPG($L71, $AD$4, AF$2))</f>
        <v>#NAME?</v>
      </c>
      <c r="AG71" s="72" t="e">
        <f ca="1" xml:space="preserve"> IF(ISNUMBER(SEARCH("na",_xll.SNL.Clients.Office.Excel.Functions.SPG($L71, $AG$4, AG$2))), 0,_xll.SNL.Clients.Office.Excel.Functions.SPG($L71, $AG$4, AG$2))</f>
        <v>#NAME?</v>
      </c>
      <c r="AH71" s="72" t="e">
        <f ca="1" xml:space="preserve"> IF(ISNUMBER(SEARCH("na",_xll.SNL.Clients.Office.Excel.Functions.SPG($L71, $AG$4, AH$2))), 0,_xll.SNL.Clients.Office.Excel.Functions.SPG($L71, $AG$4, AH$2))</f>
        <v>#NAME?</v>
      </c>
      <c r="AI71" s="72" t="e">
        <f ca="1" xml:space="preserve"> IF(ISNUMBER(SEARCH("na",_xll.SNL.Clients.Office.Excel.Functions.SPG($L71, $AG$4, AI$2))), 0,_xll.SNL.Clients.Office.Excel.Functions.SPG($L71, $AG$4, AI$2))</f>
        <v>#NAME?</v>
      </c>
      <c r="AJ71" s="72" t="e">
        <f ca="1" xml:space="preserve"> IF(ISNUMBER(SEARCH("na",_xll.SNL.Clients.Office.Excel.Functions.SPG($L71, $AJ$4, AJ$2))), 0,_xll.SNL.Clients.Office.Excel.Functions.SPG($L71, $AJ$4, AJ$2))</f>
        <v>#NAME?</v>
      </c>
      <c r="AK71" s="72" t="e">
        <f ca="1" xml:space="preserve"> IF(ISNUMBER(SEARCH("na",_xll.SNL.Clients.Office.Excel.Functions.SPG($L71, $AJ$4, AK$2))), 0,_xll.SNL.Clients.Office.Excel.Functions.SPG($L71, $AJ$4, AK$2))</f>
        <v>#NAME?</v>
      </c>
      <c r="AL71" s="72" t="e">
        <f ca="1" xml:space="preserve"> IF(ISNUMBER(SEARCH("na",_xll.SNL.Clients.Office.Excel.Functions.SPG($L71, $AJ$4, AL$2))), 0,_xll.SNL.Clients.Office.Excel.Functions.SPG($L71, $AJ$4, AL$2))</f>
        <v>#NAME?</v>
      </c>
      <c r="AM71" s="72" t="e">
        <f t="shared" ref="AM71:AM78" ca="1" si="368">AD71+AG71*agprice/auprice+AJ71*cuprice/auprice</f>
        <v>#NAME?</v>
      </c>
      <c r="AN71" s="72" t="e">
        <f t="shared" ref="AN71:AN78" ca="1" si="369">AE71+AH71*agprice/auprice+AK71*cuprice/auprice</f>
        <v>#NAME?</v>
      </c>
      <c r="AO71" s="72" t="e">
        <f t="shared" ref="AO71:AO78" ca="1" si="370">AF71+AI71*agprice/auprice+AL71*cuprice/auprice</f>
        <v>#NAME?</v>
      </c>
      <c r="AP71" s="83" t="str">
        <f t="shared" ref="AP71:AR75" ca="1" si="371">IFERROR($H71/AM71*1000,"NA")</f>
        <v>NA</v>
      </c>
      <c r="AQ71" s="84" t="str">
        <f t="shared" ca="1" si="371"/>
        <v>NA</v>
      </c>
      <c r="AR71" s="85" t="str">
        <f t="shared" ca="1" si="371"/>
        <v>NA</v>
      </c>
      <c r="AS71" s="72">
        <f ca="1">IFERROR(_xll.SNL.Clients.Office.Excel.Functions.SPG($L71, $AS$3, AS$2,$AS$4)/1000,0)</f>
        <v>0</v>
      </c>
      <c r="AT71" s="72">
        <f ca="1">IFERROR(_xll.SNL.Clients.Office.Excel.Functions.SPG($L71, $AS$3, AT$2,$AS$4)/1000,0)</f>
        <v>0</v>
      </c>
      <c r="AU71" s="72">
        <f ca="1">IFERROR(_xll.SNL.Clients.Office.Excel.Functions.SPG($L71, $AV$3, AU$2,$AS$4)/1000,0)</f>
        <v>0</v>
      </c>
      <c r="AV71" s="72">
        <f ca="1">IFERROR(_xll.SNL.Clients.Office.Excel.Functions.SPG($L71, $AV$3, AV$2,$AS$4)/1000,0)</f>
        <v>0</v>
      </c>
      <c r="AW71" s="72">
        <f ca="1">IFERROR(_xll.SNL.Clients.Office.Excel.Functions.SPG($L71, $AV$3, AW$2,$AS$4)/1000,0)</f>
        <v>0</v>
      </c>
      <c r="AX71" s="72">
        <f ca="1">IFERROR(_xll.SNL.Clients.Office.Excel.Functions.SPG($L71, $AX$3, AX$2,$AS$4)/1000,0)</f>
        <v>0</v>
      </c>
      <c r="AY71" s="72">
        <f ca="1">IFERROR(_xll.SNL.Clients.Office.Excel.Functions.SPG($L71, $AX$3, AY$2,$AS$4)/1000,0)</f>
        <v>0</v>
      </c>
      <c r="AZ71" s="72">
        <f ca="1">IFERROR(_xll.SNL.Clients.Office.Excel.Functions.SPG($L71, $BA$3, AZ$2,$AS$4)/1000,0)</f>
        <v>0</v>
      </c>
      <c r="BA71" s="72">
        <f ca="1">IFERROR(_xll.SNL.Clients.Office.Excel.Functions.SPG($L71, $BA$3, BA$2,$AS$4)/1000,0)</f>
        <v>0</v>
      </c>
      <c r="BB71" s="72">
        <f ca="1">IFERROR(_xll.SNL.Clients.Office.Excel.Functions.SPG($L71, $BA$3, BB$2,$AS$4)/1000,0)</f>
        <v>0</v>
      </c>
      <c r="BC71" s="72">
        <f ca="1">IFERROR(_xll.SNL.Clients.Office.Excel.Functions.SPG($L71, $BC$3, BC$2,$AS$4)/1000,0)</f>
        <v>0</v>
      </c>
      <c r="BD71" s="72">
        <f ca="1">IFERROR(_xll.SNL.Clients.Office.Excel.Functions.SPG($L71, $BC$3, BD$2,$AS$4)/1000,0)</f>
        <v>0</v>
      </c>
      <c r="BE71" s="72">
        <f ca="1">IFERROR(_xll.SNL.Clients.Office.Excel.Functions.SPG($L71, $BF$3, BE$2,$AS$4)/1000,0)</f>
        <v>0</v>
      </c>
      <c r="BF71" s="72">
        <f ca="1">IFERROR(_xll.SNL.Clients.Office.Excel.Functions.SPG($L71, $BF$3, BF$2,$AS$4)/1000,0)</f>
        <v>0</v>
      </c>
      <c r="BG71" s="72">
        <f ca="1">IFERROR(_xll.SNL.Clients.Office.Excel.Functions.SPG($L71, $BF$3, BG$2,$AS$4)/1000,0)</f>
        <v>0</v>
      </c>
      <c r="BH71" s="72">
        <f t="shared" ref="BH71:BH78" ca="1" si="372">AS71+AT71*agprice/auprice+AU71*cuprice/auprice+AV71*znprice/auprice+AW71*pbprice/auprice</f>
        <v>0</v>
      </c>
      <c r="BI71" s="72">
        <f t="shared" ref="BI71:BI78" ca="1" si="373">AX71+AY71*agprice/auprice+AZ71*cuprice/auprice+BA71*znprice/auprice+BB71*pbprice/auprice+BH71</f>
        <v>0</v>
      </c>
      <c r="BJ71" s="72">
        <f t="shared" ref="BJ71:BJ78" ca="1" si="374">BC71+BD71*agprice/auprice+BE71*cuprice/auprice+BF71*znprice/auprice+BG71*pbprice/auprice+BH71</f>
        <v>0</v>
      </c>
      <c r="BK71" s="77" t="e">
        <f t="shared" ca="1" si="223"/>
        <v>#NAME?</v>
      </c>
      <c r="BL71" s="72" t="e">
        <f t="shared" ca="1" si="223"/>
        <v>#NAME?</v>
      </c>
      <c r="BM71" s="78" t="e">
        <f t="shared" ca="1" si="223"/>
        <v>#NAME?</v>
      </c>
      <c r="BN71" s="72" t="e">
        <f ca="1">_xll.SNL.Clients.Office.Excel.Functions.SPG($L71, $BN$3, BN$2, "Au", "Options:Curr=USD")</f>
        <v>#NAME?</v>
      </c>
      <c r="BO71" s="72" t="e">
        <f ca="1">_xll.SNL.Clients.Office.Excel.Functions.SPG($L71, $BN$3, BO$2, "Au", "Options:Curr=USD")</f>
        <v>#NAME?</v>
      </c>
      <c r="BP71" s="72" t="e">
        <f ca="1">_xll.SNL.Clients.Office.Excel.Functions.SPG($L71, $BN$3, BP$2, "Au", "Options:Curr=USD")</f>
        <v>#NAME?</v>
      </c>
      <c r="BQ71" s="78" t="e">
        <f ca="1">_xll.SNL.Clients.Office.Excel.Functions.SPG($L71, $BN$3, BQ$2, "Au", "Options:Curr=USD")</f>
        <v>#NAME?</v>
      </c>
      <c r="BR71" s="72" t="str">
        <f ca="1">IFERROR(AVERAGE(_xll.SNL.Clients.Office.Excel.Functions.SPG($L71,$BR$4,"Au",BR$2, "Options:Curr=USD"),_xll.SNL.Clients.Office.Excel.Functions.SPG($L71,$BR$3,"Au",BR$2, "Options:Curr=USD")),"NA")</f>
        <v>NA</v>
      </c>
      <c r="BS71" s="72" t="str">
        <f ca="1">IFERROR(AVERAGE(_xll.SNL.Clients.Office.Excel.Functions.SPG($L71,$BR$4,"Au",BS$2, "Options:Curr=USD"),_xll.SNL.Clients.Office.Excel.Functions.SPG($L71,$BR$3,"Au",BS$2, "Options:Curr=USD")),"NA")</f>
        <v>NA</v>
      </c>
      <c r="BT71" s="78" t="str">
        <f ca="1">IFERROR(AVERAGE(_xll.SNL.Clients.Office.Excel.Functions.SPG($L71,$BR$4,"Au",BT$2, "Options:Curr=USD"),_xll.SNL.Clients.Office.Excel.Functions.SPG($L71,$BR$3,"Au",BT$2, "Options:Curr=USD")),"NA")</f>
        <v>NA</v>
      </c>
      <c r="BV71" s="36" t="s">
        <v>88</v>
      </c>
      <c r="BW71" s="36"/>
      <c r="BX71" s="36" t="s">
        <v>195</v>
      </c>
      <c r="BY71" s="36"/>
    </row>
    <row r="72" spans="1:77" ht="13.8" x14ac:dyDescent="0.25">
      <c r="A72" s="56" t="e">
        <f ca="1">_xll.SNL.Clients.Office.Excel.Functions.SPG($L72, A$3)</f>
        <v>#NAME?</v>
      </c>
      <c r="B72" s="56" t="e">
        <f ca="1">_xll.BDP($K72,B$3)</f>
        <v>#NAME?</v>
      </c>
      <c r="C72" s="56" t="e">
        <f ca="1">_xll.BDP($K72,C$3)</f>
        <v>#NAME?</v>
      </c>
      <c r="D72" s="56" t="e">
        <f ca="1">_xll.BDP($K72,D$3)</f>
        <v>#NAME?</v>
      </c>
      <c r="E72" s="57" t="s">
        <v>308</v>
      </c>
      <c r="F72" s="57" t="s">
        <v>107</v>
      </c>
      <c r="G72" s="57" t="s">
        <v>84</v>
      </c>
      <c r="H72" s="58" t="e">
        <f ca="1">_xll.SNL.Clients.Office.Excel.Functions.SPG($L72, "IQ_TEV", "Options: Curr=USD")</f>
        <v>#NAME?</v>
      </c>
      <c r="I72" s="58" t="e">
        <f ca="1">_xll.SNL.Clients.Office.Excel.Functions.SPG($L72, "SP_MARKETCAP", "Options: Curr=USD")</f>
        <v>#NAME?</v>
      </c>
      <c r="J72" s="59" t="s">
        <v>309</v>
      </c>
      <c r="K72" s="3" t="s">
        <v>310</v>
      </c>
      <c r="L72" s="18" t="s">
        <v>311</v>
      </c>
      <c r="M72" s="60" t="str" cm="1">
        <f t="array" aca="1" ref="M72" ca="1">IFERROR(_xll.SNL.Clients.Office.Excel.Functions.SPG($L72, $M$3)/100,"NA")</f>
        <v>NA</v>
      </c>
      <c r="N72" s="61" t="e" cm="1">
        <f t="array" aca="1" ref="N72" ca="1">_xll.SNL.Clients.Office.Excel.Functions.SPG($L72, "SP_PCFPS_FWD",N$2)</f>
        <v>#NAME?</v>
      </c>
      <c r="O72" s="62" t="e" cm="1">
        <f t="array" aca="1" ref="O72" ca="1">_xll.SNL.Clients.Office.Excel.Functions.SPG($L72, "SP_PCFPS_FWD",O$2)</f>
        <v>#NAME?</v>
      </c>
      <c r="P72" s="63" t="e" cm="1">
        <f t="array" aca="1" ref="P72" ca="1">_xll.SNL.Clients.Office.Excel.Functions.SPG($L72, "SP_PCFPS_FWD",P$2)</f>
        <v>#NAME?</v>
      </c>
      <c r="Q72" s="64" t="str">
        <f ca="1">IFERROR(_xll.SNL.Clients.Office.Excel.Functions.SPG($L72, "SP_FCF_EST",Q$2, "Options: Curr=USD")/1000/I72,"NA")</f>
        <v>NA</v>
      </c>
      <c r="R72" s="64" t="str">
        <f ca="1">IFERROR(_xll.SNL.Clients.Office.Excel.Functions.SPG($L72, "SP_FCF_EST",R$2, "Options: Curr=USD")/1000/I72,"NA")</f>
        <v>NA</v>
      </c>
      <c r="S72" s="64" t="e">
        <f ca="1">_xll.SNL.Clients.Office.Excel.Functions.SPG($L72, "SP_FCF_EST",S$2, "Options: Curr=USD")/1000/$I72</f>
        <v>#NAME?</v>
      </c>
      <c r="T72" s="61" t="e" cm="1">
        <f t="array" aca="1" ref="T72" ca="1">_xll.SNL.Clients.Office.Excel.Functions.SPG($L72, "SP_PE_FWD",T$2)</f>
        <v>#NAME?</v>
      </c>
      <c r="U72" s="63" t="e" cm="1">
        <f t="array" aca="1" ref="U72" ca="1">_xll.SNL.Clients.Office.Excel.Functions.SPG($L72, "SP_PE_FWD",U$2)</f>
        <v>#NAME?</v>
      </c>
      <c r="V72" s="86" t="e" cm="1">
        <f t="array" aca="1" ref="V72" ca="1">_xll.SNL.Clients.Office.Excel.Functions.SPG($L72, $V$3,V$2)</f>
        <v>#NAME?</v>
      </c>
      <c r="W72" s="87" t="e" cm="1">
        <f t="array" aca="1" ref="W72" ca="1">_xll.SNL.Clients.Office.Excel.Functions.SPG($L72, $V$3,W$2)</f>
        <v>#NAME?</v>
      </c>
      <c r="X72" s="88" t="e" cm="1">
        <f t="array" aca="1" ref="X72" ca="1">_xll.SNL.Clients.Office.Excel.Functions.SPG($L72, $V$3,X$2)</f>
        <v>#NAME?</v>
      </c>
      <c r="Y72" s="69" t="e" cm="1">
        <f t="array" aca="1" ref="Y72" ca="1">IF((_xll.SNL.Clients.Office.Excel.Functions.SPG($L72,Y$3,Y$4,"Options: Curr=USD") / _xll.SNL.Clients.Office.Excel.Functions.SPG($L72,"SP_EBITDA_EST",Y$2,"Options: Curr=USD")) &lt; 0, "NM", (_xll.SNL.Clients.Office.Excel.Functions.SPG($L72,Y$3,Y$4,"Options: Curr=USD") / _xll.SNL.Clients.Office.Excel.Functions.SPG($L72,"SP_EBITDA_EST",Y$2,"Options: Curr=USD")))</f>
        <v>#NAME?</v>
      </c>
      <c r="Z72" s="70" t="e" cm="1">
        <f t="array" aca="1" ref="Z72" ca="1">_xll.SNL.Clients.Office.Excel.Functions.SPG($L72, Z$3,Z$4)</f>
        <v>#NAME?</v>
      </c>
      <c r="AA72" s="77" t="str">
        <f ca="1">IFERROR(0.001*AVERAGE(_xll.SNL.Clients.Office.Excel.Functions.SPG($L72,$AA$4,"Au",AA$2),_xll.SNL.Clients.Office.Excel.Functions.SPG($L72,$AA$3,"Au",AA$2)),"NA")</f>
        <v>NA</v>
      </c>
      <c r="AB72" s="72" t="str">
        <f ca="1">IFERROR(0.001*AVERAGE(_xll.SNL.Clients.Office.Excel.Functions.SPG($L72,$AA$4,"Au",AB$2),_xll.SNL.Clients.Office.Excel.Functions.SPG($L72,$AA$3,"Au",AB$2)),"NA")</f>
        <v>NA</v>
      </c>
      <c r="AC72" s="78" t="str">
        <f ca="1">IFERROR(0.001*AVERAGE(_xll.SNL.Clients.Office.Excel.Functions.SPG($L72,$AA$4,"Au",AC$2),_xll.SNL.Clients.Office.Excel.Functions.SPG($L72,$AA$3,"Au",AC$2)),"NA")</f>
        <v>NA</v>
      </c>
      <c r="AD72" s="72" t="e">
        <f ca="1" xml:space="preserve"> IF(ISNUMBER(SEARCH("na",_xll.SNL.Clients.Office.Excel.Functions.SPG($L72, $AD$4, AD$2))), 0,_xll.SNL.Clients.Office.Excel.Functions.SPG($L72, $AD$4, AD$2))</f>
        <v>#NAME?</v>
      </c>
      <c r="AE72" s="72" t="e">
        <f ca="1" xml:space="preserve"> IF(ISNUMBER(SEARCH("na",_xll.SNL.Clients.Office.Excel.Functions.SPG($L72, $AD$4, AE$2))), 0,_xll.SNL.Clients.Office.Excel.Functions.SPG($L72, $AD$4, AE$2))</f>
        <v>#NAME?</v>
      </c>
      <c r="AF72" s="72" t="e">
        <f ca="1" xml:space="preserve"> IF(ISNUMBER(SEARCH("na",_xll.SNL.Clients.Office.Excel.Functions.SPG($L72, $AD$4, AF$2))), 0,_xll.SNL.Clients.Office.Excel.Functions.SPG($L72, $AD$4, AF$2))</f>
        <v>#NAME?</v>
      </c>
      <c r="AG72" s="72" t="e">
        <f ca="1" xml:space="preserve"> IF(ISNUMBER(SEARCH("na",_xll.SNL.Clients.Office.Excel.Functions.SPG($L72, $AG$4, AG$2))), 0,_xll.SNL.Clients.Office.Excel.Functions.SPG($L72, $AG$4, AG$2))</f>
        <v>#NAME?</v>
      </c>
      <c r="AH72" s="72" t="e">
        <f ca="1" xml:space="preserve"> IF(ISNUMBER(SEARCH("na",_xll.SNL.Clients.Office.Excel.Functions.SPG($L72, $AG$4, AH$2))), 0,_xll.SNL.Clients.Office.Excel.Functions.SPG($L72, $AG$4, AH$2))</f>
        <v>#NAME?</v>
      </c>
      <c r="AI72" s="72" t="e">
        <f ca="1" xml:space="preserve"> IF(ISNUMBER(SEARCH("na",_xll.SNL.Clients.Office.Excel.Functions.SPG($L72, $AG$4, AI$2))), 0,_xll.SNL.Clients.Office.Excel.Functions.SPG($L72, $AG$4, AI$2))</f>
        <v>#NAME?</v>
      </c>
      <c r="AJ72" s="72" t="e">
        <f ca="1" xml:space="preserve"> IF(ISNUMBER(SEARCH("na",_xll.SNL.Clients.Office.Excel.Functions.SPG($L72, $AJ$4, AJ$2))), 0,_xll.SNL.Clients.Office.Excel.Functions.SPG($L72, $AJ$4, AJ$2))</f>
        <v>#NAME?</v>
      </c>
      <c r="AK72" s="72" t="e">
        <f ca="1" xml:space="preserve"> IF(ISNUMBER(SEARCH("na",_xll.SNL.Clients.Office.Excel.Functions.SPG($L72, $AJ$4, AK$2))), 0,_xll.SNL.Clients.Office.Excel.Functions.SPG($L72, $AJ$4, AK$2))</f>
        <v>#NAME?</v>
      </c>
      <c r="AL72" s="72" t="e">
        <f ca="1" xml:space="preserve"> IF(ISNUMBER(SEARCH("na",_xll.SNL.Clients.Office.Excel.Functions.SPG($L72, $AJ$4, AL$2))), 0,_xll.SNL.Clients.Office.Excel.Functions.SPG($L72, $AJ$4, AL$2))</f>
        <v>#NAME?</v>
      </c>
      <c r="AM72" s="72" t="e">
        <f t="shared" ref="AM72:AM79" ca="1" si="375">AD72+AG72*agprice/auprice+AJ72*cuprice/auprice</f>
        <v>#NAME?</v>
      </c>
      <c r="AN72" s="72" t="e">
        <f t="shared" ref="AN72:AN79" ca="1" si="376">AE72+AH72*agprice/auprice+AK72*cuprice/auprice</f>
        <v>#NAME?</v>
      </c>
      <c r="AO72" s="72" t="e">
        <f t="shared" ref="AO72:AO79" ca="1" si="377">AF72+AI72*agprice/auprice+AL72*cuprice/auprice</f>
        <v>#NAME?</v>
      </c>
      <c r="AP72" s="83" t="str">
        <f t="shared" ca="1" si="371"/>
        <v>NA</v>
      </c>
      <c r="AQ72" s="84" t="str">
        <f t="shared" ca="1" si="371"/>
        <v>NA</v>
      </c>
      <c r="AR72" s="85" t="str">
        <f ca="1">IFERROR($H72/AO72*1000,"NA")</f>
        <v>NA</v>
      </c>
      <c r="AS72" s="72">
        <f ca="1">IFERROR(_xll.SNL.Clients.Office.Excel.Functions.SPG($L72, $AS$3, AS$2,$AS$4)/1000,0)</f>
        <v>0</v>
      </c>
      <c r="AT72" s="72">
        <f ca="1">IFERROR(_xll.SNL.Clients.Office.Excel.Functions.SPG($L72, $AS$3, AT$2,$AS$4)/1000,0)</f>
        <v>0</v>
      </c>
      <c r="AU72" s="72">
        <f ca="1">IFERROR(_xll.SNL.Clients.Office.Excel.Functions.SPG($L72, $AV$3, AU$2,$AS$4)/1000,0)</f>
        <v>0</v>
      </c>
      <c r="AV72" s="72">
        <f ca="1">IFERROR(_xll.SNL.Clients.Office.Excel.Functions.SPG($L72, $AV$3, AV$2,$AS$4)/1000,0)</f>
        <v>0</v>
      </c>
      <c r="AW72" s="72">
        <f ca="1">IFERROR(_xll.SNL.Clients.Office.Excel.Functions.SPG($L72, $AV$3, AW$2,$AS$4)/1000,0)</f>
        <v>0</v>
      </c>
      <c r="AX72" s="72">
        <f ca="1">IFERROR(_xll.SNL.Clients.Office.Excel.Functions.SPG($L72, $AX$3, AX$2,$AS$4)/1000,0)</f>
        <v>0</v>
      </c>
      <c r="AY72" s="72">
        <f ca="1">IFERROR(_xll.SNL.Clients.Office.Excel.Functions.SPG($L72, $AX$3, AY$2,$AS$4)/1000,0)</f>
        <v>0</v>
      </c>
      <c r="AZ72" s="72">
        <f ca="1">IFERROR(_xll.SNL.Clients.Office.Excel.Functions.SPG($L72, $BA$3, AZ$2,$AS$4)/1000,0)</f>
        <v>0</v>
      </c>
      <c r="BA72" s="72">
        <f ca="1">IFERROR(_xll.SNL.Clients.Office.Excel.Functions.SPG($L72, $BA$3, BA$2,$AS$4)/1000,0)</f>
        <v>0</v>
      </c>
      <c r="BB72" s="72">
        <f ca="1">IFERROR(_xll.SNL.Clients.Office.Excel.Functions.SPG($L72, $BA$3, BB$2,$AS$4)/1000,0)</f>
        <v>0</v>
      </c>
      <c r="BC72" s="72">
        <f ca="1">IFERROR(_xll.SNL.Clients.Office.Excel.Functions.SPG($L72, $BC$3, BC$2,$AS$4)/1000,0)</f>
        <v>0</v>
      </c>
      <c r="BD72" s="72">
        <f ca="1">IFERROR(_xll.SNL.Clients.Office.Excel.Functions.SPG($L72, $BC$3, BD$2,$AS$4)/1000,0)</f>
        <v>0</v>
      </c>
      <c r="BE72" s="72">
        <f ca="1">IFERROR(_xll.SNL.Clients.Office.Excel.Functions.SPG($L72, $BF$3, BE$2,$AS$4)/1000,0)</f>
        <v>0</v>
      </c>
      <c r="BF72" s="72">
        <f ca="1">IFERROR(_xll.SNL.Clients.Office.Excel.Functions.SPG($L72, $BF$3, BF$2,$AS$4)/1000,0)</f>
        <v>0</v>
      </c>
      <c r="BG72" s="72">
        <f ca="1">IFERROR(_xll.SNL.Clients.Office.Excel.Functions.SPG($L72, $BF$3, BG$2,$AS$4)/1000,0)</f>
        <v>0</v>
      </c>
      <c r="BH72" s="72">
        <f t="shared" ref="BH72:BH79" ca="1" si="378">AS72+AT72*agprice/auprice+AU72*cuprice/auprice+AV72*znprice/auprice+AW72*pbprice/auprice</f>
        <v>0</v>
      </c>
      <c r="BI72" s="72">
        <f t="shared" ref="BI72:BI79" ca="1" si="379">AX72+AY72*agprice/auprice+AZ72*cuprice/auprice+BA72*znprice/auprice+BB72*pbprice/auprice+BH72</f>
        <v>0</v>
      </c>
      <c r="BJ72" s="72">
        <f t="shared" ref="BJ72:BJ79" ca="1" si="380">BC72+BD72*agprice/auprice+BE72*cuprice/auprice+BF72*znprice/auprice+BG72*pbprice/auprice+BH72</f>
        <v>0</v>
      </c>
      <c r="BK72" s="77" t="e">
        <f t="shared" ref="BK72:BM78" ca="1" si="381">$H72*1000/BH72</f>
        <v>#NAME?</v>
      </c>
      <c r="BL72" s="72" t="e">
        <f t="shared" ca="1" si="381"/>
        <v>#NAME?</v>
      </c>
      <c r="BM72" s="78" t="e">
        <f t="shared" ca="1" si="381"/>
        <v>#NAME?</v>
      </c>
      <c r="BN72" s="72" t="e">
        <f ca="1">_xll.SNL.Clients.Office.Excel.Functions.SPG($L72, $BN$3, BN$2, "Au", "Options:Curr=USD")</f>
        <v>#NAME?</v>
      </c>
      <c r="BO72" s="72" t="e">
        <f ca="1">_xll.SNL.Clients.Office.Excel.Functions.SPG($L72, $BN$3, BO$2, "Au", "Options:Curr=USD")</f>
        <v>#NAME?</v>
      </c>
      <c r="BP72" s="72" t="e">
        <f ca="1">_xll.SNL.Clients.Office.Excel.Functions.SPG($L72, $BN$3, BP$2, "Au", "Options:Curr=USD")</f>
        <v>#NAME?</v>
      </c>
      <c r="BQ72" s="78" t="e">
        <f ca="1">_xll.SNL.Clients.Office.Excel.Functions.SPG($L72, $BN$3, BQ$2, "Au", "Options:Curr=USD")</f>
        <v>#NAME?</v>
      </c>
      <c r="BR72" s="72" t="str">
        <f ca="1">IFERROR(AVERAGE(_xll.SNL.Clients.Office.Excel.Functions.SPG($L72,$BR$4,"Au",BR$2, "Options:Curr=USD"),_xll.SNL.Clients.Office.Excel.Functions.SPG($L72,$BR$3,"Au",BR$2, "Options:Curr=USD")),"NA")</f>
        <v>NA</v>
      </c>
      <c r="BS72" s="72" t="str">
        <f ca="1">IFERROR(AVERAGE(_xll.SNL.Clients.Office.Excel.Functions.SPG($L72,$BR$4,"Au",BS$2, "Options:Curr=USD"),_xll.SNL.Clients.Office.Excel.Functions.SPG($L72,$BR$3,"Au",BS$2, "Options:Curr=USD")),"NA")</f>
        <v>NA</v>
      </c>
      <c r="BT72" s="78" t="str">
        <f ca="1">IFERROR(AVERAGE(_xll.SNL.Clients.Office.Excel.Functions.SPG($L72,$BR$4,"Au",BT$2, "Options:Curr=USD"),_xll.SNL.Clients.Office.Excel.Functions.SPG($L72,$BR$3,"Au",BT$2, "Options:Curr=USD")),"NA")</f>
        <v>NA</v>
      </c>
      <c r="BV72" s="36" t="s">
        <v>88</v>
      </c>
      <c r="BW72" s="36"/>
      <c r="BX72" s="36" t="s">
        <v>195</v>
      </c>
      <c r="BY72" s="36"/>
    </row>
    <row r="73" spans="1:77" x14ac:dyDescent="0.25">
      <c r="H73" s="120"/>
      <c r="I73" s="120"/>
      <c r="J73" s="95"/>
      <c r="K73" s="95"/>
      <c r="L73" s="95" t="s">
        <v>116</v>
      </c>
      <c r="M73" s="121" t="e">
        <f ca="1">AVERAGE(M40:M72)</f>
        <v>#DIV/0!</v>
      </c>
      <c r="N73" s="98" t="e" cm="1">
        <f t="array" aca="1" ref="N73" ca="1">AVERAGE(IFERROR(N40:N72, ""))</f>
        <v>#DIV/0!</v>
      </c>
      <c r="O73" s="98" t="e" cm="1">
        <f t="array" aca="1" ref="O73" ca="1">AVERAGE(IFERROR(O40:O72, ""))</f>
        <v>#DIV/0!</v>
      </c>
      <c r="P73" s="99" t="e" cm="1">
        <f t="array" aca="1" ref="P73" ca="1">AVERAGE(IFERROR(P40:P72, ""))</f>
        <v>#DIV/0!</v>
      </c>
      <c r="Q73" s="100" t="e">
        <f ca="1">AVERAGE(Q40:Q72)</f>
        <v>#DIV/0!</v>
      </c>
      <c r="R73" s="100" t="e">
        <f ca="1">AVERAGE(R40:R72)</f>
        <v>#DIV/0!</v>
      </c>
      <c r="S73" s="100" t="e">
        <f ca="1">AVERAGE(S40:S72)</f>
        <v>#NAME?</v>
      </c>
      <c r="T73" s="97" t="e" cm="1">
        <f t="array" aca="1" ref="T73" ca="1">AVERAGE(IFERROR(T40:T72, ""))</f>
        <v>#DIV/0!</v>
      </c>
      <c r="U73" s="99" t="e" cm="1">
        <f t="array" aca="1" ref="U73" ca="1">AVERAGE(IFERROR(U40:U72, ""))</f>
        <v>#DIV/0!</v>
      </c>
      <c r="V73" s="98" t="e" cm="1">
        <f t="array" aca="1" ref="V73" ca="1">AVERAGE(IFERROR(V40:V72, ""))</f>
        <v>#DIV/0!</v>
      </c>
      <c r="W73" s="98" t="e" cm="1">
        <f t="array" aca="1" ref="W73" ca="1">AVERAGE(IFERROR(W40:W72, ""))</f>
        <v>#DIV/0!</v>
      </c>
      <c r="X73" s="99" t="e" cm="1">
        <f t="array" aca="1" ref="X73" ca="1">AVERAGE(IFERROR(X40:X72, ""))</f>
        <v>#DIV/0!</v>
      </c>
      <c r="Y73" s="98"/>
      <c r="Z73" s="98"/>
      <c r="AA73" s="102" t="e" cm="1">
        <f t="array" aca="1" ref="AA73" ca="1">AVERAGE(IFERROR(AA40:AA72, ""))</f>
        <v>#DIV/0!</v>
      </c>
      <c r="AB73" s="101" t="e" cm="1">
        <f t="array" aca="1" ref="AB73" ca="1">AVERAGE(IFERROR(AB40:AB72, ""))</f>
        <v>#DIV/0!</v>
      </c>
      <c r="AC73" s="105" t="e" cm="1">
        <f t="array" aca="1" ref="AC73" ca="1">AVERAGE(IFERROR(AC40:AC72, ""))</f>
        <v>#DIV/0!</v>
      </c>
      <c r="AD73" s="114"/>
      <c r="AE73" s="114"/>
      <c r="AF73" s="114"/>
      <c r="AG73" s="114"/>
      <c r="AH73" s="114"/>
      <c r="AI73" s="114"/>
      <c r="AJ73" s="114"/>
      <c r="AK73" s="114"/>
      <c r="AL73" s="114"/>
      <c r="AM73" s="101" t="e" cm="1">
        <f t="array" aca="1" ref="AM73" ca="1">AVERAGE(IFERROR(AM40:AM72, ""))</f>
        <v>#DIV/0!</v>
      </c>
      <c r="AN73" s="101" t="e" cm="1">
        <f t="array" aca="1" ref="AN73" ca="1">AVERAGE(IFERROR(AN40:AN72, ""))</f>
        <v>#DIV/0!</v>
      </c>
      <c r="AO73" s="105" t="e" cm="1">
        <f t="array" aca="1" ref="AO73" ca="1">AVERAGE(IFERROR(AO40:AO72, ""))</f>
        <v>#DIV/0!</v>
      </c>
      <c r="AP73" s="101" t="e" cm="1">
        <f t="array" aca="1" ref="AP73" ca="1">AVERAGE(IFERROR(AP40:AP72, ""))</f>
        <v>#DIV/0!</v>
      </c>
      <c r="AQ73" s="101" t="e" cm="1">
        <f t="array" aca="1" ref="AQ73" ca="1">AVERAGE(IFERROR(AQ40:AQ72, ""))</f>
        <v>#DIV/0!</v>
      </c>
      <c r="AR73" s="105" t="e" cm="1">
        <f t="array" aca="1" ref="AR73" ca="1">AVERAGE(IFERROR(AR40:AR72, ""))</f>
        <v>#DIV/0!</v>
      </c>
      <c r="AS73" s="104"/>
      <c r="AT73" s="104"/>
      <c r="AU73" s="104"/>
      <c r="AV73" s="104"/>
      <c r="AW73" s="104"/>
      <c r="AX73" s="104"/>
      <c r="AY73" s="104"/>
      <c r="AZ73" s="104"/>
      <c r="BA73" s="104"/>
      <c r="BK73" s="101" t="e" cm="1">
        <f t="array" aca="1" ref="BK73" ca="1">AVERAGE(IFERROR(BK40:BK72, ""))</f>
        <v>#DIV/0!</v>
      </c>
      <c r="BL73" s="101" t="e" cm="1">
        <f t="array" aca="1" ref="BL73" ca="1">AVERAGE(IFERROR(BL40:BL72, ""))</f>
        <v>#DIV/0!</v>
      </c>
      <c r="BM73" s="105" t="e" cm="1">
        <f t="array" aca="1" ref="BM73" ca="1">AVERAGE(IFERROR(BM40:BM72, ""))</f>
        <v>#DIV/0!</v>
      </c>
      <c r="BN73" s="101" t="e" cm="1">
        <f t="array" aca="1" ref="BN73" ca="1">AVERAGE(IFERROR(BN40:BN72, ""))</f>
        <v>#DIV/0!</v>
      </c>
      <c r="BO73" s="101" t="e" cm="1">
        <f t="array" aca="1" ref="BO73" ca="1">AVERAGE(IFERROR(BO40:BO72, ""))</f>
        <v>#DIV/0!</v>
      </c>
      <c r="BP73" s="101" t="e" cm="1">
        <f t="array" aca="1" ref="BP73" ca="1">AVERAGE(IFERROR(BP40:BP72, ""))</f>
        <v>#DIV/0!</v>
      </c>
      <c r="BQ73" s="105" t="e" cm="1">
        <f t="array" aca="1" ref="BQ73" ca="1">AVERAGE(IFERROR(BQ40:BQ72, ""))</f>
        <v>#DIV/0!</v>
      </c>
      <c r="BR73" s="101" t="e" cm="1">
        <f t="array" aca="1" ref="BR73" ca="1">AVERAGE(IFERROR(BR40:BR72, ""))</f>
        <v>#DIV/0!</v>
      </c>
      <c r="BS73" s="101" t="e" cm="1">
        <f t="array" aca="1" ref="BS73" ca="1">AVERAGE(IFERROR(BS40:BS72, ""))</f>
        <v>#DIV/0!</v>
      </c>
      <c r="BT73" s="105" t="e" cm="1">
        <f t="array" aca="1" ref="BT73" ca="1">AVERAGE(IFERROR(BT40:BT72, ""))</f>
        <v>#DIV/0!</v>
      </c>
    </row>
    <row r="74" spans="1:77" s="122" customFormat="1" x14ac:dyDescent="0.25">
      <c r="J74" s="123"/>
      <c r="K74" s="123"/>
      <c r="L74" s="123"/>
      <c r="M74" s="124"/>
      <c r="N74" s="125"/>
      <c r="O74" s="125"/>
      <c r="P74" s="125"/>
      <c r="Q74" s="126"/>
      <c r="R74" s="126"/>
      <c r="S74" s="126"/>
      <c r="T74" s="125"/>
      <c r="U74" s="125"/>
      <c r="V74" s="125"/>
      <c r="W74" s="125"/>
      <c r="X74" s="125"/>
      <c r="Y74" s="125"/>
      <c r="Z74" s="125"/>
      <c r="AA74" s="127"/>
      <c r="AB74" s="127"/>
      <c r="AC74" s="127"/>
      <c r="AD74" s="128"/>
      <c r="AE74" s="128"/>
      <c r="AF74" s="128"/>
      <c r="AG74" s="128"/>
      <c r="AH74" s="128"/>
      <c r="AI74" s="128"/>
      <c r="AJ74" s="128"/>
      <c r="AK74" s="128"/>
      <c r="AL74" s="128"/>
      <c r="AM74" s="127"/>
      <c r="AN74" s="127"/>
      <c r="AO74" s="127"/>
      <c r="AP74" s="129"/>
      <c r="AQ74" s="129"/>
      <c r="AR74" s="129"/>
      <c r="AS74" s="127"/>
      <c r="AT74" s="127"/>
      <c r="AU74" s="127"/>
      <c r="AV74" s="127"/>
      <c r="AW74" s="127"/>
      <c r="AX74" s="127"/>
      <c r="AY74" s="127"/>
      <c r="AZ74" s="127"/>
      <c r="BA74" s="127"/>
      <c r="BK74" s="129"/>
      <c r="BL74" s="129"/>
      <c r="BM74" s="130"/>
      <c r="BN74" s="127"/>
      <c r="BO74" s="127"/>
      <c r="BP74" s="127"/>
      <c r="BQ74" s="127"/>
      <c r="BR74" s="127"/>
      <c r="BS74" s="127"/>
      <c r="BT74" s="127"/>
    </row>
  </sheetData>
  <autoFilter ref="BV5:BX72" xr:uid="{5C9BD233-CC29-4469-B089-C37E1114F7F8}"/>
  <mergeCells count="22">
    <mergeCell ref="BC1:BG1"/>
    <mergeCell ref="BK1:BM1"/>
    <mergeCell ref="BN1:BQ1"/>
    <mergeCell ref="BR1:BT1"/>
    <mergeCell ref="AA1:AC1"/>
    <mergeCell ref="AD1:AL1"/>
    <mergeCell ref="AM1:AO1"/>
    <mergeCell ref="AP1:AR1"/>
    <mergeCell ref="AS1:AW1"/>
    <mergeCell ref="AX1:BB1"/>
    <mergeCell ref="I1:I2"/>
    <mergeCell ref="M1:M2"/>
    <mergeCell ref="N1:P1"/>
    <mergeCell ref="Q1:S1"/>
    <mergeCell ref="T1:U1"/>
    <mergeCell ref="V1:X1"/>
    <mergeCell ref="A1:A2"/>
    <mergeCell ref="B1:B2"/>
    <mergeCell ref="C1:C2"/>
    <mergeCell ref="E1:E2"/>
    <mergeCell ref="F1:F2"/>
    <mergeCell ref="H1:H2"/>
  </mergeCells>
  <pageMargins left="0.25" right="0.25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Golds</vt:lpstr>
      <vt:lpstr>Golds!Print_Area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2026-02-20T13:10:19Z</dcterms:created>
  <dcterms:modified xsi:type="dcterms:W3CDTF">2026-02-20T13:10:21Z</dcterms:modified>
</cp:coreProperties>
</file>