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5F2A5F12-D7AB-42A3-97E6-1CEC677A52FC}" xr6:coauthVersionLast="47" xr6:coauthVersionMax="47" xr10:uidLastSave="{00000000-0000-0000-0000-000000000000}"/>
  <bookViews>
    <workbookView xWindow="-108" yWindow="-108" windowWidth="23256" windowHeight="12456" xr2:uid="{B5DA2100-4EDE-4F68-9E30-6F2E367D24B1}"/>
  </bookViews>
  <sheets>
    <sheet name="PGMs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2" i="1" l="1"/>
  <c r="AK11" i="1" a="1"/>
  <c r="AK11" i="1" s="1"/>
  <c r="AJ11" i="1"/>
  <c r="AJ11" i="1" a="1"/>
  <c r="AI11" i="1" a="1"/>
  <c r="AI11" i="1" s="1"/>
  <c r="AH11" i="1"/>
  <c r="AG11" i="1"/>
  <c r="AF11" i="1"/>
  <c r="AE11" i="1" a="1"/>
  <c r="AE11" i="1" s="1"/>
  <c r="AD11" i="1"/>
  <c r="AD11" i="1" a="1"/>
  <c r="AC11" i="1"/>
  <c r="AC11" i="1" a="1"/>
  <c r="AB11" i="1"/>
  <c r="AA11" i="1"/>
  <c r="Z11" i="1"/>
  <c r="Y11" i="1"/>
  <c r="Y11" i="1" a="1"/>
  <c r="X11" i="1" a="1"/>
  <c r="X11" i="1" s="1"/>
  <c r="W11" i="1" a="1"/>
  <c r="W11" i="1" s="1"/>
  <c r="V11" i="1" a="1"/>
  <c r="V11" i="1" s="1"/>
  <c r="U11" i="1"/>
  <c r="U11" i="1" a="1"/>
  <c r="T11" i="1" a="1"/>
  <c r="T11" i="1" s="1"/>
  <c r="S11" i="1" a="1"/>
  <c r="S11" i="1" s="1"/>
  <c r="R11" i="1" a="1"/>
  <c r="R11" i="1" s="1"/>
  <c r="Q11" i="1"/>
  <c r="P11" i="1"/>
  <c r="N11" i="1"/>
  <c r="N11" i="1" a="1"/>
  <c r="M11" i="1"/>
  <c r="M11" i="1" a="1"/>
  <c r="L11" i="1" a="1"/>
  <c r="L11" i="1" s="1"/>
  <c r="K11" i="1"/>
  <c r="K11" i="1" a="1"/>
  <c r="G11" i="1"/>
  <c r="O11" i="1" s="1"/>
  <c r="F11" i="1"/>
  <c r="C11" i="1"/>
  <c r="B11" i="1"/>
  <c r="A11" i="1"/>
  <c r="V10" i="1"/>
  <c r="V10" i="1" a="1"/>
  <c r="U10" i="1" a="1"/>
  <c r="U10" i="1" s="1"/>
  <c r="T10" i="1" a="1"/>
  <c r="T10" i="1" s="1"/>
  <c r="S10" i="1" a="1"/>
  <c r="S10" i="1" s="1"/>
  <c r="R10" i="1"/>
  <c r="R10" i="1" a="1"/>
  <c r="N10" i="1"/>
  <c r="N10" i="1" a="1"/>
  <c r="M10" i="1" a="1"/>
  <c r="M10" i="1" s="1"/>
  <c r="L10" i="1"/>
  <c r="L10" i="1" a="1"/>
  <c r="K10" i="1"/>
  <c r="K10" i="1" a="1"/>
  <c r="G10" i="1"/>
  <c r="Q10" i="1" s="1"/>
  <c r="F10" i="1"/>
  <c r="C10" i="1"/>
  <c r="B10" i="1"/>
  <c r="A10" i="1"/>
  <c r="AK9" i="1" a="1"/>
  <c r="AK9" i="1" s="1"/>
  <c r="AJ9" i="1" a="1"/>
  <c r="AJ9" i="1" s="1"/>
  <c r="AI9" i="1" a="1"/>
  <c r="AI9" i="1" s="1"/>
  <c r="AH9" i="1"/>
  <c r="AG9" i="1"/>
  <c r="AF9" i="1"/>
  <c r="AE9" i="1"/>
  <c r="AE9" i="1" a="1"/>
  <c r="AD9" i="1"/>
  <c r="AD9" i="1" a="1"/>
  <c r="AC9" i="1" a="1"/>
  <c r="AC9" i="1" s="1"/>
  <c r="AB9" i="1"/>
  <c r="AA9" i="1"/>
  <c r="Z9" i="1"/>
  <c r="Y9" i="1" a="1"/>
  <c r="Y9" i="1" s="1"/>
  <c r="X9" i="1" a="1"/>
  <c r="X9" i="1" s="1"/>
  <c r="W9" i="1"/>
  <c r="W9" i="1" a="1"/>
  <c r="V9" i="1" a="1"/>
  <c r="V9" i="1" s="1"/>
  <c r="U9" i="1" a="1"/>
  <c r="U9" i="1" s="1"/>
  <c r="T9" i="1" a="1"/>
  <c r="T9" i="1" s="1"/>
  <c r="S9" i="1"/>
  <c r="S9" i="1" a="1"/>
  <c r="R9" i="1" a="1"/>
  <c r="R9" i="1" s="1"/>
  <c r="P9" i="1"/>
  <c r="N9" i="1" a="1"/>
  <c r="N9" i="1" s="1"/>
  <c r="M9" i="1"/>
  <c r="M9" i="1" a="1"/>
  <c r="L9" i="1"/>
  <c r="L9" i="1" a="1"/>
  <c r="K9" i="1"/>
  <c r="K9" i="1" a="1"/>
  <c r="G9" i="1"/>
  <c r="Q9" i="1" s="1"/>
  <c r="F9" i="1"/>
  <c r="C9" i="1"/>
  <c r="B9" i="1"/>
  <c r="A9" i="1"/>
  <c r="AK8" i="1" a="1"/>
  <c r="AK8" i="1" s="1"/>
  <c r="AJ8" i="1" a="1"/>
  <c r="AJ8" i="1" s="1"/>
  <c r="AI8" i="1"/>
  <c r="AI8" i="1" a="1"/>
  <c r="AH8" i="1"/>
  <c r="AG8" i="1"/>
  <c r="AF8" i="1"/>
  <c r="AE8" i="1"/>
  <c r="AE8" i="1" a="1"/>
  <c r="AD8" i="1" a="1"/>
  <c r="AD8" i="1" s="1"/>
  <c r="AC8" i="1"/>
  <c r="AC8" i="1" a="1"/>
  <c r="AB8" i="1"/>
  <c r="AA8" i="1"/>
  <c r="Z8" i="1"/>
  <c r="Y8" i="1" a="1"/>
  <c r="Y8" i="1" s="1"/>
  <c r="X8" i="1"/>
  <c r="X8" i="1" a="1"/>
  <c r="W8" i="1" a="1"/>
  <c r="W8" i="1" s="1"/>
  <c r="V8" i="1" a="1"/>
  <c r="V8" i="1" s="1"/>
  <c r="U8" i="1" a="1"/>
  <c r="U8" i="1" s="1"/>
  <c r="T8" i="1"/>
  <c r="T8" i="1" a="1"/>
  <c r="S8" i="1" a="1"/>
  <c r="S8" i="1" s="1"/>
  <c r="R8" i="1" a="1"/>
  <c r="R8" i="1" s="1"/>
  <c r="P8" i="1"/>
  <c r="O8" i="1"/>
  <c r="N8" i="1"/>
  <c r="N8" i="1" a="1"/>
  <c r="M8" i="1"/>
  <c r="M8" i="1" a="1"/>
  <c r="L8" i="1"/>
  <c r="L8" i="1" a="1"/>
  <c r="K8" i="1" a="1"/>
  <c r="K8" i="1" s="1"/>
  <c r="G8" i="1"/>
  <c r="Q8" i="1" s="1"/>
  <c r="F8" i="1"/>
  <c r="C8" i="1"/>
  <c r="B8" i="1"/>
  <c r="A8" i="1"/>
  <c r="AK7" i="1" a="1"/>
  <c r="AK7" i="1" s="1"/>
  <c r="AJ7" i="1"/>
  <c r="AJ7" i="1" a="1"/>
  <c r="AI7" i="1" a="1"/>
  <c r="AI7" i="1" s="1"/>
  <c r="AH7" i="1"/>
  <c r="AG7" i="1"/>
  <c r="AF7" i="1"/>
  <c r="AE7" i="1" a="1"/>
  <c r="AE7" i="1" s="1"/>
  <c r="AE12" i="1" s="1"/>
  <c r="AD7" i="1"/>
  <c r="AD7" i="1" a="1"/>
  <c r="AC7" i="1"/>
  <c r="AC7" i="1" a="1"/>
  <c r="AB7" i="1"/>
  <c r="AA7" i="1"/>
  <c r="Z7" i="1"/>
  <c r="Y7" i="1"/>
  <c r="Y7" i="1" a="1"/>
  <c r="X7" i="1" a="1"/>
  <c r="X7" i="1" s="1"/>
  <c r="W7" i="1" a="1"/>
  <c r="W7" i="1" s="1"/>
  <c r="V7" i="1" a="1"/>
  <c r="V7" i="1" s="1"/>
  <c r="U7" i="1"/>
  <c r="U7" i="1" a="1"/>
  <c r="T7" i="1" a="1"/>
  <c r="T7" i="1" s="1"/>
  <c r="S7" i="1" a="1"/>
  <c r="S7" i="1" s="1"/>
  <c r="R7" i="1" a="1"/>
  <c r="R7" i="1" s="1"/>
  <c r="Q7" i="1"/>
  <c r="N7" i="1"/>
  <c r="N7" i="1" a="1"/>
  <c r="M7" i="1"/>
  <c r="M7" i="1" a="1"/>
  <c r="L7" i="1" a="1"/>
  <c r="L7" i="1" s="1"/>
  <c r="K7" i="1"/>
  <c r="K7" i="1" a="1"/>
  <c r="G7" i="1"/>
  <c r="O7" i="1" s="1"/>
  <c r="F7" i="1"/>
  <c r="C7" i="1"/>
  <c r="B7" i="1"/>
  <c r="A7" i="1"/>
  <c r="AK6" i="1"/>
  <c r="AK6" i="1" a="1"/>
  <c r="AJ6" i="1" a="1"/>
  <c r="AJ6" i="1" s="1"/>
  <c r="AJ12" i="1" s="1"/>
  <c r="AI6" i="1" a="1"/>
  <c r="AI6" i="1" s="1"/>
  <c r="AI12" i="1" s="1"/>
  <c r="AH6" i="1"/>
  <c r="AG6" i="1"/>
  <c r="AG12" i="1" s="1"/>
  <c r="AF6" i="1"/>
  <c r="AF12" i="1" s="1"/>
  <c r="AE6" i="1"/>
  <c r="AE6" i="1" a="1"/>
  <c r="AD6" i="1"/>
  <c r="AD12" i="1" s="1"/>
  <c r="AD6" i="1" a="1"/>
  <c r="AC6" i="1"/>
  <c r="AC12" i="1" s="1"/>
  <c r="AC6" i="1" a="1"/>
  <c r="AB6" i="1"/>
  <c r="AB12" i="1" s="1"/>
  <c r="AA6" i="1"/>
  <c r="AA12" i="1" s="1"/>
  <c r="Z6" i="1"/>
  <c r="Z12" i="1" s="1"/>
  <c r="Y6" i="1" a="1"/>
  <c r="Y6" i="1" s="1"/>
  <c r="X6" i="1" a="1"/>
  <c r="X6" i="1" s="1"/>
  <c r="X12" i="1" s="1"/>
  <c r="W6" i="1" a="1"/>
  <c r="W6" i="1" s="1"/>
  <c r="W12" i="1" s="1"/>
  <c r="V6" i="1"/>
  <c r="V6" i="1" a="1"/>
  <c r="U6" i="1" a="1"/>
  <c r="U6" i="1" s="1"/>
  <c r="T6" i="1" a="1"/>
  <c r="T6" i="1" s="1"/>
  <c r="T12" i="1" s="1"/>
  <c r="S6" i="1" a="1"/>
  <c r="S6" i="1" s="1"/>
  <c r="S12" i="1" s="1"/>
  <c r="R6" i="1"/>
  <c r="R12" i="1" s="1"/>
  <c r="R6" i="1" a="1"/>
  <c r="P6" i="1"/>
  <c r="N6" i="1"/>
  <c r="N12" i="1" s="1"/>
  <c r="N6" i="1" a="1"/>
  <c r="M6" i="1" a="1"/>
  <c r="M6" i="1" s="1"/>
  <c r="M12" i="1" s="1"/>
  <c r="L6" i="1"/>
  <c r="L12" i="1" s="1"/>
  <c r="L6" i="1" a="1"/>
  <c r="K6" i="1"/>
  <c r="K12" i="1" s="1"/>
  <c r="K6" i="1" a="1"/>
  <c r="G6" i="1"/>
  <c r="Q6" i="1" s="1"/>
  <c r="Q12" i="1" s="1" a="1"/>
  <c r="Q12" i="1" s="1"/>
  <c r="F6" i="1"/>
  <c r="C6" i="1"/>
  <c r="B6" i="1"/>
  <c r="A6" i="1"/>
  <c r="Y12" i="1" l="1"/>
  <c r="AK12" i="1"/>
  <c r="P7" i="1"/>
  <c r="P12" i="1" s="1" a="1"/>
  <c r="P12" i="1" s="1"/>
  <c r="O9" i="1"/>
  <c r="O6" i="1"/>
  <c r="O10" i="1"/>
  <c r="P10" i="1"/>
  <c r="O12" i="1" l="1" a="1"/>
  <c r="O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<sst xmlns="http://schemas.openxmlformats.org/spreadsheetml/2006/main" count="116" uniqueCount="84">
  <si>
    <t>Last Earnings Date</t>
  </si>
  <si>
    <t>Exp. Next Earnings Date (BBG)</t>
  </si>
  <si>
    <t>Confirmed / Estimated Date (BBG)</t>
  </si>
  <si>
    <t>Exp. Next Earnings Date (HC)</t>
  </si>
  <si>
    <t>Confirmed / Estimated Date (HC)</t>
  </si>
  <si>
    <t>Enterprise Value (US$)</t>
  </si>
  <si>
    <t>Market Cap ($US)</t>
  </si>
  <si>
    <t>Price / NAV Consensus</t>
  </si>
  <si>
    <t>Price / CF</t>
  </si>
  <si>
    <t>FCF Yield %</t>
  </si>
  <si>
    <t>Price / Earnings</t>
  </si>
  <si>
    <t>Net Debt / EBITDA</t>
  </si>
  <si>
    <t xml:space="preserve"> Debt / Equity</t>
  </si>
  <si>
    <t>Production guidance Ag (koz)</t>
  </si>
  <si>
    <t>AISC Reported ($/oz)</t>
  </si>
  <si>
    <t>AISC Guidance ($/oz)</t>
  </si>
  <si>
    <t>Cash Costs Reported ($/oz)</t>
  </si>
  <si>
    <t>Cash Cost Guidance ($/oz)</t>
  </si>
  <si>
    <t>Model (Y/N)</t>
  </si>
  <si>
    <t>Priority?</t>
  </si>
  <si>
    <t>Stock of Interest</t>
  </si>
  <si>
    <t>Comment</t>
  </si>
  <si>
    <t>Bloomberg
Ticker</t>
  </si>
  <si>
    <t>Ticker</t>
  </si>
  <si>
    <t>FY2024</t>
  </si>
  <si>
    <t>FY2025</t>
  </si>
  <si>
    <t>FY2026</t>
  </si>
  <si>
    <t>2024Y</t>
  </si>
  <si>
    <t>2025Y</t>
  </si>
  <si>
    <t>2026Y</t>
  </si>
  <si>
    <t>2021Y</t>
  </si>
  <si>
    <t>2022Y</t>
  </si>
  <si>
    <t>2023Y</t>
  </si>
  <si>
    <t>SNL_EARNINGS_RELEASE_DATE</t>
  </si>
  <si>
    <t>EXPECTED_REPORT_DT</t>
  </si>
  <si>
    <t>EXPECTED_REPORT_TYP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</si>
  <si>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</si>
  <si>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</si>
  <si>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</si>
  <si>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</si>
  <si>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</si>
  <si>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</si>
  <si>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</si>
  <si>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SNL_CONS_PRODUCTION_PROJECTION_HIGH_OZ</t>
  </si>
  <si>
    <t>SNL_ALL_IN_SUSTAINING_COST_OZ</t>
  </si>
  <si>
    <t>SNL_PROJ_ALL_IN_SUSTAINING_COST_HIGH_OZ</t>
  </si>
  <si>
    <t>SNL_CASH_COST_OZ</t>
  </si>
  <si>
    <t>SNL_PROJ_CASH_COST_HIGH_OZ</t>
  </si>
  <si>
    <t>FQ0</t>
  </si>
  <si>
    <t>FH0</t>
  </si>
  <si>
    <t>SNL_CONS_PRODUCTION_PROJECTION_LOW_OZ</t>
  </si>
  <si>
    <t>SNL_PROJ_ALL_IN_SUSTAINING_COST_LOW_OZ</t>
  </si>
  <si>
    <t>SNL_PROJ_CASH_COST_LOW_OZ</t>
  </si>
  <si>
    <t>Senior Producers</t>
  </si>
  <si>
    <t>28/07/2025</t>
  </si>
  <si>
    <t>Confirmed</t>
  </si>
  <si>
    <t xml:space="preserve">Anglo American Platinum </t>
  </si>
  <si>
    <t>AMS SJ Equity</t>
  </si>
  <si>
    <t>JSE:AMS</t>
  </si>
  <si>
    <t>N</t>
  </si>
  <si>
    <t>YES</t>
  </si>
  <si>
    <t>28/08/2025</t>
  </si>
  <si>
    <t xml:space="preserve">Impala Platinum </t>
  </si>
  <si>
    <t>IMP SJ Equity</t>
  </si>
  <si>
    <t>JSE:IMP</t>
  </si>
  <si>
    <t>NO</t>
  </si>
  <si>
    <t xml:space="preserve">Sibanye Stillwater </t>
  </si>
  <si>
    <t>SSW SJ Equity</t>
  </si>
  <si>
    <t>JSE:SSW</t>
  </si>
  <si>
    <t>23/05/2025</t>
  </si>
  <si>
    <t>Estimated</t>
  </si>
  <si>
    <t>Tharisa</t>
  </si>
  <si>
    <t>THA SJ Equity</t>
  </si>
  <si>
    <t>JSE:THA</t>
  </si>
  <si>
    <t>30/04/2025</t>
  </si>
  <si>
    <t>Sylvania Platinum</t>
  </si>
  <si>
    <t>SLP LN Equity</t>
  </si>
  <si>
    <t>AIM:SLP</t>
  </si>
  <si>
    <t>29/08/2025</t>
  </si>
  <si>
    <t>Northam Platinum</t>
  </si>
  <si>
    <t>NPH SJ Equity</t>
  </si>
  <si>
    <t>JSE:NPH</t>
  </si>
  <si>
    <t>Average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</si>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</sst>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9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0" fillId="0" borderId="12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164" fontId="0" fillId="4" borderId="13" xfId="0" applyNumberFormat="1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6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0" fillId="0" borderId="1" xfId="0" applyNumberFormat="1" applyBorder="1" applyAlignment="1">
      <alignment horizontal="center" vertical="top"/>
    </xf>
    <xf numFmtId="164" fontId="0" fillId="0" borderId="6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11" xfId="0" applyNumberFormat="1" applyBorder="1" applyAlignment="1">
      <alignment horizontal="center" vertical="top"/>
    </xf>
    <xf numFmtId="165" fontId="0" fillId="0" borderId="0" xfId="1" applyNumberFormat="1" applyFont="1" applyBorder="1" applyAlignment="1">
      <alignment horizontal="center" vertical="top"/>
    </xf>
    <xf numFmtId="165" fontId="0" fillId="0" borderId="7" xfId="1" applyNumberFormat="1" applyFont="1" applyBorder="1" applyAlignment="1">
      <alignment horizontal="center" vertical="top"/>
    </xf>
    <xf numFmtId="165" fontId="0" fillId="0" borderId="8" xfId="1" applyNumberFormat="1" applyFont="1" applyBorder="1" applyAlignment="1">
      <alignment horizontal="center" vertical="top"/>
    </xf>
    <xf numFmtId="9" fontId="0" fillId="0" borderId="0" xfId="1" applyFont="1" applyBorder="1" applyAlignment="1">
      <alignment horizontal="center" vertical="top"/>
    </xf>
    <xf numFmtId="9" fontId="0" fillId="0" borderId="6" xfId="1" applyFont="1" applyBorder="1" applyAlignment="1">
      <alignment horizontal="center" vertical="top"/>
    </xf>
    <xf numFmtId="3" fontId="0" fillId="0" borderId="10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8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0" fontId="7" fillId="0" borderId="12" xfId="0" applyFont="1" applyBorder="1" applyAlignment="1">
      <alignment horizontal="left" vertical="top"/>
    </xf>
    <xf numFmtId="0" fontId="1" fillId="5" borderId="3" xfId="0" applyFont="1" applyFill="1" applyBorder="1" applyAlignment="1">
      <alignment horizontal="right" vertical="top"/>
    </xf>
    <xf numFmtId="2" fontId="1" fillId="5" borderId="13" xfId="0" applyNumberFormat="1" applyFont="1" applyFill="1" applyBorder="1" applyAlignment="1">
      <alignment horizontal="center" vertical="top"/>
    </xf>
    <xf numFmtId="164" fontId="1" fillId="5" borderId="2" xfId="0" applyNumberFormat="1" applyFont="1" applyFill="1" applyBorder="1" applyAlignment="1">
      <alignment horizontal="center" vertical="top"/>
    </xf>
    <xf numFmtId="164" fontId="1" fillId="5" borderId="3" xfId="0" applyNumberFormat="1" applyFont="1" applyFill="1" applyBorder="1" applyAlignment="1">
      <alignment horizontal="center" vertical="top"/>
    </xf>
    <xf numFmtId="164" fontId="1" fillId="5" borderId="4" xfId="0" applyNumberFormat="1" applyFont="1" applyFill="1" applyBorder="1" applyAlignment="1">
      <alignment horizontal="center" vertical="top"/>
    </xf>
    <xf numFmtId="165" fontId="1" fillId="5" borderId="3" xfId="1" applyNumberFormat="1" applyFont="1" applyFill="1" applyBorder="1" applyAlignment="1">
      <alignment horizontal="center" vertical="top"/>
    </xf>
    <xf numFmtId="3" fontId="1" fillId="5" borderId="3" xfId="0" applyNumberFormat="1" applyFont="1" applyFill="1" applyBorder="1" applyAlignment="1">
      <alignment horizontal="center" vertical="top"/>
    </xf>
    <xf numFmtId="166" fontId="1" fillId="5" borderId="3" xfId="0" applyNumberFormat="1" applyFont="1" applyFill="1" applyBorder="1" applyAlignment="1">
      <alignment horizontal="center" vertical="top"/>
    </xf>
    <xf numFmtId="166" fontId="1" fillId="5" borderId="4" xfId="0" applyNumberFormat="1" applyFont="1" applyFill="1" applyBorder="1" applyAlignment="1">
      <alignment horizontal="center" vertical="top"/>
    </xf>
    <xf numFmtId="0" fontId="0" fillId="0" borderId="14" xfId="0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6" borderId="0" xfId="0" applyFill="1" applyAlignment="1">
      <alignment horizontal="left" vertical="top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5D4F-D69D-4514-8E2C-AAF3E1C0C4DD}">
  <dimension ref="A1:AP79"/>
  <sheetViews>
    <sheetView showGridLines="0" tabSelected="1" zoomScaleNormal="100" workbookViewId="0">
      <pane xSplit="8" ySplit="4" topLeftCell="I5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outlineLevelRow="1" outlineLevelCol="1" x14ac:dyDescent="0.25"/>
  <cols>
    <col min="1" max="1" width="10.109375" style="2" hidden="1" customWidth="1" outlineLevel="1"/>
    <col min="2" max="5" width="12.77734375" style="2" hidden="1" customWidth="1" outlineLevel="1"/>
    <col min="6" max="7" width="9.6640625" style="2" hidden="1" customWidth="1" outlineLevel="1"/>
    <col min="8" max="8" width="27.77734375" style="2" bestFit="1" customWidth="1" collapsed="1"/>
    <col min="9" max="9" width="23.109375" style="2" customWidth="1"/>
    <col min="10" max="10" width="11.109375" style="2" bestFit="1" customWidth="1"/>
    <col min="11" max="11" width="11.33203125" style="2" customWidth="1"/>
    <col min="12" max="12" width="8.6640625" style="2" customWidth="1"/>
    <col min="13" max="13" width="8" style="2" customWidth="1"/>
    <col min="14" max="14" width="8.77734375" style="2" customWidth="1"/>
    <col min="15" max="15" width="10.33203125" style="2" customWidth="1"/>
    <col min="16" max="16" width="8.77734375" style="2" bestFit="1" customWidth="1"/>
    <col min="17" max="17" width="8.77734375" style="2" customWidth="1"/>
    <col min="18" max="18" width="9" style="2" customWidth="1"/>
    <col min="19" max="22" width="8.77734375" style="2" customWidth="1"/>
    <col min="23" max="24" width="8.77734375" style="2" hidden="1" customWidth="1" outlineLevel="1"/>
    <col min="25" max="25" width="9.77734375" style="2" hidden="1" customWidth="1" outlineLevel="1"/>
    <col min="26" max="28" width="7.109375" style="2" hidden="1" customWidth="1" outlineLevel="1"/>
    <col min="29" max="30" width="7.33203125" style="2" hidden="1" customWidth="1" outlineLevel="1"/>
    <col min="31" max="31" width="8.33203125" style="2" hidden="1" customWidth="1" outlineLevel="1"/>
    <col min="32" max="34" width="7.109375" style="2" hidden="1" customWidth="1" outlineLevel="1"/>
    <col min="35" max="35" width="7.33203125" style="2" hidden="1" customWidth="1" outlineLevel="1"/>
    <col min="36" max="36" width="8.6640625" style="2" hidden="1" customWidth="1" outlineLevel="1"/>
    <col min="37" max="37" width="8.33203125" style="2" hidden="1" customWidth="1" outlineLevel="1"/>
    <col min="38" max="38" width="8.88671875" style="2" collapsed="1"/>
    <col min="39" max="40" width="8.88671875" style="2"/>
    <col min="41" max="41" width="11.33203125" style="2" bestFit="1" customWidth="1"/>
    <col min="42" max="16384" width="8.88671875" style="2"/>
  </cols>
  <sheetData>
    <row r="1" spans="1:42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3" t="s">
        <v>7</v>
      </c>
      <c r="L1" s="4" t="s">
        <v>8</v>
      </c>
      <c r="M1" s="5"/>
      <c r="N1" s="6"/>
      <c r="O1" s="4" t="s">
        <v>9</v>
      </c>
      <c r="P1" s="5"/>
      <c r="Q1" s="6"/>
      <c r="R1" s="4" t="s">
        <v>10</v>
      </c>
      <c r="S1" s="5"/>
      <c r="T1" s="6"/>
      <c r="U1" s="7" t="s">
        <v>11</v>
      </c>
      <c r="V1" s="8" t="s">
        <v>12</v>
      </c>
      <c r="W1" s="4" t="s">
        <v>13</v>
      </c>
      <c r="X1" s="5"/>
      <c r="Y1" s="5"/>
      <c r="Z1" s="4" t="s">
        <v>14</v>
      </c>
      <c r="AA1" s="5"/>
      <c r="AB1" s="5"/>
      <c r="AC1" s="5" t="s">
        <v>15</v>
      </c>
      <c r="AD1" s="5"/>
      <c r="AE1" s="6"/>
      <c r="AF1" s="4" t="s">
        <v>16</v>
      </c>
      <c r="AG1" s="5"/>
      <c r="AH1" s="5"/>
      <c r="AI1" s="5" t="s">
        <v>17</v>
      </c>
      <c r="AJ1" s="5"/>
      <c r="AK1" s="6"/>
      <c r="AM1" s="9" t="s">
        <v>18</v>
      </c>
      <c r="AN1" s="9" t="s">
        <v>19</v>
      </c>
      <c r="AO1" s="9" t="s">
        <v>20</v>
      </c>
      <c r="AP1" s="9" t="s">
        <v>21</v>
      </c>
    </row>
    <row r="2" spans="1:42" ht="27.75" customHeight="1" x14ac:dyDescent="0.25">
      <c r="A2" s="1"/>
      <c r="B2" s="1"/>
      <c r="C2" s="1"/>
      <c r="D2" s="1"/>
      <c r="E2" s="1"/>
      <c r="F2" s="1"/>
      <c r="G2" s="1"/>
      <c r="I2" s="10" t="s">
        <v>22</v>
      </c>
      <c r="J2" s="11" t="s">
        <v>23</v>
      </c>
      <c r="K2" s="3"/>
      <c r="L2" s="12" t="s">
        <v>24</v>
      </c>
      <c r="M2" s="13" t="s">
        <v>25</v>
      </c>
      <c r="N2" s="14" t="s">
        <v>26</v>
      </c>
      <c r="O2" s="12" t="s">
        <v>24</v>
      </c>
      <c r="P2" s="13" t="s">
        <v>25</v>
      </c>
      <c r="Q2" s="13" t="s">
        <v>26</v>
      </c>
      <c r="R2" s="12" t="s">
        <v>24</v>
      </c>
      <c r="S2" s="13" t="s">
        <v>25</v>
      </c>
      <c r="T2" s="14" t="s">
        <v>26</v>
      </c>
      <c r="U2" s="12" t="s">
        <v>24</v>
      </c>
      <c r="V2" s="15"/>
      <c r="W2" s="16" t="s">
        <v>27</v>
      </c>
      <c r="X2" s="17" t="s">
        <v>28</v>
      </c>
      <c r="Y2" s="18" t="s">
        <v>29</v>
      </c>
      <c r="Z2" s="17" t="s">
        <v>30</v>
      </c>
      <c r="AA2" s="17" t="s">
        <v>31</v>
      </c>
      <c r="AB2" s="19" t="s">
        <v>32</v>
      </c>
      <c r="AC2" s="17" t="s">
        <v>27</v>
      </c>
      <c r="AD2" s="17" t="s">
        <v>28</v>
      </c>
      <c r="AE2" s="20" t="s">
        <v>29</v>
      </c>
      <c r="AF2" s="17" t="s">
        <v>30</v>
      </c>
      <c r="AG2" s="17" t="s">
        <v>31</v>
      </c>
      <c r="AH2" s="19" t="s">
        <v>32</v>
      </c>
      <c r="AI2" s="17" t="s">
        <v>27</v>
      </c>
      <c r="AJ2" s="17" t="s">
        <v>28</v>
      </c>
      <c r="AK2" s="20" t="s">
        <v>29</v>
      </c>
      <c r="AM2" s="21"/>
      <c r="AN2" s="21"/>
      <c r="AO2" s="21"/>
      <c r="AP2" s="21"/>
    </row>
    <row r="3" spans="1:42" outlineLevel="1" x14ac:dyDescent="0.25">
      <c r="A3" s="22" t="s">
        <v>33</v>
      </c>
      <c r="B3" s="23" t="s">
        <v>34</v>
      </c>
      <c r="C3" s="23" t="s">
        <v>35</v>
      </c>
      <c r="D3" s="23"/>
      <c r="E3" s="23"/>
      <c r="J3" s="11"/>
      <c r="K3" s="22" t="s">
        <v>36</v>
      </c>
      <c r="L3" s="24" t="s">
        <v>37</v>
      </c>
      <c r="O3" s="23" t="s">
        <v>38</v>
      </c>
      <c r="P3" s="23" t="s">
        <v>39</v>
      </c>
      <c r="Q3" s="23"/>
      <c r="R3" s="24" t="s">
        <v>40</v>
      </c>
      <c r="U3" s="25" t="s">
        <v>41</v>
      </c>
      <c r="V3" s="25" t="s">
        <v>42</v>
      </c>
      <c r="W3" s="24" t="s">
        <v>43</v>
      </c>
      <c r="Z3" s="24" t="s">
        <v>44</v>
      </c>
      <c r="AC3" s="23" t="s">
        <v>45</v>
      </c>
      <c r="AE3" s="26"/>
      <c r="AF3" s="24" t="s">
        <v>46</v>
      </c>
      <c r="AI3" s="23" t="s">
        <v>47</v>
      </c>
      <c r="AK3" s="26"/>
      <c r="AM3" s="21"/>
      <c r="AN3" s="21"/>
      <c r="AO3" s="21"/>
      <c r="AP3" s="21"/>
    </row>
    <row r="4" spans="1:42" outlineLevel="1" x14ac:dyDescent="0.25">
      <c r="J4" s="11"/>
      <c r="K4" s="22"/>
      <c r="L4" s="24"/>
      <c r="O4" s="23"/>
      <c r="P4" s="23"/>
      <c r="Q4" s="23"/>
      <c r="R4" s="24"/>
      <c r="U4" s="25" t="s">
        <v>48</v>
      </c>
      <c r="V4" s="25" t="s">
        <v>49</v>
      </c>
      <c r="W4" s="24" t="s">
        <v>50</v>
      </c>
      <c r="Z4" s="23"/>
      <c r="AC4" s="23" t="s">
        <v>51</v>
      </c>
      <c r="AE4" s="26"/>
      <c r="AF4" s="23"/>
      <c r="AI4" s="23" t="s">
        <v>52</v>
      </c>
      <c r="AK4" s="26"/>
      <c r="AM4" s="21"/>
      <c r="AN4" s="21"/>
      <c r="AO4" s="21"/>
      <c r="AP4" s="21"/>
    </row>
    <row r="5" spans="1:42" ht="16.8" x14ac:dyDescent="0.25">
      <c r="H5" s="27" t="s">
        <v>53</v>
      </c>
      <c r="I5" s="27"/>
      <c r="J5" s="28"/>
      <c r="K5" s="29"/>
      <c r="L5" s="30"/>
      <c r="M5" s="31"/>
      <c r="N5" s="31"/>
      <c r="O5" s="31"/>
      <c r="P5" s="31"/>
      <c r="Q5" s="31"/>
      <c r="R5" s="30"/>
      <c r="S5" s="31"/>
      <c r="T5" s="32"/>
      <c r="U5" s="31"/>
      <c r="V5" s="31"/>
      <c r="W5" s="31"/>
      <c r="X5" s="31"/>
      <c r="Y5" s="31"/>
      <c r="Z5" s="31"/>
      <c r="AA5" s="31"/>
      <c r="AB5" s="31"/>
      <c r="AC5" s="31"/>
      <c r="AD5" s="31"/>
      <c r="AE5" s="32"/>
      <c r="AF5" s="31"/>
      <c r="AG5" s="31"/>
      <c r="AH5" s="31"/>
      <c r="AI5" s="31"/>
      <c r="AJ5" s="31"/>
      <c r="AK5" s="32"/>
      <c r="AM5" s="21"/>
      <c r="AN5" s="21"/>
      <c r="AO5" s="21"/>
      <c r="AP5" s="21"/>
    </row>
    <row r="6" spans="1:42" ht="13.8" x14ac:dyDescent="0.25">
      <c r="A6" s="33" t="e">
        <f ca="1">_xll.SNL.Clients.Office.Excel.Functions.SPG($J6, A$3)</f>
        <v>#NAME?</v>
      </c>
      <c r="B6" s="33" t="e">
        <f ca="1">_xll.BDP($I6,B$3)</f>
        <v>#NAME?</v>
      </c>
      <c r="C6" s="33" t="e">
        <f ca="1">_xll.BDP($I6,C$3)</f>
        <v>#NAME?</v>
      </c>
      <c r="D6" s="34" t="s">
        <v>54</v>
      </c>
      <c r="E6" s="34" t="s">
        <v>55</v>
      </c>
      <c r="F6" s="35" t="e">
        <f ca="1">_xll.SNL.Clients.Office.Excel.Functions.SPG($J6, "IQ_TEV", "Options: Curr=USD")</f>
        <v>#NAME?</v>
      </c>
      <c r="G6" s="35" t="e">
        <f ca="1">_xll.SNL.Clients.Office.Excel.Functions.SPG($J6, "SP_MARKETCAP", "Options: Curr=USD")</f>
        <v>#NAME?</v>
      </c>
      <c r="H6" s="36" t="s">
        <v>56</v>
      </c>
      <c r="I6" s="37" t="s">
        <v>57</v>
      </c>
      <c r="J6" s="37" t="s">
        <v>58</v>
      </c>
      <c r="K6" s="38" t="e" cm="1">
        <f t="array" aca="1" ref="K6" ca="1">_xll.SNL.Clients.Office.Excel.Functions.SPG($J6, $K$3)/100</f>
        <v>#NAME?</v>
      </c>
      <c r="L6" s="39" t="e" cm="1">
        <f t="array" aca="1" ref="L6" ca="1">_xll.SNL.Clients.Office.Excel.Functions.SPG($J6, "SP_PCFPS_FWD",L$2)</f>
        <v>#NAME?</v>
      </c>
      <c r="M6" s="40" t="e" cm="1">
        <f t="array" aca="1" ref="M6" ca="1">_xll.SNL.Clients.Office.Excel.Functions.SPG($J6, "SP_PCFPS_FWD",M$2)</f>
        <v>#NAME?</v>
      </c>
      <c r="N6" s="41" t="e" cm="1">
        <f t="array" aca="1" ref="N6" ca="1">_xll.SNL.Clients.Office.Excel.Functions.SPG($J6, "SP_PCFPS_FWD",N$2)</f>
        <v>#NAME?</v>
      </c>
      <c r="O6" s="42" t="e">
        <f ca="1">_xll.SNL.Clients.Office.Excel.Functions.SPG($J6, "SP_FCF_EST",O$2, "Options: Curr=USD")/1000/$G6</f>
        <v>#NAME?</v>
      </c>
      <c r="P6" s="43" t="e">
        <f ca="1">_xll.SNL.Clients.Office.Excel.Functions.SPG($J6, "SP_FCF_EST",P$2, "Options: Curr=USD")/1000/$G6</f>
        <v>#NAME?</v>
      </c>
      <c r="Q6" s="44" t="e">
        <f ca="1">_xll.SNL.Clients.Office.Excel.Functions.SPG($J6, "SP_FCF_EST",Q$2, "Options: Curr=USD")/1000/$G6</f>
        <v>#NAME?</v>
      </c>
      <c r="R6" s="39" t="e" cm="1">
        <f t="array" aca="1" ref="R6" ca="1">_xll.SNL.Clients.Office.Excel.Functions.SPG($J6, "SP_PE_FWD",R$2)</f>
        <v>#NAME?</v>
      </c>
      <c r="S6" s="40" t="e" cm="1">
        <f t="array" aca="1" ref="S6" ca="1">_xll.SNL.Clients.Office.Excel.Functions.SPG($J6, "SP_PE_FWD",S$2)</f>
        <v>#NAME?</v>
      </c>
      <c r="T6" s="41" t="e" cm="1">
        <f t="array" aca="1" ref="T6" ca="1">_xll.SNL.Clients.Office.Excel.Functions.SPG($J6, "SP_PE_FWD",T$2)</f>
        <v>#NAME?</v>
      </c>
      <c r="U6" s="45" t="e" cm="1">
        <f t="array" aca="1" ref="U6" ca="1">IF((_xll.SNL.Clients.Office.Excel.Functions.SPG($J6,$U$3,U$4,"Options: Curr=USD") / _xll.SNL.Clients.Office.Excel.Functions.SPG($J6,"SP_EBITDA_EST",U$2,"Options: Curr=USD")) &lt; 0, "NM", (_xll.SNL.Clients.Office.Excel.Functions.SPG($J6,$U$3,U$4,"Options: Curr=USD") / _xll.SNL.Clients.Office.Excel.Functions.SPG($J6,"SP_EBITDA_EST",U$2,"Options: Curr=USD")))</f>
        <v>#NAME?</v>
      </c>
      <c r="V6" s="46" t="e" cm="1">
        <f t="array" aca="1" ref="V6" ca="1">_xll.SNL.Clients.Office.Excel.Functions.SPG($J6, $V$3,V$4)</f>
        <v>#NAME?</v>
      </c>
      <c r="W6" s="47" t="str" cm="1">
        <f t="array" aca="1" ref="W6" ca="1">IFERROR(0.001*AVERPGME(_xll.SNL.Clients.Office.Excel.Functions.SPG($J6,$W$4,"PGM",W$2),_xll.SNL.Clients.Office.Excel.Functions.SPG($J6,$W$3,"PGM",W$2)),"NA")</f>
        <v>NA</v>
      </c>
      <c r="X6" s="48" t="str" cm="1">
        <f t="array" aca="1" ref="X6" ca="1">IFERROR(0.001*AVERPGME(_xll.SNL.Clients.Office.Excel.Functions.SPG($J6,$W$4,"PGM",X$2),_xll.SNL.Clients.Office.Excel.Functions.SPG($J6,$W$3,"PGM",X$2)),"NA")</f>
        <v>NA</v>
      </c>
      <c r="Y6" s="49" t="str" cm="1">
        <f t="array" aca="1" ref="Y6" ca="1">IFERROR(0.001*AVERPGME(_xll.SNL.Clients.Office.Excel.Functions.SPG($J6,$W$4,"PGM",Y$2),_xll.SNL.Clients.Office.Excel.Functions.SPG($J6,$W$3,"PGM",Y$2)),"NA")</f>
        <v>NA</v>
      </c>
      <c r="Z6" s="50" t="e">
        <f ca="1">_xll.SNL.Clients.Office.Excel.Functions.SPG($J6, $Z$3, Z$2, "PGM", "Options:Curr=USD")</f>
        <v>#NAME?</v>
      </c>
      <c r="AA6" s="50" t="e">
        <f ca="1">_xll.SNL.Clients.Office.Excel.Functions.SPG($J6, $Z$3, AA$2, "PGM", "Options:Curr=USD")</f>
        <v>#NAME?</v>
      </c>
      <c r="AB6" s="51" t="e">
        <f ca="1">_xll.SNL.Clients.Office.Excel.Functions.SPG($J6, $Z$3, AB$2, "PGM", "Options:Curr=USD")</f>
        <v>#NAME?</v>
      </c>
      <c r="AC6" s="50" t="str" cm="1">
        <f t="array" aca="1" ref="AC6" ca="1">IFERROR(AVERPGME(_xll.SNL.Clients.Office.Excel.Functions.SPG($J6,$AC$4,"PGM",AC$2),_xll.SNL.Clients.Office.Excel.Functions.SPG($J6,$AC$3,"PGM",AC$2)),"NA")</f>
        <v>NA</v>
      </c>
      <c r="AD6" s="50" t="str" cm="1">
        <f t="array" aca="1" ref="AD6" ca="1">IFERROR(AVERPGME(_xll.SNL.Clients.Office.Excel.Functions.SPG($J6,$AC$4,"PGM",AD$2),_xll.SNL.Clients.Office.Excel.Functions.SPG($J6,$AC$3,"PGM",AD$2)),"NA")</f>
        <v>NA</v>
      </c>
      <c r="AE6" s="51" t="str" cm="1">
        <f t="array" aca="1" ref="AE6" ca="1">IFERROR(AVERPGME(_xll.SNL.Clients.Office.Excel.Functions.SPG($J6,$AC$4,"PGM",AE$2),_xll.SNL.Clients.Office.Excel.Functions.SPG($J6,$AC$3,"PGM",AE$2)),"NA")</f>
        <v>NA</v>
      </c>
      <c r="AF6" s="50" t="e">
        <f ca="1">_xll.SNL.Clients.Office.Excel.Functions.SPG($J6, $AF$3, AF$2, "PGM", "Options:Curr=USD")</f>
        <v>#NAME?</v>
      </c>
      <c r="AG6" s="50" t="e">
        <f ca="1">_xll.SNL.Clients.Office.Excel.Functions.SPG($J6, $AF$3, AG$2, "PGM", "Options:Curr=USD")</f>
        <v>#NAME?</v>
      </c>
      <c r="AH6" s="51" t="e">
        <f ca="1">_xll.SNL.Clients.Office.Excel.Functions.SPG($J6, $AF$3, AH$2, "PGM", "Options:Curr=USD")</f>
        <v>#NAME?</v>
      </c>
      <c r="AI6" s="50" t="str" cm="1">
        <f t="array" aca="1" ref="AI6" ca="1">IFERROR(AVERPGME(_xll.SNL.Clients.Office.Excel.Functions.SPG($J6,$AI$4,"PGM",AI$2),_xll.SNL.Clients.Office.Excel.Functions.SPG($J6,$AI$3,"PGM",AI$2)),"NA")</f>
        <v>NA</v>
      </c>
      <c r="AJ6" s="50" t="str" cm="1">
        <f t="array" aca="1" ref="AJ6" ca="1">IFERROR(AVERPGME(_xll.SNL.Clients.Office.Excel.Functions.SPG($J6,$AI$4,"PGM",AJ$2),_xll.SNL.Clients.Office.Excel.Functions.SPG($J6,$AI$3,"PGM",AJ$2)),"NA")</f>
        <v>NA</v>
      </c>
      <c r="AK6" s="51" t="str" cm="1">
        <f t="array" aca="1" ref="AK6" ca="1">IFERROR(AVERPGME(_xll.SNL.Clients.Office.Excel.Functions.SPG($J6,$AI$4,"PGM",AK$2),_xll.SNL.Clients.Office.Excel.Functions.SPG($J6,$AI$3,"PGM",AK$2)),"NA")</f>
        <v>NA</v>
      </c>
      <c r="AM6" s="21" t="s">
        <v>59</v>
      </c>
      <c r="AN6" s="21"/>
      <c r="AO6" s="21" t="s">
        <v>60</v>
      </c>
      <c r="AP6" s="21"/>
    </row>
    <row r="7" spans="1:42" ht="13.8" x14ac:dyDescent="0.25">
      <c r="A7" s="33" t="e">
        <f ca="1">_xll.SNL.Clients.Office.Excel.Functions.SPG($J7, A$3)</f>
        <v>#NAME?</v>
      </c>
      <c r="B7" s="33" t="e">
        <f ca="1">_xll.BDP($I7,B$3)</f>
        <v>#NAME?</v>
      </c>
      <c r="C7" s="33" t="e">
        <f ca="1">_xll.BDP($I7,C$3)</f>
        <v>#NAME?</v>
      </c>
      <c r="D7" s="34" t="s">
        <v>61</v>
      </c>
      <c r="E7" s="34" t="s">
        <v>55</v>
      </c>
      <c r="F7" s="35" t="e">
        <f ca="1">_xll.SNL.Clients.Office.Excel.Functions.SPG($J7, "IQ_TEV", "Options: Curr=USD")</f>
        <v>#NAME?</v>
      </c>
      <c r="G7" s="35" t="e">
        <f ca="1">_xll.SNL.Clients.Office.Excel.Functions.SPG($J7, "SP_MARKETCAP", "Options: Curr=USD")</f>
        <v>#NAME?</v>
      </c>
      <c r="H7" s="36" t="s">
        <v>62</v>
      </c>
      <c r="I7" s="37" t="s">
        <v>63</v>
      </c>
      <c r="J7" s="37" t="s">
        <v>64</v>
      </c>
      <c r="K7" s="38" t="e" cm="1">
        <f t="array" aca="1" ref="K7" ca="1">_xll.SNL.Clients.Office.Excel.Functions.SPG($J7, $K$3)/100</f>
        <v>#NAME?</v>
      </c>
      <c r="L7" s="39" t="e" cm="1">
        <f t="array" aca="1" ref="L7" ca="1">_xll.SNL.Clients.Office.Excel.Functions.SPG($J7, "SP_PCFPS_FWD",L$2)</f>
        <v>#NAME?</v>
      </c>
      <c r="M7" s="40" t="e" cm="1">
        <f t="array" aca="1" ref="M7" ca="1">_xll.SNL.Clients.Office.Excel.Functions.SPG($J7, "SP_PCFPS_FWD",M$2)</f>
        <v>#NAME?</v>
      </c>
      <c r="N7" s="41" t="e" cm="1">
        <f t="array" aca="1" ref="N7" ca="1">_xll.SNL.Clients.Office.Excel.Functions.SPG($J7, "SP_PCFPS_FWD",N$2)</f>
        <v>#NAME?</v>
      </c>
      <c r="O7" s="42" t="e">
        <f ca="1">_xll.SNL.Clients.Office.Excel.Functions.SPG($J7, "SP_FCF_EST",O$2, "Options: Curr=USD")/1000/$G7</f>
        <v>#NAME?</v>
      </c>
      <c r="P7" s="42" t="e">
        <f ca="1">_xll.SNL.Clients.Office.Excel.Functions.SPG($J7, "SP_FCF_EST",P$2, "Options: Curr=USD")/1000/$G7</f>
        <v>#NAME?</v>
      </c>
      <c r="Q7" s="42" t="e">
        <f ca="1">_xll.SNL.Clients.Office.Excel.Functions.SPG($J7, "SP_FCF_EST",Q$2, "Options: Curr=USD")/1000/$G7</f>
        <v>#NAME?</v>
      </c>
      <c r="R7" s="39" t="e" cm="1">
        <f t="array" aca="1" ref="R7" ca="1">_xll.SNL.Clients.Office.Excel.Functions.SPG($J7, "SP_PE_FWD",R$2)</f>
        <v>#NAME?</v>
      </c>
      <c r="S7" s="40" t="e" cm="1">
        <f t="array" aca="1" ref="S7" ca="1">_xll.SNL.Clients.Office.Excel.Functions.SPG($J7, "SP_PE_FWD",S$2)</f>
        <v>#NAME?</v>
      </c>
      <c r="T7" s="41" t="e" cm="1">
        <f t="array" aca="1" ref="T7" ca="1">_xll.SNL.Clients.Office.Excel.Functions.SPG($J7, "SP_PE_FWD",T$2)</f>
        <v>#NAME?</v>
      </c>
      <c r="U7" s="45" t="e" cm="1">
        <f t="array" aca="1" ref="U7" ca="1">IF((_xll.SNL.Clients.Office.Excel.Functions.SPG($J7,$U$3,U$4,"Options: Curr=USD") / _xll.SNL.Clients.Office.Excel.Functions.SPG($J7,"SP_EBITDA_EST",U$2,"Options: Curr=USD")) &lt; 0, "NM", (_xll.SNL.Clients.Office.Excel.Functions.SPG($J7,$U$3,U$4,"Options: Curr=USD") / _xll.SNL.Clients.Office.Excel.Functions.SPG($J7,"SP_EBITDA_EST",U$2,"Options: Curr=USD")))</f>
        <v>#NAME?</v>
      </c>
      <c r="V7" s="46" t="e" cm="1">
        <f t="array" aca="1" ref="V7" ca="1">_xll.SNL.Clients.Office.Excel.Functions.SPG($J7, $V$3,V$4)</f>
        <v>#NAME?</v>
      </c>
      <c r="W7" s="52" t="str" cm="1">
        <f t="array" aca="1" ref="W7" ca="1">IFERROR(0.001*AVERPGME(_xll.SNL.Clients.Office.Excel.Functions.SPG($J7,$W$4,"PGM",W$2),_xll.SNL.Clients.Office.Excel.Functions.SPG($J7,$W$3,"PGM",W$2)),"NA")</f>
        <v>NA</v>
      </c>
      <c r="X7" s="48" t="str" cm="1">
        <f t="array" aca="1" ref="X7" ca="1">IFERROR(0.001*AVERPGME(_xll.SNL.Clients.Office.Excel.Functions.SPG($J7,$W$4,"PGM",X$2),_xll.SNL.Clients.Office.Excel.Functions.SPG($J7,$W$3,"PGM",X$2)),"NA")</f>
        <v>NA</v>
      </c>
      <c r="Y7" s="53" t="str" cm="1">
        <f t="array" aca="1" ref="Y7" ca="1">IFERROR(0.001*AVERPGME(_xll.SNL.Clients.Office.Excel.Functions.SPG($J7,$W$4,"PGM",Y$2),_xll.SNL.Clients.Office.Excel.Functions.SPG($J7,$W$3,"PGM",Y$2)),"NA")</f>
        <v>NA</v>
      </c>
      <c r="Z7" s="50" t="e">
        <f ca="1">_xll.SNL.Clients.Office.Excel.Functions.SPG($J7, $Z$3, Z$2, "PGM", "Options:Curr=USD")</f>
        <v>#NAME?</v>
      </c>
      <c r="AA7" s="50" t="e">
        <f ca="1">_xll.SNL.Clients.Office.Excel.Functions.SPG($J7, $Z$3, AA$2, "PGM", "Options:Curr=USD")</f>
        <v>#NAME?</v>
      </c>
      <c r="AB7" s="54" t="e">
        <f ca="1">_xll.SNL.Clients.Office.Excel.Functions.SPG($J7, $Z$3, AB$2, "PGM", "Options:Curr=USD")</f>
        <v>#NAME?</v>
      </c>
      <c r="AC7" s="50" t="str" cm="1">
        <f t="array" aca="1" ref="AC7" ca="1">IFERROR(AVERPGME(_xll.SNL.Clients.Office.Excel.Functions.SPG($J7,$AC$4,"PGM",AC$2),_xll.SNL.Clients.Office.Excel.Functions.SPG($J7,$AC$3,"PGM",AC$2)),"NA")</f>
        <v>NA</v>
      </c>
      <c r="AD7" s="50" t="str" cm="1">
        <f t="array" aca="1" ref="AD7" ca="1">IFERROR(AVERPGME(_xll.SNL.Clients.Office.Excel.Functions.SPG($J7,$AC$4,"PGM",AD$2),_xll.SNL.Clients.Office.Excel.Functions.SPG($J7,$AC$3,"PGM",AD$2)),"NA")</f>
        <v>NA</v>
      </c>
      <c r="AE7" s="54" t="str" cm="1">
        <f t="array" aca="1" ref="AE7" ca="1">IFERROR(AVERPGME(_xll.SNL.Clients.Office.Excel.Functions.SPG($J7,$AC$4,"PGM",AE$2),_xll.SNL.Clients.Office.Excel.Functions.SPG($J7,$AC$3,"PGM",AE$2)),"NA")</f>
        <v>NA</v>
      </c>
      <c r="AF7" s="50" t="e">
        <f ca="1">_xll.SNL.Clients.Office.Excel.Functions.SPG($J7, $AF$3, AF$2, "PGM", "Options:Curr=USD")</f>
        <v>#NAME?</v>
      </c>
      <c r="AG7" s="50" t="e">
        <f ca="1">_xll.SNL.Clients.Office.Excel.Functions.SPG($J7, $AF$3, AG$2, "PGM", "Options:Curr=USD")</f>
        <v>#NAME?</v>
      </c>
      <c r="AH7" s="54" t="e">
        <f ca="1">_xll.SNL.Clients.Office.Excel.Functions.SPG($J7, $AF$3, AH$2, "PGM", "Options:Curr=USD")</f>
        <v>#NAME?</v>
      </c>
      <c r="AI7" s="50" t="str" cm="1">
        <f t="array" aca="1" ref="AI7" ca="1">IFERROR(AVERPGME(_xll.SNL.Clients.Office.Excel.Functions.SPG($J7,$AI$4,"PGM",AI$2),_xll.SNL.Clients.Office.Excel.Functions.SPG($J7,$AI$3,"PGM",AI$2)),"NA")</f>
        <v>NA</v>
      </c>
      <c r="AJ7" s="50" t="str" cm="1">
        <f t="array" aca="1" ref="AJ7" ca="1">IFERROR(AVERPGME(_xll.SNL.Clients.Office.Excel.Functions.SPG($J7,$AI$4,"PGM",AJ$2),_xll.SNL.Clients.Office.Excel.Functions.SPG($J7,$AI$3,"PGM",AJ$2)),"NA")</f>
        <v>NA</v>
      </c>
      <c r="AK7" s="54" t="str" cm="1">
        <f t="array" aca="1" ref="AK7" ca="1">IFERROR(AVERPGME(_xll.SNL.Clients.Office.Excel.Functions.SPG($J7,$AI$4,"PGM",AK$2),_xll.SNL.Clients.Office.Excel.Functions.SPG($J7,$AI$3,"PGM",AK$2)),"NA")</f>
        <v>NA</v>
      </c>
      <c r="AM7" s="21" t="s">
        <v>59</v>
      </c>
      <c r="AN7" s="21"/>
      <c r="AO7" s="21" t="s">
        <v>65</v>
      </c>
      <c r="AP7" s="21"/>
    </row>
    <row r="8" spans="1:42" ht="13.8" x14ac:dyDescent="0.25">
      <c r="A8" s="33" t="e">
        <f ca="1">_xll.SNL.Clients.Office.Excel.Functions.SPG($J8, A$3)</f>
        <v>#NAME?</v>
      </c>
      <c r="B8" s="33" t="e">
        <f ca="1">_xll.BDP($I8,B$3)</f>
        <v>#NAME?</v>
      </c>
      <c r="C8" s="33" t="e">
        <f ca="1">_xll.BDP($I8,C$3)</f>
        <v>#NAME?</v>
      </c>
      <c r="D8" s="34" t="s">
        <v>61</v>
      </c>
      <c r="E8" s="34" t="s">
        <v>55</v>
      </c>
      <c r="F8" s="35" t="e">
        <f ca="1">_xll.SNL.Clients.Office.Excel.Functions.SPG($J8, "IQ_TEV", "Options: Curr=USD")</f>
        <v>#NAME?</v>
      </c>
      <c r="G8" s="35" t="e">
        <f ca="1">_xll.SNL.Clients.Office.Excel.Functions.SPG($J8, "SP_MARKETCAP", "Options: Curr=USD")</f>
        <v>#NAME?</v>
      </c>
      <c r="H8" s="36" t="s">
        <v>66</v>
      </c>
      <c r="I8" s="37" t="s">
        <v>67</v>
      </c>
      <c r="J8" s="37" t="s">
        <v>68</v>
      </c>
      <c r="K8" s="38" t="e" cm="1">
        <f t="array" aca="1" ref="K8" ca="1">_xll.SNL.Clients.Office.Excel.Functions.SPG($J8, $K$3)/100</f>
        <v>#NAME?</v>
      </c>
      <c r="L8" s="39" t="e" cm="1">
        <f t="array" aca="1" ref="L8" ca="1">_xll.SNL.Clients.Office.Excel.Functions.SPG($J8, "SP_PCFPS_FWD",L$2)</f>
        <v>#NAME?</v>
      </c>
      <c r="M8" s="40" t="e" cm="1">
        <f t="array" aca="1" ref="M8" ca="1">_xll.SNL.Clients.Office.Excel.Functions.SPG($J8, "SP_PCFPS_FWD",M$2)</f>
        <v>#NAME?</v>
      </c>
      <c r="N8" s="41" t="e" cm="1">
        <f t="array" aca="1" ref="N8" ca="1">_xll.SNL.Clients.Office.Excel.Functions.SPG($J8, "SP_PCFPS_FWD",N$2)</f>
        <v>#NAME?</v>
      </c>
      <c r="O8" s="42" t="e">
        <f ca="1">_xll.SNL.Clients.Office.Excel.Functions.SPG($J8, "SP_FCF_EST",O$2, "Options: Curr=USD")/1000/$G8</f>
        <v>#NAME?</v>
      </c>
      <c r="P8" s="42" t="e">
        <f ca="1">_xll.SNL.Clients.Office.Excel.Functions.SPG($J8, "SP_FCF_EST",P$2, "Options: Curr=USD")/1000/$G8</f>
        <v>#NAME?</v>
      </c>
      <c r="Q8" s="42" t="e">
        <f ca="1">_xll.SNL.Clients.Office.Excel.Functions.SPG($J8, "SP_FCF_EST",Q$2, "Options: Curr=USD")/1000/$G8</f>
        <v>#NAME?</v>
      </c>
      <c r="R8" s="39" t="e" cm="1">
        <f t="array" aca="1" ref="R8" ca="1">_xll.SNL.Clients.Office.Excel.Functions.SPG($J8, "SP_PE_FWD",R$2)</f>
        <v>#NAME?</v>
      </c>
      <c r="S8" s="40" t="e" cm="1">
        <f t="array" aca="1" ref="S8" ca="1">_xll.SNL.Clients.Office.Excel.Functions.SPG($J8, "SP_PE_FWD",S$2)</f>
        <v>#NAME?</v>
      </c>
      <c r="T8" s="41" t="e" cm="1">
        <f t="array" aca="1" ref="T8" ca="1">_xll.SNL.Clients.Office.Excel.Functions.SPG($J8, "SP_PE_FWD",T$2)</f>
        <v>#NAME?</v>
      </c>
      <c r="U8" s="45" t="e" cm="1">
        <f t="array" aca="1" ref="U8" ca="1">IF((_xll.SNL.Clients.Office.Excel.Functions.SPG($J8,$U$3,U$4,"Options: Curr=USD") / _xll.SNL.Clients.Office.Excel.Functions.SPG($J8,"SP_EBITDA_EST",U$2,"Options: Curr=USD")) &lt; 0, "NM", (_xll.SNL.Clients.Office.Excel.Functions.SPG($J8,$U$3,U$4,"Options: Curr=USD") / _xll.SNL.Clients.Office.Excel.Functions.SPG($J8,"SP_EBITDA_EST",U$2,"Options: Curr=USD")))</f>
        <v>#NAME?</v>
      </c>
      <c r="V8" s="46" t="e" cm="1">
        <f t="array" aca="1" ref="V8" ca="1">_xll.SNL.Clients.Office.Excel.Functions.SPG($J8, $V$3,V$4)</f>
        <v>#NAME?</v>
      </c>
      <c r="W8" s="52" t="str" cm="1">
        <f t="array" aca="1" ref="W8" ca="1">IFERROR(0.001*AVERPGME(_xll.SNL.Clients.Office.Excel.Functions.SPG($J8,$W$4,"PGM",W$2),_xll.SNL.Clients.Office.Excel.Functions.SPG($J8,$W$3,"PGM",W$2)),"NA")</f>
        <v>NA</v>
      </c>
      <c r="X8" s="48" t="str" cm="1">
        <f t="array" aca="1" ref="X8" ca="1">IFERROR(0.001*AVERPGME(_xll.SNL.Clients.Office.Excel.Functions.SPG($J8,$W$4,"PGM",X$2),_xll.SNL.Clients.Office.Excel.Functions.SPG($J8,$W$3,"PGM",X$2)),"NA")</f>
        <v>NA</v>
      </c>
      <c r="Y8" s="53" t="str" cm="1">
        <f t="array" aca="1" ref="Y8" ca="1">IFERROR(0.001*AVERPGME(_xll.SNL.Clients.Office.Excel.Functions.SPG($J8,$W$4,"PGM",Y$2),_xll.SNL.Clients.Office.Excel.Functions.SPG($J8,$W$3,"PGM",Y$2)),"NA")</f>
        <v>NA</v>
      </c>
      <c r="Z8" s="50" t="e">
        <f ca="1">_xll.SNL.Clients.Office.Excel.Functions.SPG($J8, $Z$3, Z$2, "PGM", "Options:Curr=USD")</f>
        <v>#NAME?</v>
      </c>
      <c r="AA8" s="50" t="e">
        <f ca="1">_xll.SNL.Clients.Office.Excel.Functions.SPG($J8, $Z$3, AA$2, "PGM", "Options:Curr=USD")</f>
        <v>#NAME?</v>
      </c>
      <c r="AB8" s="54" t="e">
        <f ca="1">_xll.SNL.Clients.Office.Excel.Functions.SPG($J8, $Z$3, AB$2, "PGM", "Options:Curr=USD")</f>
        <v>#NAME?</v>
      </c>
      <c r="AC8" s="50" t="str" cm="1">
        <f t="array" aca="1" ref="AC8" ca="1">IFERROR(AVERPGME(_xll.SNL.Clients.Office.Excel.Functions.SPG($J8,$AC$4,"PGM",AC$2),_xll.SNL.Clients.Office.Excel.Functions.SPG($J8,$AC$3,"PGM",AC$2)),"NA")</f>
        <v>NA</v>
      </c>
      <c r="AD8" s="50" t="str" cm="1">
        <f t="array" aca="1" ref="AD8" ca="1">IFERROR(AVERPGME(_xll.SNL.Clients.Office.Excel.Functions.SPG($J8,$AC$4,"PGM",AD$2),_xll.SNL.Clients.Office.Excel.Functions.SPG($J8,$AC$3,"PGM",AD$2)),"NA")</f>
        <v>NA</v>
      </c>
      <c r="AE8" s="54" t="str" cm="1">
        <f t="array" aca="1" ref="AE8" ca="1">IFERROR(AVERPGME(_xll.SNL.Clients.Office.Excel.Functions.SPG($J8,$AC$4,"PGM",AE$2),_xll.SNL.Clients.Office.Excel.Functions.SPG($J8,$AC$3,"PGM",AE$2)),"NA")</f>
        <v>NA</v>
      </c>
      <c r="AF8" s="50" t="e">
        <f ca="1">_xll.SNL.Clients.Office.Excel.Functions.SPG($J8, $AF$3, AF$2, "PGM", "Options:Curr=USD")</f>
        <v>#NAME?</v>
      </c>
      <c r="AG8" s="50" t="e">
        <f ca="1">_xll.SNL.Clients.Office.Excel.Functions.SPG($J8, $AF$3, AG$2, "PGM", "Options:Curr=USD")</f>
        <v>#NAME?</v>
      </c>
      <c r="AH8" s="54" t="e">
        <f ca="1">_xll.SNL.Clients.Office.Excel.Functions.SPG($J8, $AF$3, AH$2, "PGM", "Options:Curr=USD")</f>
        <v>#NAME?</v>
      </c>
      <c r="AI8" s="50" t="str" cm="1">
        <f t="array" aca="1" ref="AI8" ca="1">IFERROR(AVERPGME(_xll.SNL.Clients.Office.Excel.Functions.SPG($J8,$AI$4,"PGM",AI$2),_xll.SNL.Clients.Office.Excel.Functions.SPG($J8,$AI$3,"PGM",AI$2)),"NA")</f>
        <v>NA</v>
      </c>
      <c r="AJ8" s="50" t="str" cm="1">
        <f t="array" aca="1" ref="AJ8" ca="1">IFERROR(AVERPGME(_xll.SNL.Clients.Office.Excel.Functions.SPG($J8,$AI$4,"PGM",AJ$2),_xll.SNL.Clients.Office.Excel.Functions.SPG($J8,$AI$3,"PGM",AJ$2)),"NA")</f>
        <v>NA</v>
      </c>
      <c r="AK8" s="54" t="str" cm="1">
        <f t="array" aca="1" ref="AK8" ca="1">IFERROR(AVERPGME(_xll.SNL.Clients.Office.Excel.Functions.SPG($J8,$AI$4,"PGM",AK$2),_xll.SNL.Clients.Office.Excel.Functions.SPG($J8,$AI$3,"PGM",AK$2)),"NA")</f>
        <v>NA</v>
      </c>
      <c r="AM8" s="21" t="s">
        <v>59</v>
      </c>
      <c r="AN8" s="21"/>
      <c r="AO8" s="55" t="s">
        <v>60</v>
      </c>
      <c r="AP8" s="21"/>
    </row>
    <row r="9" spans="1:42" ht="13.8" x14ac:dyDescent="0.25">
      <c r="A9" s="33" t="e">
        <f ca="1">_xll.SNL.Clients.Office.Excel.Functions.SPG($J9, A$3)</f>
        <v>#NAME?</v>
      </c>
      <c r="B9" s="33" t="e">
        <f ca="1">_xll.BDP($I9,B$3)</f>
        <v>#NAME?</v>
      </c>
      <c r="C9" s="33" t="e">
        <f ca="1">_xll.BDP($I9,C$3)</f>
        <v>#NAME?</v>
      </c>
      <c r="D9" s="34" t="s">
        <v>69</v>
      </c>
      <c r="E9" s="34" t="s">
        <v>70</v>
      </c>
      <c r="F9" s="35" t="e">
        <f ca="1">_xll.SNL.Clients.Office.Excel.Functions.SPG($J9, "IQ_TEV", "Options: Curr=USD")</f>
        <v>#NAME?</v>
      </c>
      <c r="G9" s="35" t="e">
        <f ca="1">_xll.SNL.Clients.Office.Excel.Functions.SPG($J9, "SP_MARKETCAP", "Options: Curr=USD")</f>
        <v>#NAME?</v>
      </c>
      <c r="H9" s="36" t="s">
        <v>71</v>
      </c>
      <c r="I9" s="37" t="s">
        <v>72</v>
      </c>
      <c r="J9" s="37" t="s">
        <v>73</v>
      </c>
      <c r="K9" s="38" t="e" cm="1">
        <f t="array" aca="1" ref="K9" ca="1">_xll.SNL.Clients.Office.Excel.Functions.SPG($J9, $K$3)/100</f>
        <v>#NAME?</v>
      </c>
      <c r="L9" s="39" t="e" cm="1">
        <f t="array" aca="1" ref="L9" ca="1">_xll.SNL.Clients.Office.Excel.Functions.SPG($J9, "SP_PCFPS_FWD",L$2)</f>
        <v>#NAME?</v>
      </c>
      <c r="M9" s="40" t="e" cm="1">
        <f t="array" aca="1" ref="M9" ca="1">_xll.SNL.Clients.Office.Excel.Functions.SPG($J9, "SP_PCFPS_FWD",M$2)</f>
        <v>#NAME?</v>
      </c>
      <c r="N9" s="41" t="e" cm="1">
        <f t="array" aca="1" ref="N9" ca="1">_xll.SNL.Clients.Office.Excel.Functions.SPG($J9, "SP_PCFPS_FWD",N$2)</f>
        <v>#NAME?</v>
      </c>
      <c r="O9" s="42" t="e">
        <f ca="1">_xll.SNL.Clients.Office.Excel.Functions.SPG($J9, "SP_FCF_EST",O$2, "Options: Curr=USD")/1000/$G9</f>
        <v>#NAME?</v>
      </c>
      <c r="P9" s="42" t="e">
        <f ca="1">_xll.SNL.Clients.Office.Excel.Functions.SPG($J9, "SP_FCF_EST",P$2, "Options: Curr=USD")/1000/$G9</f>
        <v>#NAME?</v>
      </c>
      <c r="Q9" s="42" t="e">
        <f ca="1">_xll.SNL.Clients.Office.Excel.Functions.SPG($J9, "SP_FCF_EST",Q$2, "Options: Curr=USD")/1000/$G9</f>
        <v>#NAME?</v>
      </c>
      <c r="R9" s="39" t="e" cm="1">
        <f t="array" aca="1" ref="R9" ca="1">_xll.SNL.Clients.Office.Excel.Functions.SPG($J9, "SP_PE_FWD",R$2)</f>
        <v>#NAME?</v>
      </c>
      <c r="S9" s="40" t="e" cm="1">
        <f t="array" aca="1" ref="S9" ca="1">_xll.SNL.Clients.Office.Excel.Functions.SPG($J9, "SP_PE_FWD",S$2)</f>
        <v>#NAME?</v>
      </c>
      <c r="T9" s="41" t="e" cm="1">
        <f t="array" aca="1" ref="T9" ca="1">_xll.SNL.Clients.Office.Excel.Functions.SPG($J9, "SP_PE_FWD",T$2)</f>
        <v>#NAME?</v>
      </c>
      <c r="U9" s="45" t="e" cm="1">
        <f t="array" aca="1" ref="U9" ca="1">IF((_xll.SNL.Clients.Office.Excel.Functions.SPG($J9,$U$3,U$4,"Options: Curr=USD") / _xll.SNL.Clients.Office.Excel.Functions.SPG($J9,"SP_EBITDA_EST",U$2,"Options: Curr=USD")) &lt; 0, "NM", (_xll.SNL.Clients.Office.Excel.Functions.SPG($J9,$U$3,U$4,"Options: Curr=USD") / _xll.SNL.Clients.Office.Excel.Functions.SPG($J9,"SP_EBITDA_EST",U$2,"Options: Curr=USD")))</f>
        <v>#NAME?</v>
      </c>
      <c r="V9" s="46" t="e" cm="1">
        <f t="array" aca="1" ref="V9" ca="1">_xll.SNL.Clients.Office.Excel.Functions.SPG($J9, $V$3,V$4)</f>
        <v>#NAME?</v>
      </c>
      <c r="W9" s="52" t="str" cm="1">
        <f t="array" aca="1" ref="W9" ca="1">IFERROR(0.001*AVERPGME(_xll.SNL.Clients.Office.Excel.Functions.SPG($J9,$W$4,"PGM",W$2),_xll.SNL.Clients.Office.Excel.Functions.SPG($J9,$W$3,"PGM",W$2)),"NA")</f>
        <v>NA</v>
      </c>
      <c r="X9" s="48" t="str" cm="1">
        <f t="array" aca="1" ref="X9" ca="1">IFERROR(0.001*AVERPGME(_xll.SNL.Clients.Office.Excel.Functions.SPG($J9,$W$4,"PGM",X$2),_xll.SNL.Clients.Office.Excel.Functions.SPG($J9,$W$3,"PGM",X$2)),"NA")</f>
        <v>NA</v>
      </c>
      <c r="Y9" s="53" t="str" cm="1">
        <f t="array" aca="1" ref="Y9" ca="1">IFERROR(0.001*AVERPGME(_xll.SNL.Clients.Office.Excel.Functions.SPG($J9,$W$4,"PGM",Y$2),_xll.SNL.Clients.Office.Excel.Functions.SPG($J9,$W$3,"PGM",Y$2)),"NA")</f>
        <v>NA</v>
      </c>
      <c r="Z9" s="50" t="e">
        <f ca="1">_xll.SNL.Clients.Office.Excel.Functions.SPG($J9, $Z$3, Z$2, "PGM", "Options:Curr=USD")</f>
        <v>#NAME?</v>
      </c>
      <c r="AA9" s="50" t="e">
        <f ca="1">_xll.SNL.Clients.Office.Excel.Functions.SPG($J9, $Z$3, AA$2, "PGM", "Options:Curr=USD")</f>
        <v>#NAME?</v>
      </c>
      <c r="AB9" s="54" t="e">
        <f ca="1">_xll.SNL.Clients.Office.Excel.Functions.SPG($J9, $Z$3, AB$2, "PGM", "Options:Curr=USD")</f>
        <v>#NAME?</v>
      </c>
      <c r="AC9" s="50" t="str" cm="1">
        <f t="array" aca="1" ref="AC9" ca="1">IFERROR(AVERPGME(_xll.SNL.Clients.Office.Excel.Functions.SPG($J9,$AC$4,"PGM",AC$2),_xll.SNL.Clients.Office.Excel.Functions.SPG($J9,$AC$3,"PGM",AC$2)),"NA")</f>
        <v>NA</v>
      </c>
      <c r="AD9" s="50" t="str" cm="1">
        <f t="array" aca="1" ref="AD9" ca="1">IFERROR(AVERPGME(_xll.SNL.Clients.Office.Excel.Functions.SPG($J9,$AC$4,"PGM",AD$2),_xll.SNL.Clients.Office.Excel.Functions.SPG($J9,$AC$3,"PGM",AD$2)),"NA")</f>
        <v>NA</v>
      </c>
      <c r="AE9" s="54" t="str" cm="1">
        <f t="array" aca="1" ref="AE9" ca="1">IFERROR(AVERPGME(_xll.SNL.Clients.Office.Excel.Functions.SPG($J9,$AC$4,"PGM",AE$2),_xll.SNL.Clients.Office.Excel.Functions.SPG($J9,$AC$3,"PGM",AE$2)),"NA")</f>
        <v>NA</v>
      </c>
      <c r="AF9" s="50" t="e">
        <f ca="1">_xll.SNL.Clients.Office.Excel.Functions.SPG($J9, $AF$3, AF$2, "PGM", "Options:Curr=USD")</f>
        <v>#NAME?</v>
      </c>
      <c r="AG9" s="50" t="e">
        <f ca="1">_xll.SNL.Clients.Office.Excel.Functions.SPG($J9, $AF$3, AG$2, "PGM", "Options:Curr=USD")</f>
        <v>#NAME?</v>
      </c>
      <c r="AH9" s="54" t="e">
        <f ca="1">_xll.SNL.Clients.Office.Excel.Functions.SPG($J9, $AF$3, AH$2, "PGM", "Options:Curr=USD")</f>
        <v>#NAME?</v>
      </c>
      <c r="AI9" s="50" t="str" cm="1">
        <f t="array" aca="1" ref="AI9" ca="1">IFERROR(AVERPGME(_xll.SNL.Clients.Office.Excel.Functions.SPG($J9,$AI$4,"PGM",AI$2),_xll.SNL.Clients.Office.Excel.Functions.SPG($J9,$AI$3,"PGM",AI$2)),"NA")</f>
        <v>NA</v>
      </c>
      <c r="AJ9" s="50" t="str" cm="1">
        <f t="array" aca="1" ref="AJ9" ca="1">IFERROR(AVERPGME(_xll.SNL.Clients.Office.Excel.Functions.SPG($J9,$AI$4,"PGM",AJ$2),_xll.SNL.Clients.Office.Excel.Functions.SPG($J9,$AI$3,"PGM",AJ$2)),"NA")</f>
        <v>NA</v>
      </c>
      <c r="AK9" s="54" t="str" cm="1">
        <f t="array" aca="1" ref="AK9" ca="1">IFERROR(AVERPGME(_xll.SNL.Clients.Office.Excel.Functions.SPG($J9,$AI$4,"PGM",AK$2),_xll.SNL.Clients.Office.Excel.Functions.SPG($J9,$AI$3,"PGM",AK$2)),"NA")</f>
        <v>NA</v>
      </c>
      <c r="AM9" s="21" t="s">
        <v>59</v>
      </c>
      <c r="AN9" s="21"/>
      <c r="AO9" s="21" t="s">
        <v>65</v>
      </c>
      <c r="AP9" s="21"/>
    </row>
    <row r="10" spans="1:42" ht="13.8" x14ac:dyDescent="0.25">
      <c r="A10" s="33" t="e">
        <f ca="1">_xll.SNL.Clients.Office.Excel.Functions.SPG($J10, A$3)</f>
        <v>#NAME?</v>
      </c>
      <c r="B10" s="33" t="e">
        <f ca="1">_xll.BDP($I10,B$3)</f>
        <v>#NAME?</v>
      </c>
      <c r="C10" s="33" t="e">
        <f ca="1">_xll.BDP($I10,C$3)</f>
        <v>#NAME?</v>
      </c>
      <c r="D10" s="34" t="s">
        <v>74</v>
      </c>
      <c r="E10" s="34" t="s">
        <v>70</v>
      </c>
      <c r="F10" s="35" t="e">
        <f ca="1">_xll.SNL.Clients.Office.Excel.Functions.SPG($J10, "IQ_TEV", "Options: Curr=USD")</f>
        <v>#NAME?</v>
      </c>
      <c r="G10" s="35" t="e">
        <f ca="1">_xll.SNL.Clients.Office.Excel.Functions.SPG($J10, "SP_MARKETCAP", "Options: Curr=USD")</f>
        <v>#NAME?</v>
      </c>
      <c r="H10" s="36" t="s">
        <v>75</v>
      </c>
      <c r="I10" s="37" t="s">
        <v>76</v>
      </c>
      <c r="J10" s="37" t="s">
        <v>77</v>
      </c>
      <c r="K10" s="38" t="e" cm="1">
        <f t="array" aca="1" ref="K10" ca="1">_xll.SNL.Clients.Office.Excel.Functions.SPG($J10, $K$3)/100</f>
        <v>#NAME?</v>
      </c>
      <c r="L10" s="39" t="e" cm="1">
        <f t="array" aca="1" ref="L10" ca="1">_xll.SNL.Clients.Office.Excel.Functions.SPG($J10, "SP_PCFPS_FWD",L$2)</f>
        <v>#NAME?</v>
      </c>
      <c r="M10" s="40" t="e" cm="1">
        <f t="array" aca="1" ref="M10" ca="1">_xll.SNL.Clients.Office.Excel.Functions.SPG($J10, "SP_PCFPS_FWD",M$2)</f>
        <v>#NAME?</v>
      </c>
      <c r="N10" s="41" t="e" cm="1">
        <f t="array" aca="1" ref="N10" ca="1">_xll.SNL.Clients.Office.Excel.Functions.SPG($J10, "SP_PCFPS_FWD",N$2)</f>
        <v>#NAME?</v>
      </c>
      <c r="O10" s="42" t="e">
        <f ca="1">_xll.SNL.Clients.Office.Excel.Functions.SPG($J10, "SP_FCF_EST",O$2, "Options: Curr=USD")/1000/$G10</f>
        <v>#NAME?</v>
      </c>
      <c r="P10" s="42" t="e">
        <f ca="1">_xll.SNL.Clients.Office.Excel.Functions.SPG($J10, "SP_FCF_EST",P$2, "Options: Curr=USD")/1000/$G10</f>
        <v>#NAME?</v>
      </c>
      <c r="Q10" s="42" t="e">
        <f ca="1">_xll.SNL.Clients.Office.Excel.Functions.SPG($J10, "SP_FCF_EST",Q$2, "Options: Curr=USD")/1000/$G10</f>
        <v>#NAME?</v>
      </c>
      <c r="R10" s="39" t="e" cm="1">
        <f t="array" aca="1" ref="R10" ca="1">_xll.SNL.Clients.Office.Excel.Functions.SPG($J10, "SP_PE_FWD",R$2)</f>
        <v>#NAME?</v>
      </c>
      <c r="S10" s="40" t="e" cm="1">
        <f t="array" aca="1" ref="S10" ca="1">_xll.SNL.Clients.Office.Excel.Functions.SPG($J10, "SP_PE_FWD",S$2)</f>
        <v>#NAME?</v>
      </c>
      <c r="T10" s="41" t="e" cm="1">
        <f t="array" aca="1" ref="T10" ca="1">_xll.SNL.Clients.Office.Excel.Functions.SPG($J10, "SP_PE_FWD",T$2)</f>
        <v>#NAME?</v>
      </c>
      <c r="U10" s="45" t="e" cm="1">
        <f t="array" aca="1" ref="U10" ca="1">IF((_xll.SNL.Clients.Office.Excel.Functions.SPG($J10,$U$3,U$4,"Options: Curr=USD") / _xll.SNL.Clients.Office.Excel.Functions.SPG($J10,"SP_EBITDA_EST",U$2,"Options: Curr=USD")) &lt; 0, "NM", (_xll.SNL.Clients.Office.Excel.Functions.SPG($J10,$U$3,U$4,"Options: Curr=USD") / _xll.SNL.Clients.Office.Excel.Functions.SPG($J10,"SP_EBITDA_EST",U$2,"Options: Curr=USD")))</f>
        <v>#NAME?</v>
      </c>
      <c r="V10" s="46" t="e" cm="1">
        <f t="array" aca="1" ref="V10" ca="1">_xll.SNL.Clients.Office.Excel.Functions.SPG($J10, $V$3,V$4)</f>
        <v>#NAME?</v>
      </c>
      <c r="W10" s="52"/>
      <c r="X10" s="48"/>
      <c r="Y10" s="53"/>
      <c r="Z10" s="50"/>
      <c r="AA10" s="50"/>
      <c r="AB10" s="54"/>
      <c r="AC10" s="50"/>
      <c r="AD10" s="50"/>
      <c r="AE10" s="54"/>
      <c r="AF10" s="50"/>
      <c r="AG10" s="50"/>
      <c r="AH10" s="54"/>
      <c r="AI10" s="50"/>
      <c r="AJ10" s="50"/>
      <c r="AK10" s="54"/>
      <c r="AM10" s="21" t="s">
        <v>59</v>
      </c>
      <c r="AN10" s="21"/>
      <c r="AO10" s="21" t="s">
        <v>65</v>
      </c>
      <c r="AP10" s="21"/>
    </row>
    <row r="11" spans="1:42" ht="13.8" x14ac:dyDescent="0.25">
      <c r="A11" s="33" t="e">
        <f ca="1">_xll.SNL.Clients.Office.Excel.Functions.SPG($J11, A$3)</f>
        <v>#NAME?</v>
      </c>
      <c r="B11" s="33" t="e">
        <f ca="1">_xll.BDP($I11,B$3)</f>
        <v>#NAME?</v>
      </c>
      <c r="C11" s="33" t="e">
        <f ca="1">_xll.BDP($I11,C$3)</f>
        <v>#NAME?</v>
      </c>
      <c r="D11" s="34" t="s">
        <v>78</v>
      </c>
      <c r="E11" s="34" t="s">
        <v>70</v>
      </c>
      <c r="F11" s="35" t="e">
        <f ca="1">_xll.SNL.Clients.Office.Excel.Functions.SPG($J11, "IQ_TEV", "Options: Curr=USD")</f>
        <v>#NAME?</v>
      </c>
      <c r="G11" s="35" t="e">
        <f ca="1">_xll.SNL.Clients.Office.Excel.Functions.SPG($J11, "SP_MARKETCAP", "Options: Curr=USD")</f>
        <v>#NAME?</v>
      </c>
      <c r="H11" s="36" t="s">
        <v>79</v>
      </c>
      <c r="I11" s="37" t="s">
        <v>80</v>
      </c>
      <c r="J11" s="37" t="s">
        <v>81</v>
      </c>
      <c r="K11" s="38" t="e" cm="1">
        <f t="array" aca="1" ref="K11" ca="1">_xll.SNL.Clients.Office.Excel.Functions.SPG($J11, $K$3)/100</f>
        <v>#NAME?</v>
      </c>
      <c r="L11" s="39" t="e" cm="1">
        <f t="array" aca="1" ref="L11" ca="1">_xll.SNL.Clients.Office.Excel.Functions.SPG($J11, "SP_PCFPS_FWD",L$2)</f>
        <v>#NAME?</v>
      </c>
      <c r="M11" s="40" t="e" cm="1">
        <f t="array" aca="1" ref="M11" ca="1">_xll.SNL.Clients.Office.Excel.Functions.SPG($J11, "SP_PCFPS_FWD",M$2)</f>
        <v>#NAME?</v>
      </c>
      <c r="N11" s="41" t="e" cm="1">
        <f t="array" aca="1" ref="N11" ca="1">_xll.SNL.Clients.Office.Excel.Functions.SPG($J11, "SP_PCFPS_FWD",N$2)</f>
        <v>#NAME?</v>
      </c>
      <c r="O11" s="42" t="e">
        <f ca="1">_xll.SNL.Clients.Office.Excel.Functions.SPG($J11, "SP_FCF_EST",O$2, "Options: Curr=USD")/1000/$G11</f>
        <v>#NAME?</v>
      </c>
      <c r="P11" s="42" t="e">
        <f ca="1">_xll.SNL.Clients.Office.Excel.Functions.SPG($J11, "SP_FCF_EST",P$2, "Options: Curr=USD")/1000/$G11</f>
        <v>#NAME?</v>
      </c>
      <c r="Q11" s="42" t="e">
        <f ca="1">_xll.SNL.Clients.Office.Excel.Functions.SPG($J11, "SP_FCF_EST",Q$2, "Options: Curr=USD")/1000/$G11</f>
        <v>#NAME?</v>
      </c>
      <c r="R11" s="39" t="e" cm="1">
        <f t="array" aca="1" ref="R11" ca="1">_xll.SNL.Clients.Office.Excel.Functions.SPG($J11, "SP_PE_FWD",R$2)</f>
        <v>#NAME?</v>
      </c>
      <c r="S11" s="40" t="e" cm="1">
        <f t="array" aca="1" ref="S11" ca="1">_xll.SNL.Clients.Office.Excel.Functions.SPG($J11, "SP_PE_FWD",S$2)</f>
        <v>#NAME?</v>
      </c>
      <c r="T11" s="41" t="e" cm="1">
        <f t="array" aca="1" ref="T11" ca="1">_xll.SNL.Clients.Office.Excel.Functions.SPG($J11, "SP_PE_FWD",T$2)</f>
        <v>#NAME?</v>
      </c>
      <c r="U11" s="45" t="e" cm="1">
        <f t="array" aca="1" ref="U11" ca="1">IF((_xll.SNL.Clients.Office.Excel.Functions.SPG($J11,$U$3,U$4,"Options: Curr=USD") / _xll.SNL.Clients.Office.Excel.Functions.SPG($J11,"SP_EBITDA_EST",U$2,"Options: Curr=USD")) &lt; 0, "NM", (_xll.SNL.Clients.Office.Excel.Functions.SPG($J11,$U$3,U$4,"Options: Curr=USD") / _xll.SNL.Clients.Office.Excel.Functions.SPG($J11,"SP_EBITDA_EST",U$2,"Options: Curr=USD")))</f>
        <v>#NAME?</v>
      </c>
      <c r="V11" s="46" t="e" cm="1">
        <f t="array" aca="1" ref="V11" ca="1">_xll.SNL.Clients.Office.Excel.Functions.SPG($J11, $V$3,V$4)</f>
        <v>#NAME?</v>
      </c>
      <c r="W11" s="52" t="str" cm="1">
        <f t="array" aca="1" ref="W11" ca="1">IFERROR(0.001*AVERPGME(_xll.SNL.Clients.Office.Excel.Functions.SPG($J11,$W$4,"PGM",W$2),_xll.SNL.Clients.Office.Excel.Functions.SPG($J11,$W$3,"PGM",W$2)),"NA")</f>
        <v>NA</v>
      </c>
      <c r="X11" s="48" t="str" cm="1">
        <f t="array" aca="1" ref="X11" ca="1">IFERROR(0.001*AVERPGME(_xll.SNL.Clients.Office.Excel.Functions.SPG($J11,$W$4,"PGM",X$2),_xll.SNL.Clients.Office.Excel.Functions.SPG($J11,$W$3,"PGM",X$2)),"NA")</f>
        <v>NA</v>
      </c>
      <c r="Y11" s="53" t="str" cm="1">
        <f t="array" aca="1" ref="Y11" ca="1">IFERROR(0.001*AVERPGME(_xll.SNL.Clients.Office.Excel.Functions.SPG($J11,$W$4,"PGM",Y$2),_xll.SNL.Clients.Office.Excel.Functions.SPG($J11,$W$3,"PGM",Y$2)),"NA")</f>
        <v>NA</v>
      </c>
      <c r="Z11" s="50" t="e">
        <f ca="1">_xll.SNL.Clients.Office.Excel.Functions.SPG($J11, $Z$3, Z$2, "PGM", "Options:Curr=USD")</f>
        <v>#NAME?</v>
      </c>
      <c r="AA11" s="50" t="e">
        <f ca="1">_xll.SNL.Clients.Office.Excel.Functions.SPG($J11, $Z$3, AA$2, "PGM", "Options:Curr=USD")</f>
        <v>#NAME?</v>
      </c>
      <c r="AB11" s="54" t="e">
        <f ca="1">_xll.SNL.Clients.Office.Excel.Functions.SPG($J11, $Z$3, AB$2, "PGM", "Options:Curr=USD")</f>
        <v>#NAME?</v>
      </c>
      <c r="AC11" s="50" t="str" cm="1">
        <f t="array" aca="1" ref="AC11" ca="1">IFERROR(AVERPGME(_xll.SNL.Clients.Office.Excel.Functions.SPG($J11,$AC$4,"PGM",AC$2),_xll.SNL.Clients.Office.Excel.Functions.SPG($J11,$AC$3,"PGM",AC$2)),"NA")</f>
        <v>NA</v>
      </c>
      <c r="AD11" s="50" t="str" cm="1">
        <f t="array" aca="1" ref="AD11" ca="1">IFERROR(AVERPGME(_xll.SNL.Clients.Office.Excel.Functions.SPG($J11,$AC$4,"PGM",AD$2),_xll.SNL.Clients.Office.Excel.Functions.SPG($J11,$AC$3,"PGM",AD$2)),"NA")</f>
        <v>NA</v>
      </c>
      <c r="AE11" s="54" t="str" cm="1">
        <f t="array" aca="1" ref="AE11" ca="1">IFERROR(AVERPGME(_xll.SNL.Clients.Office.Excel.Functions.SPG($J11,$AC$4,"PGM",AE$2),_xll.SNL.Clients.Office.Excel.Functions.SPG($J11,$AC$3,"PGM",AE$2)),"NA")</f>
        <v>NA</v>
      </c>
      <c r="AF11" s="50" t="e">
        <f ca="1">_xll.SNL.Clients.Office.Excel.Functions.SPG($J11, $AF$3, AF$2, "PGM", "Options:Curr=USD")</f>
        <v>#NAME?</v>
      </c>
      <c r="AG11" s="50" t="e">
        <f ca="1">_xll.SNL.Clients.Office.Excel.Functions.SPG($J11, $AF$3, AG$2, "PGM", "Options:Curr=USD")</f>
        <v>#NAME?</v>
      </c>
      <c r="AH11" s="54" t="e">
        <f ca="1">_xll.SNL.Clients.Office.Excel.Functions.SPG($J11, $AF$3, AH$2, "PGM", "Options:Curr=USD")</f>
        <v>#NAME?</v>
      </c>
      <c r="AI11" s="50" t="str" cm="1">
        <f t="array" aca="1" ref="AI11" ca="1">IFERROR(AVERPGME(_xll.SNL.Clients.Office.Excel.Functions.SPG($J11,$AI$4,"PGM",AI$2),_xll.SNL.Clients.Office.Excel.Functions.SPG($J11,$AI$3,"PGM",AI$2)),"NA")</f>
        <v>NA</v>
      </c>
      <c r="AJ11" s="50" t="str" cm="1">
        <f t="array" aca="1" ref="AJ11" ca="1">IFERROR(AVERPGME(_xll.SNL.Clients.Office.Excel.Functions.SPG($J11,$AI$4,"PGM",AJ$2),_xll.SNL.Clients.Office.Excel.Functions.SPG($J11,$AI$3,"PGM",AJ$2)),"NA")</f>
        <v>NA</v>
      </c>
      <c r="AK11" s="54" t="str" cm="1">
        <f t="array" aca="1" ref="AK11" ca="1">IFERROR(AVERPGME(_xll.SNL.Clients.Office.Excel.Functions.SPG($J11,$AI$4,"PGM",AK$2),_xll.SNL.Clients.Office.Excel.Functions.SPG($J11,$AI$3,"PGM",AK$2)),"NA")</f>
        <v>NA</v>
      </c>
      <c r="AM11" s="21" t="s">
        <v>59</v>
      </c>
      <c r="AN11" s="21"/>
      <c r="AO11" s="21" t="s">
        <v>65</v>
      </c>
      <c r="AP11" s="21"/>
    </row>
    <row r="12" spans="1:42" x14ac:dyDescent="0.25">
      <c r="A12" s="33"/>
      <c r="B12" s="33"/>
      <c r="C12" s="33"/>
      <c r="D12" s="33"/>
      <c r="E12" s="33"/>
      <c r="H12" s="56"/>
      <c r="I12" s="56"/>
      <c r="J12" s="56" t="s">
        <v>82</v>
      </c>
      <c r="K12" s="57" t="e">
        <f ca="1">AVERAGE(K5:K11)</f>
        <v>#NAME?</v>
      </c>
      <c r="L12" s="58" t="e">
        <f ca="1">AVERAGE(L5:L11)</f>
        <v>#NAME?</v>
      </c>
      <c r="M12" s="59" t="e">
        <f ca="1">AVERAGE(M5:M11)</f>
        <v>#NAME?</v>
      </c>
      <c r="N12" s="60" t="e">
        <f ca="1">AVERAGE(N5:N11)</f>
        <v>#NAME?</v>
      </c>
      <c r="O12" s="61" t="e" cm="1">
        <f t="array" aca="1" ref="O12" ca="1">AVERAGE(IFERROR(O6:O11, ""))</f>
        <v>#DIV/0!</v>
      </c>
      <c r="P12" s="61" t="e" cm="1">
        <f t="array" aca="1" ref="P12" ca="1">AVERAGE(IFERROR(P6:P11, ""))</f>
        <v>#DIV/0!</v>
      </c>
      <c r="Q12" s="61" t="e" cm="1">
        <f t="array" aca="1" ref="Q12" ca="1">AVERAGE(IFERROR(Q6:Q11, ""))</f>
        <v>#DIV/0!</v>
      </c>
      <c r="R12" s="58" t="e">
        <f t="shared" ref="R12:AK12" ca="1" si="0">AVERAGE(R5:R11)</f>
        <v>#NAME?</v>
      </c>
      <c r="S12" s="59" t="e">
        <f t="shared" ca="1" si="0"/>
        <v>#NAME?</v>
      </c>
      <c r="T12" s="60" t="e">
        <f t="shared" ca="1" si="0"/>
        <v>#NAME?</v>
      </c>
      <c r="U12" s="59"/>
      <c r="V12" s="59"/>
      <c r="W12" s="62" t="e">
        <f t="shared" ca="1" si="0"/>
        <v>#DIV/0!</v>
      </c>
      <c r="X12" s="62" t="e">
        <f t="shared" ca="1" si="0"/>
        <v>#DIV/0!</v>
      </c>
      <c r="Y12" s="62" t="e">
        <f t="shared" ca="1" si="0"/>
        <v>#DIV/0!</v>
      </c>
      <c r="Z12" s="63" t="e">
        <f t="shared" ca="1" si="0"/>
        <v>#NAME?</v>
      </c>
      <c r="AA12" s="63" t="e">
        <f t="shared" ca="1" si="0"/>
        <v>#NAME?</v>
      </c>
      <c r="AB12" s="64" t="e">
        <f t="shared" ca="1" si="0"/>
        <v>#NAME?</v>
      </c>
      <c r="AC12" s="63" t="e">
        <f t="shared" ca="1" si="0"/>
        <v>#DIV/0!</v>
      </c>
      <c r="AD12" s="63" t="e">
        <f t="shared" ca="1" si="0"/>
        <v>#DIV/0!</v>
      </c>
      <c r="AE12" s="64" t="e">
        <f t="shared" ca="1" si="0"/>
        <v>#DIV/0!</v>
      </c>
      <c r="AF12" s="63" t="e">
        <f t="shared" ca="1" si="0"/>
        <v>#NAME?</v>
      </c>
      <c r="AG12" s="63" t="e">
        <f t="shared" ca="1" si="0"/>
        <v>#NAME?</v>
      </c>
      <c r="AH12" s="64" t="e">
        <f t="shared" ca="1" si="0"/>
        <v>#NAME?</v>
      </c>
      <c r="AI12" s="63" t="e">
        <f t="shared" ca="1" si="0"/>
        <v>#DIV/0!</v>
      </c>
      <c r="AJ12" s="63" t="e">
        <f t="shared" ca="1" si="0"/>
        <v>#DIV/0!</v>
      </c>
      <c r="AK12" s="64" t="e">
        <f t="shared" ca="1" si="0"/>
        <v>#DIV/0!</v>
      </c>
      <c r="AM12" s="65" t="s">
        <v>59</v>
      </c>
      <c r="AN12" s="65"/>
      <c r="AO12" s="65" t="s">
        <v>65</v>
      </c>
      <c r="AP12" s="65"/>
    </row>
    <row r="13" spans="1:42" x14ac:dyDescent="0.25">
      <c r="A13" s="33"/>
      <c r="B13" s="33"/>
      <c r="C13" s="33"/>
      <c r="D13" s="33"/>
      <c r="E13" s="33"/>
    </row>
    <row r="15" spans="1:42" x14ac:dyDescent="0.25">
      <c r="A15" s="66"/>
      <c r="B15" s="66"/>
      <c r="C15" s="66"/>
      <c r="D15" s="66"/>
      <c r="E15" s="66"/>
    </row>
    <row r="16" spans="1:42" x14ac:dyDescent="0.25">
      <c r="A16" s="33"/>
      <c r="B16" s="33"/>
      <c r="C16" s="33"/>
      <c r="D16" s="33"/>
      <c r="E16" s="33"/>
    </row>
    <row r="17" spans="1:38" x14ac:dyDescent="0.25">
      <c r="A17" s="33"/>
      <c r="B17" s="33"/>
      <c r="C17" s="33"/>
      <c r="D17" s="33"/>
      <c r="E17" s="33"/>
    </row>
    <row r="18" spans="1:38" x14ac:dyDescent="0.25">
      <c r="A18" s="33"/>
      <c r="B18" s="33"/>
      <c r="C18" s="33"/>
      <c r="D18" s="33"/>
      <c r="E18" s="33"/>
    </row>
    <row r="19" spans="1:38" x14ac:dyDescent="0.25">
      <c r="A19" s="33"/>
      <c r="B19" s="33"/>
      <c r="C19" s="33"/>
      <c r="D19" s="33"/>
      <c r="E19" s="33"/>
    </row>
    <row r="20" spans="1:38" x14ac:dyDescent="0.25">
      <c r="A20" s="33"/>
      <c r="B20" s="33"/>
      <c r="C20" s="33"/>
      <c r="D20" s="33"/>
      <c r="E20" s="33"/>
      <c r="AL20" s="37" t="s">
        <v>83</v>
      </c>
    </row>
    <row r="21" spans="1:38" x14ac:dyDescent="0.25">
      <c r="A21" s="33"/>
      <c r="B21" s="33"/>
      <c r="C21" s="33"/>
      <c r="D21" s="33"/>
      <c r="E21" s="33"/>
    </row>
    <row r="22" spans="1:38" x14ac:dyDescent="0.25">
      <c r="A22" s="33"/>
      <c r="B22" s="33"/>
      <c r="C22" s="33"/>
      <c r="D22" s="33"/>
      <c r="E22" s="33"/>
    </row>
    <row r="23" spans="1:38" x14ac:dyDescent="0.25">
      <c r="A23" s="33"/>
      <c r="B23" s="33"/>
      <c r="C23" s="33"/>
      <c r="D23" s="33"/>
      <c r="E23" s="33"/>
    </row>
    <row r="24" spans="1:38" x14ac:dyDescent="0.25">
      <c r="A24" s="33"/>
      <c r="B24" s="33"/>
      <c r="C24" s="33"/>
      <c r="D24" s="33"/>
      <c r="E24" s="33"/>
    </row>
    <row r="25" spans="1:38" x14ac:dyDescent="0.25">
      <c r="A25" s="33"/>
      <c r="B25" s="33"/>
      <c r="C25" s="33"/>
      <c r="D25" s="33"/>
      <c r="E25" s="33"/>
    </row>
    <row r="26" spans="1:38" x14ac:dyDescent="0.25">
      <c r="A26" s="33"/>
      <c r="B26" s="33"/>
      <c r="C26" s="33"/>
      <c r="D26" s="33"/>
      <c r="E26" s="33"/>
    </row>
    <row r="27" spans="1:38" x14ac:dyDescent="0.25">
      <c r="A27" s="33"/>
      <c r="B27" s="33"/>
      <c r="C27" s="33"/>
      <c r="D27" s="33"/>
      <c r="E27" s="33"/>
    </row>
    <row r="28" spans="1:38" x14ac:dyDescent="0.25">
      <c r="A28" s="33"/>
      <c r="B28" s="33"/>
      <c r="C28" s="33"/>
      <c r="D28" s="33"/>
      <c r="E28" s="33"/>
    </row>
    <row r="29" spans="1:38" x14ac:dyDescent="0.25">
      <c r="A29" s="33"/>
      <c r="B29" s="33"/>
      <c r="C29" s="33"/>
      <c r="D29" s="33"/>
      <c r="E29" s="33"/>
    </row>
    <row r="30" spans="1:38" x14ac:dyDescent="0.25">
      <c r="A30" s="33"/>
      <c r="B30" s="33"/>
      <c r="C30" s="33"/>
      <c r="D30" s="33"/>
      <c r="E30" s="33"/>
    </row>
    <row r="31" spans="1:38" x14ac:dyDescent="0.25">
      <c r="A31" s="33"/>
      <c r="B31" s="33"/>
      <c r="C31" s="33"/>
      <c r="D31" s="33"/>
      <c r="E31" s="33"/>
    </row>
    <row r="32" spans="1:38" x14ac:dyDescent="0.25">
      <c r="A32" s="33"/>
      <c r="B32" s="33"/>
      <c r="C32" s="33"/>
      <c r="D32" s="33"/>
      <c r="E32" s="33"/>
    </row>
    <row r="33" spans="1:5" x14ac:dyDescent="0.25">
      <c r="A33" s="33"/>
      <c r="B33" s="33"/>
      <c r="C33" s="33"/>
      <c r="D33" s="33"/>
      <c r="E33" s="33"/>
    </row>
    <row r="34" spans="1:5" x14ac:dyDescent="0.25">
      <c r="A34" s="33"/>
      <c r="B34" s="33"/>
      <c r="C34" s="33"/>
      <c r="D34" s="33"/>
      <c r="E34" s="33"/>
    </row>
    <row r="35" spans="1:5" x14ac:dyDescent="0.25">
      <c r="A35" s="33"/>
      <c r="B35" s="33"/>
      <c r="C35" s="33"/>
      <c r="D35" s="33"/>
      <c r="E35" s="33"/>
    </row>
    <row r="36" spans="1:5" x14ac:dyDescent="0.25">
      <c r="A36" s="33"/>
      <c r="B36" s="33"/>
      <c r="C36" s="33"/>
      <c r="D36" s="33"/>
      <c r="E36" s="33"/>
    </row>
    <row r="37" spans="1:5" x14ac:dyDescent="0.25">
      <c r="A37" s="33"/>
      <c r="B37" s="33"/>
      <c r="C37" s="33"/>
      <c r="D37" s="33"/>
      <c r="E37" s="33"/>
    </row>
    <row r="38" spans="1:5" x14ac:dyDescent="0.25">
      <c r="A38" s="33"/>
      <c r="B38" s="33"/>
      <c r="C38" s="33"/>
      <c r="D38" s="33"/>
      <c r="E38" s="33"/>
    </row>
    <row r="39" spans="1:5" x14ac:dyDescent="0.25">
      <c r="A39" s="33"/>
      <c r="B39" s="33"/>
      <c r="C39" s="33"/>
      <c r="D39" s="33"/>
      <c r="E39" s="33"/>
    </row>
    <row r="42" spans="1:5" x14ac:dyDescent="0.25">
      <c r="A42" s="33"/>
      <c r="B42" s="33"/>
      <c r="C42" s="33"/>
      <c r="D42" s="33"/>
      <c r="E42" s="33"/>
    </row>
    <row r="43" spans="1:5" x14ac:dyDescent="0.25">
      <c r="A43" s="33"/>
      <c r="B43" s="33"/>
      <c r="C43" s="33"/>
      <c r="D43" s="33"/>
      <c r="E43" s="33"/>
    </row>
    <row r="44" spans="1:5" x14ac:dyDescent="0.25">
      <c r="A44" s="33"/>
      <c r="B44" s="33"/>
      <c r="C44" s="33"/>
      <c r="D44" s="33"/>
      <c r="E44" s="33"/>
    </row>
    <row r="45" spans="1:5" x14ac:dyDescent="0.25">
      <c r="A45" s="33"/>
      <c r="B45" s="33"/>
      <c r="C45" s="33"/>
      <c r="D45" s="33"/>
      <c r="E45" s="33"/>
    </row>
    <row r="46" spans="1:5" x14ac:dyDescent="0.25">
      <c r="A46" s="33"/>
      <c r="B46" s="33"/>
      <c r="C46" s="33"/>
      <c r="D46" s="33"/>
      <c r="E46" s="33"/>
    </row>
    <row r="47" spans="1:5" x14ac:dyDescent="0.25">
      <c r="A47" s="33"/>
      <c r="B47" s="33"/>
      <c r="C47" s="33"/>
      <c r="D47" s="33"/>
      <c r="E47" s="33"/>
    </row>
    <row r="48" spans="1:5" x14ac:dyDescent="0.25">
      <c r="A48" s="33"/>
      <c r="B48" s="33"/>
      <c r="C48" s="33"/>
      <c r="D48" s="33"/>
      <c r="E48" s="33"/>
    </row>
    <row r="49" spans="1:5" x14ac:dyDescent="0.25">
      <c r="A49" s="33"/>
      <c r="B49" s="33"/>
      <c r="C49" s="33"/>
      <c r="D49" s="33"/>
      <c r="E49" s="33"/>
    </row>
    <row r="50" spans="1:5" x14ac:dyDescent="0.25">
      <c r="A50" s="33"/>
      <c r="B50" s="33"/>
      <c r="C50" s="33"/>
      <c r="D50" s="33"/>
      <c r="E50" s="33"/>
    </row>
    <row r="51" spans="1:5" x14ac:dyDescent="0.25">
      <c r="A51" s="33"/>
      <c r="B51" s="33"/>
      <c r="C51" s="33"/>
      <c r="D51" s="33"/>
      <c r="E51" s="33"/>
    </row>
    <row r="52" spans="1:5" x14ac:dyDescent="0.25">
      <c r="A52" s="33"/>
      <c r="B52" s="33"/>
      <c r="C52" s="33"/>
      <c r="D52" s="33"/>
      <c r="E52" s="33"/>
    </row>
    <row r="53" spans="1:5" x14ac:dyDescent="0.25">
      <c r="A53" s="33"/>
      <c r="B53" s="33"/>
      <c r="C53" s="33"/>
      <c r="D53" s="33"/>
      <c r="E53" s="33"/>
    </row>
    <row r="54" spans="1:5" x14ac:dyDescent="0.25">
      <c r="A54" s="33"/>
      <c r="B54" s="33"/>
      <c r="C54" s="33"/>
      <c r="D54" s="33"/>
      <c r="E54" s="33"/>
    </row>
    <row r="55" spans="1:5" x14ac:dyDescent="0.25">
      <c r="A55" s="33"/>
      <c r="B55" s="33"/>
      <c r="C55" s="33"/>
      <c r="D55" s="33"/>
      <c r="E55" s="33"/>
    </row>
    <row r="56" spans="1:5" x14ac:dyDescent="0.25">
      <c r="A56" s="33"/>
      <c r="B56" s="33"/>
      <c r="C56" s="33"/>
      <c r="D56" s="33"/>
      <c r="E56" s="33"/>
    </row>
    <row r="57" spans="1:5" x14ac:dyDescent="0.25">
      <c r="A57" s="33"/>
      <c r="B57" s="33"/>
      <c r="C57" s="33"/>
      <c r="D57" s="33"/>
      <c r="E57" s="33"/>
    </row>
    <row r="58" spans="1:5" x14ac:dyDescent="0.25">
      <c r="A58" s="33"/>
      <c r="B58" s="33"/>
      <c r="C58" s="33"/>
      <c r="D58" s="33"/>
      <c r="E58" s="33"/>
    </row>
    <row r="59" spans="1:5" x14ac:dyDescent="0.25">
      <c r="A59" s="33"/>
      <c r="B59" s="33"/>
      <c r="C59" s="33"/>
      <c r="D59" s="33"/>
      <c r="E59" s="33"/>
    </row>
    <row r="60" spans="1:5" x14ac:dyDescent="0.25">
      <c r="A60" s="33"/>
      <c r="B60" s="33"/>
      <c r="C60" s="33"/>
      <c r="D60" s="33"/>
      <c r="E60" s="33"/>
    </row>
    <row r="61" spans="1:5" x14ac:dyDescent="0.25">
      <c r="A61" s="33"/>
      <c r="B61" s="33"/>
      <c r="C61" s="33"/>
      <c r="D61" s="33"/>
      <c r="E61" s="33"/>
    </row>
    <row r="62" spans="1:5" x14ac:dyDescent="0.25">
      <c r="A62" s="33"/>
      <c r="B62" s="33"/>
      <c r="C62" s="33"/>
      <c r="D62" s="33"/>
      <c r="E62" s="33"/>
    </row>
    <row r="63" spans="1:5" x14ac:dyDescent="0.25">
      <c r="A63" s="33"/>
      <c r="B63" s="33"/>
      <c r="C63" s="33"/>
      <c r="D63" s="33"/>
      <c r="E63" s="33"/>
    </row>
    <row r="64" spans="1:5" x14ac:dyDescent="0.25">
      <c r="A64" s="33"/>
      <c r="B64" s="33"/>
      <c r="C64" s="33"/>
      <c r="D64" s="33"/>
      <c r="E64" s="33"/>
    </row>
    <row r="65" spans="1:41" x14ac:dyDescent="0.25">
      <c r="A65" s="33"/>
      <c r="B65" s="33"/>
      <c r="C65" s="33"/>
      <c r="D65" s="33"/>
      <c r="E65" s="33"/>
    </row>
    <row r="66" spans="1:41" x14ac:dyDescent="0.25">
      <c r="A66" s="33"/>
      <c r="B66" s="33"/>
      <c r="C66" s="33"/>
      <c r="D66" s="33"/>
      <c r="E66" s="33"/>
    </row>
    <row r="67" spans="1:41" x14ac:dyDescent="0.25">
      <c r="A67" s="33"/>
      <c r="B67" s="33"/>
      <c r="C67" s="33"/>
      <c r="D67" s="33"/>
      <c r="E67" s="33"/>
    </row>
    <row r="68" spans="1:41" x14ac:dyDescent="0.25">
      <c r="A68" s="33"/>
      <c r="B68" s="33"/>
      <c r="C68" s="33"/>
      <c r="D68" s="33"/>
      <c r="E68" s="33"/>
    </row>
    <row r="69" spans="1:41" x14ac:dyDescent="0.25">
      <c r="A69" s="33"/>
      <c r="B69" s="33"/>
      <c r="C69" s="33"/>
      <c r="D69" s="33"/>
      <c r="E69" s="33"/>
    </row>
    <row r="70" spans="1:41" x14ac:dyDescent="0.25">
      <c r="A70" s="33"/>
      <c r="B70" s="33"/>
      <c r="C70" s="33"/>
      <c r="D70" s="33"/>
      <c r="E70" s="33"/>
    </row>
    <row r="71" spans="1:41" x14ac:dyDescent="0.25">
      <c r="A71" s="33"/>
      <c r="B71" s="33"/>
      <c r="C71" s="33"/>
      <c r="D71" s="33"/>
      <c r="E71" s="33"/>
    </row>
    <row r="72" spans="1:41" x14ac:dyDescent="0.25">
      <c r="A72" s="33"/>
      <c r="B72" s="33"/>
      <c r="C72" s="33"/>
      <c r="D72" s="33"/>
      <c r="E72" s="33"/>
    </row>
    <row r="73" spans="1:41" x14ac:dyDescent="0.25">
      <c r="A73" s="33"/>
      <c r="B73" s="33"/>
      <c r="C73" s="33"/>
      <c r="D73" s="33"/>
      <c r="E73" s="33"/>
    </row>
    <row r="74" spans="1:41" x14ac:dyDescent="0.25">
      <c r="A74" s="33"/>
      <c r="B74" s="33"/>
      <c r="C74" s="33"/>
      <c r="D74" s="33"/>
      <c r="E74" s="33"/>
    </row>
    <row r="75" spans="1:41" x14ac:dyDescent="0.25">
      <c r="A75" s="33"/>
      <c r="B75" s="33"/>
      <c r="C75" s="33"/>
      <c r="D75" s="33"/>
      <c r="E75" s="33"/>
    </row>
    <row r="76" spans="1:41" x14ac:dyDescent="0.25">
      <c r="A76" s="33"/>
      <c r="B76" s="33"/>
      <c r="C76" s="33"/>
      <c r="D76" s="33"/>
      <c r="E76" s="33"/>
    </row>
    <row r="77" spans="1:41" x14ac:dyDescent="0.25">
      <c r="A77" s="33"/>
      <c r="B77" s="33"/>
      <c r="C77" s="33"/>
      <c r="D77" s="33"/>
      <c r="E77" s="33"/>
    </row>
    <row r="78" spans="1:41" x14ac:dyDescent="0.25">
      <c r="AO78" s="67"/>
    </row>
    <row r="79" spans="1:41" x14ac:dyDescent="0.25">
      <c r="A79" s="67"/>
      <c r="B79" s="67"/>
      <c r="C79" s="67"/>
      <c r="D79" s="67"/>
      <c r="E79" s="67"/>
    </row>
  </sheetData>
  <mergeCells count="16">
    <mergeCell ref="Z1:AB1"/>
    <mergeCell ref="AC1:AE1"/>
    <mergeCell ref="AF1:AH1"/>
    <mergeCell ref="AI1:AK1"/>
    <mergeCell ref="G1:G2"/>
    <mergeCell ref="K1:K2"/>
    <mergeCell ref="L1:N1"/>
    <mergeCell ref="O1:Q1"/>
    <mergeCell ref="R1:T1"/>
    <mergeCell ref="W1:Y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PGMs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2026-02-20T13:11:55Z</dcterms:created>
  <dcterms:modified xsi:type="dcterms:W3CDTF">2026-02-20T13:11:57Z</dcterms:modified>
</cp:coreProperties>
</file>