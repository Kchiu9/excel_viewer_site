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7119B21E-EED6-4924-9C88-3585A11EEED5}" xr6:coauthVersionLast="47" xr6:coauthVersionMax="47" xr10:uidLastSave="{00000000-0000-0000-0000-000000000000}"/>
  <bookViews>
    <workbookView xWindow="-108" yWindow="-108" windowWidth="23256" windowHeight="12456" xr2:uid="{909106F3-8EED-4952-B1DB-DC453C62D79F}"/>
  </bookViews>
  <sheets>
    <sheet name="Copper" sheetId="2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46064.7990046296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4" i="2" l="1"/>
  <c r="BW32" i="2"/>
  <c r="BV32" i="2"/>
  <c r="BU32" i="2"/>
  <c r="BT32" i="2"/>
  <c r="BS32" i="2"/>
  <c r="BR32" i="2"/>
  <c r="BQ32" i="2"/>
  <c r="BQ32" i="2" a="1"/>
  <c r="BP32" i="2" a="1"/>
  <c r="BP32" i="2" s="1"/>
  <c r="BO32" i="2" a="1"/>
  <c r="BO32" i="2" s="1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J32" i="2"/>
  <c r="AM32" i="2" s="1"/>
  <c r="AI32" i="2"/>
  <c r="AL32" i="2" s="1"/>
  <c r="AH32" i="2"/>
  <c r="AK32" i="2" s="1"/>
  <c r="AG32" i="2"/>
  <c r="AF32" i="2"/>
  <c r="AE32" i="2"/>
  <c r="AD32" i="2"/>
  <c r="AC32" i="2"/>
  <c r="AB32" i="2"/>
  <c r="AA32" i="2"/>
  <c r="Z32" i="2"/>
  <c r="Y32" i="2"/>
  <c r="X32" i="2" a="1"/>
  <c r="X32" i="2" s="1"/>
  <c r="W32" i="2" a="1"/>
  <c r="W32" i="2" s="1"/>
  <c r="V32" i="2" a="1"/>
  <c r="V32" i="2" s="1"/>
  <c r="U32" i="2"/>
  <c r="U32" i="2" a="1"/>
  <c r="T32" i="2"/>
  <c r="T32" i="2" a="1"/>
  <c r="P32" i="2" a="1"/>
  <c r="P32" i="2" s="1"/>
  <c r="O32" i="2" a="1"/>
  <c r="O32" i="2" s="1"/>
  <c r="N32" i="2" a="1"/>
  <c r="N32" i="2" s="1"/>
  <c r="M32" i="2"/>
  <c r="M32" i="2" a="1"/>
  <c r="I32" i="2"/>
  <c r="S32" i="2" s="1"/>
  <c r="H32" i="2"/>
  <c r="BW31" i="2"/>
  <c r="BV31" i="2"/>
  <c r="BU31" i="2"/>
  <c r="BT31" i="2"/>
  <c r="BS31" i="2"/>
  <c r="BR31" i="2"/>
  <c r="BQ31" i="2"/>
  <c r="BQ31" i="2" a="1"/>
  <c r="BP31" i="2" a="1"/>
  <c r="BP31" i="2" s="1"/>
  <c r="BO31" i="2" a="1"/>
  <c r="BO31" i="2" s="1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J31" i="2"/>
  <c r="AM31" i="2" s="1"/>
  <c r="AI31" i="2"/>
  <c r="AH31" i="2"/>
  <c r="AG31" i="2"/>
  <c r="AF31" i="2"/>
  <c r="AE31" i="2"/>
  <c r="AD31" i="2"/>
  <c r="AC31" i="2"/>
  <c r="AB31" i="2"/>
  <c r="AA31" i="2"/>
  <c r="Z31" i="2"/>
  <c r="Y31" i="2"/>
  <c r="X31" i="2" a="1"/>
  <c r="X31" i="2" s="1"/>
  <c r="W31" i="2" a="1"/>
  <c r="W31" i="2" s="1"/>
  <c r="V31" i="2" a="1"/>
  <c r="V31" i="2" s="1"/>
  <c r="U31" i="2" a="1"/>
  <c r="U31" i="2" s="1"/>
  <c r="T31" i="2" a="1"/>
  <c r="T31" i="2" s="1"/>
  <c r="P31" i="2" a="1"/>
  <c r="P31" i="2" s="1"/>
  <c r="O31" i="2" a="1"/>
  <c r="O31" i="2" s="1"/>
  <c r="N31" i="2" a="1"/>
  <c r="N31" i="2" s="1"/>
  <c r="M31" i="2"/>
  <c r="M31" i="2" a="1"/>
  <c r="I31" i="2"/>
  <c r="Q31" i="2" s="1"/>
  <c r="H31" i="2"/>
  <c r="BW27" i="2"/>
  <c r="BV27" i="2"/>
  <c r="BU27" i="2"/>
  <c r="BT27" i="2"/>
  <c r="BS27" i="2"/>
  <c r="BR27" i="2"/>
  <c r="BQ27" i="2" a="1"/>
  <c r="BQ27" i="2" s="1"/>
  <c r="BP27" i="2"/>
  <c r="BP27" i="2" a="1"/>
  <c r="BO27" i="2" a="1"/>
  <c r="BO27" i="2" s="1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J27" i="2"/>
  <c r="AM27" i="2" s="1"/>
  <c r="AI27" i="2"/>
  <c r="AH27" i="2"/>
  <c r="AG27" i="2"/>
  <c r="AF27" i="2"/>
  <c r="AE27" i="2"/>
  <c r="AD27" i="2"/>
  <c r="AC27" i="2"/>
  <c r="AL27" i="2" s="1"/>
  <c r="AO27" i="2" s="1"/>
  <c r="AB27" i="2"/>
  <c r="AA27" i="2"/>
  <c r="Z27" i="2"/>
  <c r="Y27" i="2"/>
  <c r="X27" i="2" a="1"/>
  <c r="X27" i="2" s="1"/>
  <c r="W27" i="2"/>
  <c r="W27" i="2" a="1"/>
  <c r="V27" i="2"/>
  <c r="V27" i="2" a="1"/>
  <c r="U27" i="2" a="1"/>
  <c r="U27" i="2" s="1"/>
  <c r="T27" i="2" a="1"/>
  <c r="T27" i="2" s="1"/>
  <c r="P27" i="2"/>
  <c r="P27" i="2" a="1"/>
  <c r="O27" i="2"/>
  <c r="O27" i="2" a="1"/>
  <c r="N27" i="2"/>
  <c r="N27" i="2" a="1"/>
  <c r="M27" i="2" a="1"/>
  <c r="M27" i="2" s="1"/>
  <c r="I27" i="2"/>
  <c r="R27" i="2" s="1"/>
  <c r="H27" i="2"/>
  <c r="D27" i="2"/>
  <c r="C27" i="2"/>
  <c r="B27" i="2"/>
  <c r="A27" i="2"/>
  <c r="BW26" i="2"/>
  <c r="BV26" i="2"/>
  <c r="BU26" i="2"/>
  <c r="BT26" i="2"/>
  <c r="BS26" i="2"/>
  <c r="BR26" i="2"/>
  <c r="BQ26" i="2"/>
  <c r="BQ26" i="2" a="1"/>
  <c r="BP26" i="2" a="1"/>
  <c r="BP26" i="2" s="1"/>
  <c r="BO26" i="2" a="1"/>
  <c r="BO26" i="2" s="1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J26" i="2"/>
  <c r="AI26" i="2"/>
  <c r="AH26" i="2"/>
  <c r="AG26" i="2"/>
  <c r="AF26" i="2"/>
  <c r="AE26" i="2"/>
  <c r="AK26" i="2" s="1"/>
  <c r="AN26" i="2" s="1"/>
  <c r="AD26" i="2"/>
  <c r="AM26" i="2" s="1"/>
  <c r="AC26" i="2"/>
  <c r="AB26" i="2"/>
  <c r="AA26" i="2"/>
  <c r="Z26" i="2"/>
  <c r="Y26" i="2"/>
  <c r="X26" i="2" a="1"/>
  <c r="X26" i="2" s="1"/>
  <c r="W26" i="2" a="1"/>
  <c r="W26" i="2" s="1"/>
  <c r="V26" i="2"/>
  <c r="V26" i="2" a="1"/>
  <c r="U26" i="2" a="1"/>
  <c r="U26" i="2" s="1"/>
  <c r="T26" i="2"/>
  <c r="T26" i="2" a="1"/>
  <c r="P26" i="2" a="1"/>
  <c r="P26" i="2" s="1"/>
  <c r="O26" i="2" a="1"/>
  <c r="O26" i="2" s="1"/>
  <c r="N26" i="2" a="1"/>
  <c r="N26" i="2" s="1"/>
  <c r="M26" i="2"/>
  <c r="M26" i="2" a="1"/>
  <c r="I26" i="2"/>
  <c r="S26" i="2" s="1"/>
  <c r="H26" i="2"/>
  <c r="D26" i="2"/>
  <c r="C26" i="2"/>
  <c r="B26" i="2"/>
  <c r="A26" i="2"/>
  <c r="BW25" i="2"/>
  <c r="BV25" i="2"/>
  <c r="BU25" i="2"/>
  <c r="BT25" i="2"/>
  <c r="BS25" i="2"/>
  <c r="BR25" i="2"/>
  <c r="BQ25" i="2" a="1"/>
  <c r="BQ25" i="2" s="1"/>
  <c r="BP25" i="2"/>
  <c r="BP25" i="2" a="1"/>
  <c r="BO25" i="2" a="1"/>
  <c r="BO25" i="2" s="1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J25" i="2"/>
  <c r="AI25" i="2"/>
  <c r="AH25" i="2"/>
  <c r="AK25" i="2" s="1"/>
  <c r="AN25" i="2" s="1"/>
  <c r="AG25" i="2"/>
  <c r="AF25" i="2"/>
  <c r="AE25" i="2"/>
  <c r="AD25" i="2"/>
  <c r="AC25" i="2"/>
  <c r="AL25" i="2" s="1"/>
  <c r="AO25" i="2" s="1"/>
  <c r="AB25" i="2"/>
  <c r="AA25" i="2"/>
  <c r="Z25" i="2"/>
  <c r="Y25" i="2"/>
  <c r="X25" i="2"/>
  <c r="X25" i="2" a="1"/>
  <c r="W25" i="2"/>
  <c r="W25" i="2" a="1"/>
  <c r="V25" i="2" a="1"/>
  <c r="V25" i="2" s="1"/>
  <c r="U25" i="2" a="1"/>
  <c r="U25" i="2" s="1"/>
  <c r="T25" i="2"/>
  <c r="T25" i="2" a="1"/>
  <c r="P25" i="2" a="1"/>
  <c r="P25" i="2" s="1"/>
  <c r="O25" i="2"/>
  <c r="O25" i="2" a="1"/>
  <c r="N25" i="2" a="1"/>
  <c r="N25" i="2" s="1"/>
  <c r="M25" i="2" a="1"/>
  <c r="M25" i="2" s="1"/>
  <c r="I25" i="2"/>
  <c r="R25" i="2" s="1"/>
  <c r="H25" i="2"/>
  <c r="D25" i="2"/>
  <c r="C25" i="2"/>
  <c r="B25" i="2"/>
  <c r="A25" i="2"/>
  <c r="BW24" i="2"/>
  <c r="BV24" i="2"/>
  <c r="BU24" i="2"/>
  <c r="BT24" i="2"/>
  <c r="BS24" i="2"/>
  <c r="BR24" i="2"/>
  <c r="BQ24" i="2" a="1"/>
  <c r="BQ24" i="2" s="1"/>
  <c r="BP24" i="2" a="1"/>
  <c r="BP24" i="2" s="1"/>
  <c r="BO24" i="2" a="1"/>
  <c r="BO24" i="2" s="1"/>
  <c r="BH24" i="2"/>
  <c r="BG24" i="2"/>
  <c r="BF24" i="2"/>
  <c r="BE24" i="2"/>
  <c r="BD24" i="2"/>
  <c r="BC24" i="2"/>
  <c r="BK24" i="2" s="1"/>
  <c r="BB24" i="2"/>
  <c r="BA24" i="2"/>
  <c r="AZ24" i="2"/>
  <c r="AY24" i="2"/>
  <c r="BJ24" i="2" s="1"/>
  <c r="AX24" i="2"/>
  <c r="AW24" i="2"/>
  <c r="AV24" i="2"/>
  <c r="AU24" i="2"/>
  <c r="AT24" i="2"/>
  <c r="AS24" i="2"/>
  <c r="AR24" i="2"/>
  <c r="AQ24" i="2"/>
  <c r="AJ24" i="2"/>
  <c r="AM24" i="2" s="1"/>
  <c r="AI24" i="2"/>
  <c r="AH24" i="2"/>
  <c r="AK24" i="2" s="1"/>
  <c r="AG24" i="2"/>
  <c r="AF24" i="2"/>
  <c r="AE24" i="2"/>
  <c r="AD24" i="2"/>
  <c r="AC24" i="2"/>
  <c r="AB24" i="2"/>
  <c r="AA24" i="2"/>
  <c r="Z24" i="2"/>
  <c r="Y24" i="2"/>
  <c r="X24" i="2" a="1"/>
  <c r="X24" i="2" s="1"/>
  <c r="W24" i="2" a="1"/>
  <c r="W24" i="2" s="1"/>
  <c r="V24" i="2"/>
  <c r="V24" i="2" a="1"/>
  <c r="U24" i="2"/>
  <c r="U24" i="2" a="1"/>
  <c r="T24" i="2" a="1"/>
  <c r="T24" i="2" s="1"/>
  <c r="R24" i="2"/>
  <c r="P24" i="2" a="1"/>
  <c r="P24" i="2" s="1"/>
  <c r="O24" i="2"/>
  <c r="O24" i="2" a="1"/>
  <c r="N24" i="2"/>
  <c r="N24" i="2" a="1"/>
  <c r="M24" i="2"/>
  <c r="M24" i="2" a="1"/>
  <c r="I24" i="2"/>
  <c r="S24" i="2" s="1"/>
  <c r="H24" i="2"/>
  <c r="D24" i="2"/>
  <c r="C24" i="2"/>
  <c r="B24" i="2"/>
  <c r="A24" i="2"/>
  <c r="BW23" i="2"/>
  <c r="BV23" i="2"/>
  <c r="BU23" i="2"/>
  <c r="BT23" i="2"/>
  <c r="BS23" i="2"/>
  <c r="BR23" i="2"/>
  <c r="BQ23" i="2"/>
  <c r="BQ23" i="2" a="1"/>
  <c r="BP23" i="2"/>
  <c r="BP23" i="2" a="1"/>
  <c r="BO23" i="2" a="1"/>
  <c r="BO23" i="2" s="1"/>
  <c r="BH23" i="2"/>
  <c r="BG23" i="2"/>
  <c r="BF23" i="2"/>
  <c r="BE23" i="2"/>
  <c r="BD23" i="2"/>
  <c r="BC23" i="2"/>
  <c r="BB23" i="2"/>
  <c r="BA23" i="2"/>
  <c r="AZ23" i="2"/>
  <c r="AY23" i="2"/>
  <c r="BJ23" i="2" s="1"/>
  <c r="AX23" i="2"/>
  <c r="AW23" i="2"/>
  <c r="AV23" i="2"/>
  <c r="AU23" i="2"/>
  <c r="AT23" i="2"/>
  <c r="AS23" i="2"/>
  <c r="AR23" i="2"/>
  <c r="AQ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X23" i="2" a="1"/>
  <c r="W23" i="2" a="1"/>
  <c r="W23" i="2" s="1"/>
  <c r="V23" i="2"/>
  <c r="V23" i="2" a="1"/>
  <c r="U23" i="2" a="1"/>
  <c r="U23" i="2" s="1"/>
  <c r="T23" i="2"/>
  <c r="T23" i="2" a="1"/>
  <c r="Q23" i="2"/>
  <c r="P23" i="2" a="1"/>
  <c r="P23" i="2" s="1"/>
  <c r="O23" i="2" a="1"/>
  <c r="O23" i="2" s="1"/>
  <c r="N23" i="2" a="1"/>
  <c r="N23" i="2" s="1"/>
  <c r="M23" i="2"/>
  <c r="M23" i="2" a="1"/>
  <c r="I23" i="2"/>
  <c r="S23" i="2" s="1"/>
  <c r="H23" i="2"/>
  <c r="D23" i="2"/>
  <c r="C23" i="2"/>
  <c r="B23" i="2"/>
  <c r="A23" i="2"/>
  <c r="BW22" i="2"/>
  <c r="BV22" i="2"/>
  <c r="BU22" i="2"/>
  <c r="BT22" i="2"/>
  <c r="BS22" i="2"/>
  <c r="BR22" i="2"/>
  <c r="BQ22" i="2" a="1"/>
  <c r="BQ22" i="2" s="1"/>
  <c r="BP22" i="2" a="1"/>
  <c r="BP22" i="2" s="1"/>
  <c r="BO22" i="2" a="1"/>
  <c r="BO22" i="2" s="1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BI22" i="2" s="1"/>
  <c r="AR22" i="2"/>
  <c r="AQ22" i="2"/>
  <c r="AJ22" i="2"/>
  <c r="AM22" i="2" s="1"/>
  <c r="AI22" i="2"/>
  <c r="AH22" i="2"/>
  <c r="AK22" i="2" s="1"/>
  <c r="AG22" i="2"/>
  <c r="AF22" i="2"/>
  <c r="AE22" i="2"/>
  <c r="AD22" i="2"/>
  <c r="AC22" i="2"/>
  <c r="AB22" i="2"/>
  <c r="AA22" i="2"/>
  <c r="Z22" i="2"/>
  <c r="Y22" i="2"/>
  <c r="X22" i="2" a="1"/>
  <c r="X22" i="2" s="1"/>
  <c r="W22" i="2" a="1"/>
  <c r="W22" i="2" s="1"/>
  <c r="V22" i="2" a="1"/>
  <c r="V22" i="2" s="1"/>
  <c r="U22" i="2" a="1"/>
  <c r="U22" i="2" s="1"/>
  <c r="T22" i="2" a="1"/>
  <c r="T22" i="2" s="1"/>
  <c r="S22" i="2"/>
  <c r="P22" i="2" a="1"/>
  <c r="P22" i="2" s="1"/>
  <c r="O22" i="2"/>
  <c r="O22" i="2" a="1"/>
  <c r="N22" i="2" a="1"/>
  <c r="N22" i="2" s="1"/>
  <c r="M22" i="2" a="1"/>
  <c r="M22" i="2" s="1"/>
  <c r="I22" i="2"/>
  <c r="Q22" i="2" s="1"/>
  <c r="H22" i="2"/>
  <c r="D22" i="2"/>
  <c r="C22" i="2"/>
  <c r="B22" i="2"/>
  <c r="A22" i="2"/>
  <c r="BW21" i="2"/>
  <c r="BV21" i="2"/>
  <c r="BU21" i="2"/>
  <c r="BT21" i="2"/>
  <c r="BS21" i="2"/>
  <c r="BR21" i="2"/>
  <c r="BQ21" i="2" a="1"/>
  <c r="BQ21" i="2" s="1"/>
  <c r="BP21" i="2" a="1"/>
  <c r="BP21" i="2" s="1"/>
  <c r="BO21" i="2"/>
  <c r="BO21" i="2" a="1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J21" i="2"/>
  <c r="AI21" i="2"/>
  <c r="AH21" i="2"/>
  <c r="AK21" i="2" s="1"/>
  <c r="AG21" i="2"/>
  <c r="AF21" i="2"/>
  <c r="AE21" i="2"/>
  <c r="AD21" i="2"/>
  <c r="AM21" i="2" s="1"/>
  <c r="AC21" i="2"/>
  <c r="AL21" i="2" s="1"/>
  <c r="AB21" i="2"/>
  <c r="AA21" i="2"/>
  <c r="Z21" i="2"/>
  <c r="Y21" i="2"/>
  <c r="X21" i="2" a="1"/>
  <c r="X21" i="2" s="1"/>
  <c r="W21" i="2" a="1"/>
  <c r="W21" i="2" s="1"/>
  <c r="V21" i="2"/>
  <c r="V21" i="2" a="1"/>
  <c r="U21" i="2" a="1"/>
  <c r="U21" i="2" s="1"/>
  <c r="T21" i="2" a="1"/>
  <c r="T21" i="2" s="1"/>
  <c r="P21" i="2" a="1"/>
  <c r="P21" i="2" s="1"/>
  <c r="O21" i="2" a="1"/>
  <c r="O21" i="2" s="1"/>
  <c r="N21" i="2" a="1"/>
  <c r="N21" i="2" s="1"/>
  <c r="M21" i="2" a="1"/>
  <c r="M21" i="2" s="1"/>
  <c r="I21" i="2"/>
  <c r="R21" i="2" s="1"/>
  <c r="H21" i="2"/>
  <c r="D21" i="2"/>
  <c r="C21" i="2"/>
  <c r="B21" i="2"/>
  <c r="A21" i="2"/>
  <c r="BW20" i="2"/>
  <c r="BV20" i="2"/>
  <c r="BU20" i="2"/>
  <c r="BT20" i="2"/>
  <c r="BS20" i="2"/>
  <c r="BR20" i="2"/>
  <c r="BQ20" i="2" a="1"/>
  <c r="BQ20" i="2" s="1"/>
  <c r="BP20" i="2" a="1"/>
  <c r="BP20" i="2" s="1"/>
  <c r="BO20" i="2" a="1"/>
  <c r="BO20" i="2" s="1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J20" i="2"/>
  <c r="AI20" i="2"/>
  <c r="AH20" i="2"/>
  <c r="AG20" i="2"/>
  <c r="AM20" i="2" s="1"/>
  <c r="AF20" i="2"/>
  <c r="AE20" i="2"/>
  <c r="AD20" i="2"/>
  <c r="AC20" i="2"/>
  <c r="AB20" i="2"/>
  <c r="AA20" i="2"/>
  <c r="Z20" i="2"/>
  <c r="Y20" i="2"/>
  <c r="X20" i="2" a="1"/>
  <c r="X20" i="2" s="1"/>
  <c r="W20" i="2" a="1"/>
  <c r="W20" i="2" s="1"/>
  <c r="V20" i="2" a="1"/>
  <c r="V20" i="2" s="1"/>
  <c r="U20" i="2" a="1"/>
  <c r="U20" i="2" s="1"/>
  <c r="T20" i="2" a="1"/>
  <c r="T20" i="2" s="1"/>
  <c r="P20" i="2" a="1"/>
  <c r="P20" i="2" s="1"/>
  <c r="O20" i="2" a="1"/>
  <c r="O20" i="2" s="1"/>
  <c r="N20" i="2"/>
  <c r="N20" i="2" a="1"/>
  <c r="M20" i="2" a="1"/>
  <c r="M20" i="2" s="1"/>
  <c r="I20" i="2"/>
  <c r="H20" i="2"/>
  <c r="D20" i="2"/>
  <c r="C20" i="2"/>
  <c r="B20" i="2"/>
  <c r="A20" i="2"/>
  <c r="BW19" i="2"/>
  <c r="BV19" i="2"/>
  <c r="BU19" i="2"/>
  <c r="BT19" i="2"/>
  <c r="BS19" i="2"/>
  <c r="BR19" i="2"/>
  <c r="BR28" i="2" s="1" a="1"/>
  <c r="BR28" i="2" s="1"/>
  <c r="BQ19" i="2"/>
  <c r="BQ19" i="2" a="1"/>
  <c r="BP19" i="2" a="1"/>
  <c r="BP19" i="2" s="1"/>
  <c r="BP28" i="2" s="1" a="1"/>
  <c r="BP28" i="2" s="1"/>
  <c r="BO19" i="2"/>
  <c r="BO19" i="2" a="1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X19" i="2" a="1"/>
  <c r="W19" i="2"/>
  <c r="W19" i="2" a="1"/>
  <c r="V19" i="2"/>
  <c r="V19" i="2" a="1"/>
  <c r="U19" i="2" a="1"/>
  <c r="U19" i="2" s="1"/>
  <c r="T19" i="2"/>
  <c r="T19" i="2" a="1"/>
  <c r="R19" i="2"/>
  <c r="Q19" i="2"/>
  <c r="P19" i="2" a="1"/>
  <c r="P19" i="2" s="1"/>
  <c r="O19" i="2" a="1"/>
  <c r="O19" i="2" s="1"/>
  <c r="N19" i="2" a="1"/>
  <c r="N19" i="2" s="1"/>
  <c r="M19" i="2" a="1"/>
  <c r="M19" i="2" s="1"/>
  <c r="I19" i="2"/>
  <c r="S19" i="2" s="1"/>
  <c r="S28" i="2" s="1"/>
  <c r="H19" i="2"/>
  <c r="D19" i="2"/>
  <c r="C19" i="2"/>
  <c r="B19" i="2"/>
  <c r="A19" i="2"/>
  <c r="V17" i="2"/>
  <c r="BW16" i="2"/>
  <c r="BV16" i="2"/>
  <c r="BU16" i="2"/>
  <c r="BT16" i="2"/>
  <c r="BS16" i="2"/>
  <c r="BR16" i="2"/>
  <c r="BQ16" i="2"/>
  <c r="BQ16" i="2" a="1"/>
  <c r="BP16" i="2" a="1"/>
  <c r="BP16" i="2" s="1"/>
  <c r="BO16" i="2"/>
  <c r="BO16" i="2" a="1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J16" i="2"/>
  <c r="AI16" i="2"/>
  <c r="AH16" i="2"/>
  <c r="AG16" i="2"/>
  <c r="AF16" i="2"/>
  <c r="AL16" i="2" s="1"/>
  <c r="AO16" i="2" s="1"/>
  <c r="AE16" i="2"/>
  <c r="AD16" i="2"/>
  <c r="AC16" i="2"/>
  <c r="AB16" i="2"/>
  <c r="AK16" i="2" s="1"/>
  <c r="AN16" i="2" s="1"/>
  <c r="AA16" i="2"/>
  <c r="Z16" i="2"/>
  <c r="Y16" i="2"/>
  <c r="X16" i="2"/>
  <c r="X16" i="2" a="1"/>
  <c r="W16" i="2" a="1"/>
  <c r="W16" i="2" s="1"/>
  <c r="V16" i="2"/>
  <c r="V16" i="2" a="1"/>
  <c r="U16" i="2" a="1"/>
  <c r="U16" i="2" s="1"/>
  <c r="T16" i="2"/>
  <c r="T16" i="2" a="1"/>
  <c r="P16" i="2" a="1"/>
  <c r="P16" i="2" s="1"/>
  <c r="O16" i="2" a="1"/>
  <c r="O16" i="2" s="1"/>
  <c r="N16" i="2" a="1"/>
  <c r="N16" i="2" s="1"/>
  <c r="M16" i="2" a="1"/>
  <c r="M16" i="2" s="1"/>
  <c r="I16" i="2"/>
  <c r="S16" i="2" s="1"/>
  <c r="H16" i="2"/>
  <c r="D16" i="2"/>
  <c r="C16" i="2"/>
  <c r="B16" i="2"/>
  <c r="A16" i="2"/>
  <c r="BW15" i="2"/>
  <c r="BV15" i="2"/>
  <c r="BV17" i="2" s="1"/>
  <c r="BU15" i="2"/>
  <c r="BT15" i="2"/>
  <c r="BS15" i="2"/>
  <c r="BR15" i="2"/>
  <c r="BQ15" i="2" a="1"/>
  <c r="BQ15" i="2" s="1"/>
  <c r="BP15" i="2" a="1"/>
  <c r="BP15" i="2" s="1"/>
  <c r="BO15" i="2" a="1"/>
  <c r="BO15" i="2" s="1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J15" i="2"/>
  <c r="AI15" i="2"/>
  <c r="AH15" i="2"/>
  <c r="AK15" i="2" s="1"/>
  <c r="AG15" i="2"/>
  <c r="AF15" i="2"/>
  <c r="AE15" i="2"/>
  <c r="AD15" i="2"/>
  <c r="AC15" i="2"/>
  <c r="AB15" i="2"/>
  <c r="AA15" i="2"/>
  <c r="Z15" i="2"/>
  <c r="Y15" i="2"/>
  <c r="X15" i="2" a="1"/>
  <c r="X15" i="2" s="1"/>
  <c r="W15" i="2" a="1"/>
  <c r="W15" i="2" s="1"/>
  <c r="V15" i="2" a="1"/>
  <c r="V15" i="2" s="1"/>
  <c r="U15" i="2" a="1"/>
  <c r="U15" i="2" s="1"/>
  <c r="T15" i="2" a="1"/>
  <c r="T15" i="2" s="1"/>
  <c r="P15" i="2" a="1"/>
  <c r="P15" i="2" s="1"/>
  <c r="O15" i="2" a="1"/>
  <c r="O15" i="2" s="1"/>
  <c r="N15" i="2"/>
  <c r="N15" i="2" a="1"/>
  <c r="M15" i="2" a="1"/>
  <c r="M15" i="2" s="1"/>
  <c r="I15" i="2"/>
  <c r="Q15" i="2" s="1"/>
  <c r="H15" i="2"/>
  <c r="D15" i="2"/>
  <c r="C15" i="2"/>
  <c r="B15" i="2"/>
  <c r="A15" i="2"/>
  <c r="BW14" i="2"/>
  <c r="BV14" i="2"/>
  <c r="BU14" i="2"/>
  <c r="BT14" i="2"/>
  <c r="BS14" i="2"/>
  <c r="BR14" i="2"/>
  <c r="BQ14" i="2"/>
  <c r="BQ14" i="2" a="1"/>
  <c r="BP14" i="2" a="1"/>
  <c r="BP14" i="2" s="1"/>
  <c r="BO14" i="2" a="1"/>
  <c r="BO14" i="2" s="1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J14" i="2"/>
  <c r="AI14" i="2"/>
  <c r="AH14" i="2"/>
  <c r="AK14" i="2" s="1"/>
  <c r="AG14" i="2"/>
  <c r="AF14" i="2"/>
  <c r="AE14" i="2"/>
  <c r="AD14" i="2"/>
  <c r="AC14" i="2"/>
  <c r="AL14" i="2" s="1"/>
  <c r="AB14" i="2"/>
  <c r="AA14" i="2"/>
  <c r="Z14" i="2"/>
  <c r="Y14" i="2"/>
  <c r="X14" i="2"/>
  <c r="X14" i="2" a="1"/>
  <c r="W14" i="2"/>
  <c r="W14" i="2" a="1"/>
  <c r="V14" i="2"/>
  <c r="V14" i="2" a="1"/>
  <c r="U14" i="2" a="1"/>
  <c r="U14" i="2" s="1"/>
  <c r="T14" i="2"/>
  <c r="T14" i="2" a="1"/>
  <c r="S14" i="2"/>
  <c r="Q14" i="2"/>
  <c r="P14" i="2" a="1"/>
  <c r="P14" i="2" s="1"/>
  <c r="O14" i="2" a="1"/>
  <c r="O14" i="2" s="1"/>
  <c r="N14" i="2" a="1"/>
  <c r="N14" i="2" s="1"/>
  <c r="M14" i="2" a="1"/>
  <c r="M14" i="2" s="1"/>
  <c r="I14" i="2"/>
  <c r="R14" i="2" s="1"/>
  <c r="H14" i="2"/>
  <c r="D14" i="2"/>
  <c r="C14" i="2"/>
  <c r="B14" i="2"/>
  <c r="A14" i="2"/>
  <c r="BW13" i="2"/>
  <c r="BV13" i="2"/>
  <c r="BU13" i="2"/>
  <c r="BT13" i="2"/>
  <c r="BS13" i="2"/>
  <c r="BR13" i="2"/>
  <c r="BQ13" i="2" a="1"/>
  <c r="BQ13" i="2" s="1"/>
  <c r="BQ17" i="2" s="1"/>
  <c r="BP13" i="2" a="1"/>
  <c r="BP13" i="2" s="1"/>
  <c r="BP17" i="2" s="1"/>
  <c r="BO13" i="2" a="1"/>
  <c r="BO13" i="2" s="1"/>
  <c r="BO17" i="2" s="1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J13" i="2"/>
  <c r="AM13" i="2" s="1"/>
  <c r="AM17" i="2" s="1"/>
  <c r="AI13" i="2"/>
  <c r="AL13" i="2" s="1"/>
  <c r="AH13" i="2"/>
  <c r="AG13" i="2"/>
  <c r="AF13" i="2"/>
  <c r="AE13" i="2"/>
  <c r="AD13" i="2"/>
  <c r="AC13" i="2"/>
  <c r="AB13" i="2"/>
  <c r="AA13" i="2"/>
  <c r="AA17" i="2" s="1"/>
  <c r="Z13" i="2"/>
  <c r="Y13" i="2"/>
  <c r="X13" i="2" a="1"/>
  <c r="X13" i="2" s="1"/>
  <c r="W13" i="2" a="1"/>
  <c r="W13" i="2" s="1"/>
  <c r="V13" i="2" a="1"/>
  <c r="V13" i="2" s="1"/>
  <c r="U13" i="2" a="1"/>
  <c r="U13" i="2" s="1"/>
  <c r="U17" i="2" s="1"/>
  <c r="T13" i="2" a="1"/>
  <c r="T13" i="2" s="1"/>
  <c r="T17" i="2" s="1"/>
  <c r="R13" i="2"/>
  <c r="R17" i="2" s="1"/>
  <c r="P13" i="2"/>
  <c r="P17" i="2" s="1"/>
  <c r="P13" i="2" a="1"/>
  <c r="O13" i="2" a="1"/>
  <c r="O13" i="2" s="1"/>
  <c r="O17" i="2" s="1"/>
  <c r="N13" i="2"/>
  <c r="N17" i="2" s="1"/>
  <c r="N13" i="2" a="1"/>
  <c r="M13" i="2"/>
  <c r="M17" i="2" s="1"/>
  <c r="M13" i="2" a="1"/>
  <c r="I13" i="2"/>
  <c r="H13" i="2"/>
  <c r="D13" i="2"/>
  <c r="C13" i="2"/>
  <c r="B13" i="2"/>
  <c r="A13" i="2"/>
  <c r="BW11" i="2"/>
  <c r="U11" i="2"/>
  <c r="M11" i="2"/>
  <c r="BW10" i="2"/>
  <c r="BV10" i="2"/>
  <c r="BU10" i="2"/>
  <c r="BU11" i="2" s="1"/>
  <c r="BT10" i="2"/>
  <c r="BS10" i="2"/>
  <c r="BR10" i="2"/>
  <c r="BQ10" i="2" a="1"/>
  <c r="BQ10" i="2" s="1"/>
  <c r="BP10" i="2" a="1"/>
  <c r="BP10" i="2" s="1"/>
  <c r="BO10" i="2" a="1"/>
  <c r="BO10" i="2" s="1"/>
  <c r="BH10" i="2"/>
  <c r="BG10" i="2"/>
  <c r="BF10" i="2"/>
  <c r="BE10" i="2"/>
  <c r="BD10" i="2"/>
  <c r="BC10" i="2"/>
  <c r="BB10" i="2"/>
  <c r="BA10" i="2"/>
  <c r="AZ10" i="2"/>
  <c r="AY10" i="2"/>
  <c r="BJ10" i="2" s="1"/>
  <c r="BM10" i="2" s="1"/>
  <c r="AX10" i="2"/>
  <c r="AW10" i="2"/>
  <c r="AV10" i="2"/>
  <c r="AU10" i="2"/>
  <c r="AT10" i="2"/>
  <c r="AS10" i="2"/>
  <c r="AR10" i="2"/>
  <c r="AQ10" i="2"/>
  <c r="AJ10" i="2"/>
  <c r="AI10" i="2"/>
  <c r="AH10" i="2"/>
  <c r="AG10" i="2"/>
  <c r="AF10" i="2"/>
  <c r="AE10" i="2"/>
  <c r="AD10" i="2"/>
  <c r="AM10" i="2" s="1"/>
  <c r="AC10" i="2"/>
  <c r="AB10" i="2"/>
  <c r="AA10" i="2"/>
  <c r="Z10" i="2"/>
  <c r="Y10" i="2"/>
  <c r="X10" i="2" a="1"/>
  <c r="X10" i="2" s="1"/>
  <c r="W10" i="2" a="1"/>
  <c r="W10" i="2" s="1"/>
  <c r="V10" i="2" a="1"/>
  <c r="V10" i="2" s="1"/>
  <c r="U10" i="2" a="1"/>
  <c r="U10" i="2" s="1"/>
  <c r="T10" i="2" a="1"/>
  <c r="T10" i="2" s="1"/>
  <c r="P10" i="2" a="1"/>
  <c r="P10" i="2" s="1"/>
  <c r="O10" i="2"/>
  <c r="O10" i="2" a="1"/>
  <c r="N10" i="2"/>
  <c r="N10" i="2" a="1"/>
  <c r="M10" i="2"/>
  <c r="M10" i="2" a="1"/>
  <c r="I10" i="2"/>
  <c r="R10" i="2" s="1"/>
  <c r="H10" i="2"/>
  <c r="D10" i="2"/>
  <c r="C10" i="2"/>
  <c r="B10" i="2"/>
  <c r="A10" i="2"/>
  <c r="BW9" i="2"/>
  <c r="BV9" i="2"/>
  <c r="BU9" i="2"/>
  <c r="BT9" i="2"/>
  <c r="BS9" i="2"/>
  <c r="BR9" i="2"/>
  <c r="BQ9" i="2"/>
  <c r="BQ9" i="2" a="1"/>
  <c r="BP9" i="2"/>
  <c r="BP9" i="2" a="1"/>
  <c r="BO9" i="2" a="1"/>
  <c r="BO9" i="2" s="1"/>
  <c r="BH9" i="2"/>
  <c r="BG9" i="2"/>
  <c r="BF9" i="2"/>
  <c r="BE9" i="2"/>
  <c r="BD9" i="2"/>
  <c r="BC9" i="2"/>
  <c r="BB9" i="2"/>
  <c r="BA9" i="2"/>
  <c r="AZ9" i="2"/>
  <c r="AY9" i="2"/>
  <c r="BJ9" i="2" s="1"/>
  <c r="AX9" i="2"/>
  <c r="AW9" i="2"/>
  <c r="AV9" i="2"/>
  <c r="AU9" i="2"/>
  <c r="AT9" i="2"/>
  <c r="AS9" i="2"/>
  <c r="AR9" i="2"/>
  <c r="AQ9" i="2"/>
  <c r="AJ9" i="2"/>
  <c r="AI9" i="2"/>
  <c r="AH9" i="2"/>
  <c r="AG9" i="2"/>
  <c r="AF9" i="2"/>
  <c r="AE9" i="2"/>
  <c r="AD9" i="2"/>
  <c r="AC9" i="2"/>
  <c r="AL9" i="2" s="1"/>
  <c r="AB9" i="2"/>
  <c r="AA9" i="2"/>
  <c r="Z9" i="2"/>
  <c r="Y9" i="2"/>
  <c r="X9" i="2"/>
  <c r="X9" i="2" a="1"/>
  <c r="W9" i="2"/>
  <c r="W9" i="2" a="1"/>
  <c r="V9" i="2"/>
  <c r="V9" i="2" a="1"/>
  <c r="U9" i="2" a="1"/>
  <c r="U9" i="2" s="1"/>
  <c r="T9" i="2"/>
  <c r="T9" i="2" a="1"/>
  <c r="S9" i="2"/>
  <c r="R9" i="2"/>
  <c r="Q9" i="2"/>
  <c r="P9" i="2" a="1"/>
  <c r="P9" i="2" s="1"/>
  <c r="O9" i="2" a="1"/>
  <c r="O9" i="2" s="1"/>
  <c r="N9" i="2" a="1"/>
  <c r="N9" i="2" s="1"/>
  <c r="M9" i="2" a="1"/>
  <c r="M9" i="2" s="1"/>
  <c r="I9" i="2"/>
  <c r="H9" i="2"/>
  <c r="D9" i="2"/>
  <c r="C9" i="2"/>
  <c r="B9" i="2"/>
  <c r="A9" i="2"/>
  <c r="BW8" i="2"/>
  <c r="BV8" i="2"/>
  <c r="BU8" i="2"/>
  <c r="BT8" i="2"/>
  <c r="BS8" i="2"/>
  <c r="BR8" i="2"/>
  <c r="BQ8" i="2" a="1"/>
  <c r="BQ8" i="2" s="1"/>
  <c r="BP8" i="2" a="1"/>
  <c r="BP8" i="2" s="1"/>
  <c r="BO8" i="2" a="1"/>
  <c r="BO8" i="2" s="1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BI8" i="2" s="1"/>
  <c r="AR8" i="2"/>
  <c r="AQ8" i="2"/>
  <c r="AK8" i="2"/>
  <c r="AJ8" i="2"/>
  <c r="AI8" i="2"/>
  <c r="AH8" i="2"/>
  <c r="AG8" i="2"/>
  <c r="AF8" i="2"/>
  <c r="AE8" i="2"/>
  <c r="AD8" i="2"/>
  <c r="AM8" i="2" s="1"/>
  <c r="AC8" i="2"/>
  <c r="AL8" i="2" s="1"/>
  <c r="AO8" i="2" s="1"/>
  <c r="AB8" i="2"/>
  <c r="AA8" i="2"/>
  <c r="Z8" i="2"/>
  <c r="Y8" i="2"/>
  <c r="X8" i="2" a="1"/>
  <c r="X8" i="2" s="1"/>
  <c r="W8" i="2" a="1"/>
  <c r="W8" i="2" s="1"/>
  <c r="V8" i="2" a="1"/>
  <c r="V8" i="2" s="1"/>
  <c r="U8" i="2" a="1"/>
  <c r="U8" i="2" s="1"/>
  <c r="T8" i="2" a="1"/>
  <c r="T8" i="2" s="1"/>
  <c r="P8" i="2"/>
  <c r="P8" i="2" a="1"/>
  <c r="O8" i="2" a="1"/>
  <c r="O8" i="2" s="1"/>
  <c r="N8" i="2"/>
  <c r="N8" i="2" a="1"/>
  <c r="M8" i="2" a="1"/>
  <c r="M8" i="2" s="1"/>
  <c r="I8" i="2"/>
  <c r="Q8" i="2" s="1"/>
  <c r="H8" i="2"/>
  <c r="D8" i="2"/>
  <c r="C8" i="2"/>
  <c r="B8" i="2"/>
  <c r="A8" i="2"/>
  <c r="BW7" i="2"/>
  <c r="BV7" i="2"/>
  <c r="BU7" i="2"/>
  <c r="BT7" i="2"/>
  <c r="BS7" i="2"/>
  <c r="BR7" i="2"/>
  <c r="BQ7" i="2"/>
  <c r="BQ7" i="2" a="1"/>
  <c r="BP7" i="2" a="1"/>
  <c r="BP7" i="2" s="1"/>
  <c r="BO7" i="2"/>
  <c r="BO7" i="2" a="1"/>
  <c r="BH7" i="2"/>
  <c r="BG7" i="2"/>
  <c r="BF7" i="2"/>
  <c r="BE7" i="2"/>
  <c r="BD7" i="2"/>
  <c r="BC7" i="2"/>
  <c r="BB7" i="2"/>
  <c r="BA7" i="2"/>
  <c r="AZ7" i="2"/>
  <c r="AY7" i="2"/>
  <c r="BJ7" i="2" s="1"/>
  <c r="AX7" i="2"/>
  <c r="AW7" i="2"/>
  <c r="AV7" i="2"/>
  <c r="AU7" i="2"/>
  <c r="AT7" i="2"/>
  <c r="AS7" i="2"/>
  <c r="AR7" i="2"/>
  <c r="AQ7" i="2"/>
  <c r="AJ7" i="2"/>
  <c r="AI7" i="2"/>
  <c r="AH7" i="2"/>
  <c r="AK7" i="2" s="1"/>
  <c r="AN7" i="2" s="1"/>
  <c r="AG7" i="2"/>
  <c r="AF7" i="2"/>
  <c r="AE7" i="2"/>
  <c r="AD7" i="2"/>
  <c r="AM7" i="2" s="1"/>
  <c r="AC7" i="2"/>
  <c r="AB7" i="2"/>
  <c r="AA7" i="2"/>
  <c r="Z7" i="2"/>
  <c r="Y7" i="2"/>
  <c r="X7" i="2"/>
  <c r="X7" i="2" a="1"/>
  <c r="W7" i="2"/>
  <c r="W7" i="2" a="1"/>
  <c r="V7" i="2"/>
  <c r="V7" i="2" a="1"/>
  <c r="U7" i="2" a="1"/>
  <c r="U7" i="2" s="1"/>
  <c r="T7" i="2"/>
  <c r="T7" i="2" a="1"/>
  <c r="S7" i="2"/>
  <c r="Q7" i="2"/>
  <c r="P7" i="2" a="1"/>
  <c r="P7" i="2" s="1"/>
  <c r="O7" i="2" a="1"/>
  <c r="O7" i="2" s="1"/>
  <c r="N7" i="2" a="1"/>
  <c r="N7" i="2" s="1"/>
  <c r="M7" i="2" a="1"/>
  <c r="M7" i="2" s="1"/>
  <c r="I7" i="2"/>
  <c r="R7" i="2" s="1"/>
  <c r="H7" i="2"/>
  <c r="D7" i="2"/>
  <c r="C7" i="2"/>
  <c r="B7" i="2"/>
  <c r="A7" i="2"/>
  <c r="BW6" i="2"/>
  <c r="BV6" i="2"/>
  <c r="BU6" i="2"/>
  <c r="BT6" i="2"/>
  <c r="BT11" i="2" s="1"/>
  <c r="BT17" i="2" s="1"/>
  <c r="BS6" i="2"/>
  <c r="BS11" i="2" s="1"/>
  <c r="BS17" i="2" s="1"/>
  <c r="BR6" i="2"/>
  <c r="BR11" i="2" s="1"/>
  <c r="BR17" i="2" s="1"/>
  <c r="BQ6" i="2" a="1"/>
  <c r="BQ6" i="2" s="1"/>
  <c r="BQ11" i="2" s="1"/>
  <c r="BP6" i="2" a="1"/>
  <c r="BP6" i="2" s="1"/>
  <c r="BP11" i="2" s="1"/>
  <c r="BO6" i="2" a="1"/>
  <c r="BO6" i="2" s="1"/>
  <c r="BO11" i="2" s="1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J6" i="2"/>
  <c r="AI6" i="2"/>
  <c r="AL6" i="2" s="1"/>
  <c r="AO6" i="2" s="1"/>
  <c r="AH6" i="2"/>
  <c r="AG6" i="2"/>
  <c r="AF6" i="2"/>
  <c r="AE6" i="2"/>
  <c r="AD6" i="2"/>
  <c r="AC6" i="2"/>
  <c r="AB6" i="2"/>
  <c r="AA6" i="2"/>
  <c r="AA11" i="2" s="1"/>
  <c r="Z6" i="2"/>
  <c r="Y6" i="2"/>
  <c r="X6" i="2" a="1"/>
  <c r="X6" i="2" s="1"/>
  <c r="W6" i="2" a="1"/>
  <c r="W6" i="2" s="1"/>
  <c r="V6" i="2" a="1"/>
  <c r="V6" i="2" s="1"/>
  <c r="V11" i="2" s="1"/>
  <c r="U6" i="2" a="1"/>
  <c r="U6" i="2" s="1"/>
  <c r="T6" i="2" a="1"/>
  <c r="T6" i="2" s="1"/>
  <c r="T11" i="2" s="1"/>
  <c r="P6" i="2"/>
  <c r="P11" i="2" s="1"/>
  <c r="P6" i="2" a="1"/>
  <c r="O6" i="2"/>
  <c r="O11" i="2" s="1"/>
  <c r="O6" i="2" a="1"/>
  <c r="N6" i="2" a="1"/>
  <c r="N6" i="2" s="1"/>
  <c r="N11" i="2" s="1"/>
  <c r="M6" i="2"/>
  <c r="M6" i="2" a="1"/>
  <c r="I6" i="2"/>
  <c r="H6" i="2"/>
  <c r="D6" i="2"/>
  <c r="C6" i="2"/>
  <c r="B6" i="2"/>
  <c r="A6" i="2"/>
  <c r="I3" i="2"/>
  <c r="BJ8" i="2" l="1"/>
  <c r="BM8" i="2" s="1"/>
  <c r="BK8" i="2"/>
  <c r="BJ14" i="2"/>
  <c r="BK23" i="2"/>
  <c r="BS28" i="2" a="1"/>
  <c r="BS28" i="2" s="1"/>
  <c r="AL24" i="2"/>
  <c r="BN26" i="2"/>
  <c r="Q26" i="2"/>
  <c r="BJ26" i="2"/>
  <c r="BK32" i="2"/>
  <c r="BI7" i="2"/>
  <c r="BL7" i="2" s="1"/>
  <c r="AK10" i="2"/>
  <c r="AN10" i="2" s="1"/>
  <c r="BI15" i="2"/>
  <c r="AL20" i="2"/>
  <c r="AO20" i="2" s="1"/>
  <c r="Q21" i="2"/>
  <c r="AL23" i="2"/>
  <c r="AO23" i="2" s="1"/>
  <c r="S25" i="2"/>
  <c r="BI25" i="2"/>
  <c r="BL25" i="2" s="1"/>
  <c r="R26" i="2"/>
  <c r="BJ31" i="2"/>
  <c r="BJ6" i="2"/>
  <c r="BM6" i="2" s="1"/>
  <c r="BM11" i="2" s="1"/>
  <c r="AL7" i="2"/>
  <c r="BV11" i="2"/>
  <c r="BI9" i="2"/>
  <c r="BL9" i="2" s="1"/>
  <c r="BI10" i="2"/>
  <c r="BU17" i="2"/>
  <c r="Y17" i="2"/>
  <c r="AM15" i="2"/>
  <c r="BJ16" i="2"/>
  <c r="BM16" i="2" s="1"/>
  <c r="AL19" i="2"/>
  <c r="AO19" i="2" s="1"/>
  <c r="BU28" i="2" a="1"/>
  <c r="BU28" i="2" s="1"/>
  <c r="S21" i="2"/>
  <c r="R22" i="2"/>
  <c r="AK23" i="2"/>
  <c r="AN23" i="2" s="1"/>
  <c r="AM23" i="2"/>
  <c r="BJ25" i="2"/>
  <c r="BM25" i="2" s="1"/>
  <c r="BI26" i="2"/>
  <c r="BL26" i="2" s="1"/>
  <c r="Q27" i="2"/>
  <c r="BJ27" i="2"/>
  <c r="AK31" i="2"/>
  <c r="AN31" i="2" s="1"/>
  <c r="BJ32" i="2"/>
  <c r="AK13" i="2"/>
  <c r="R15" i="2"/>
  <c r="AM16" i="2"/>
  <c r="M28" i="2"/>
  <c r="Y28" i="2" a="1"/>
  <c r="Y28" i="2" s="1"/>
  <c r="BV28" i="2" a="1"/>
  <c r="BV28" i="2" s="1"/>
  <c r="BJ21" i="2"/>
  <c r="S27" i="2"/>
  <c r="BI27" i="2"/>
  <c r="BL27" i="2" s="1"/>
  <c r="BI31" i="2"/>
  <c r="BL31" i="2" s="1"/>
  <c r="AK6" i="2"/>
  <c r="AK11" i="2" s="1"/>
  <c r="R8" i="2"/>
  <c r="BK10" i="2"/>
  <c r="BI13" i="2"/>
  <c r="BL13" i="2" s="1"/>
  <c r="BL17" i="2" s="1"/>
  <c r="BK14" i="2"/>
  <c r="BN14" i="2" s="1"/>
  <c r="S15" i="2"/>
  <c r="Q16" i="2"/>
  <c r="U28" i="2" a="1"/>
  <c r="U28" i="2" s="1"/>
  <c r="BW28" i="2" a="1"/>
  <c r="BW28" i="2" s="1"/>
  <c r="BJ20" i="2"/>
  <c r="BM20" i="2" s="1"/>
  <c r="BK20" i="2"/>
  <c r="BK21" i="2"/>
  <c r="BK22" i="2"/>
  <c r="AL26" i="2"/>
  <c r="BK26" i="2"/>
  <c r="BI32" i="2"/>
  <c r="S8" i="2"/>
  <c r="BW17" i="2"/>
  <c r="BK15" i="2"/>
  <c r="BN15" i="2" s="1"/>
  <c r="R16" i="2"/>
  <c r="AA28" i="2" a="1"/>
  <c r="AA28" i="2" s="1"/>
  <c r="BJ19" i="2"/>
  <c r="BM19" i="2" s="1"/>
  <c r="BK19" i="2"/>
  <c r="AK20" i="2"/>
  <c r="AN20" i="2" s="1"/>
  <c r="AL22" i="2"/>
  <c r="AO22" i="2" s="1"/>
  <c r="R23" i="2"/>
  <c r="R28" i="2" s="1"/>
  <c r="BI23" i="2"/>
  <c r="BL23" i="2" s="1"/>
  <c r="Q24" i="2"/>
  <c r="BI24" i="2"/>
  <c r="AM25" i="2"/>
  <c r="BK25" i="2"/>
  <c r="BN25" i="2" s="1"/>
  <c r="BK27" i="2"/>
  <c r="BN27" i="2" s="1"/>
  <c r="BK31" i="2"/>
  <c r="BN31" i="2" s="1"/>
  <c r="Y11" i="2"/>
  <c r="AM6" i="2"/>
  <c r="AM11" i="2" s="1"/>
  <c r="BK6" i="2"/>
  <c r="AK9" i="2"/>
  <c r="AN9" i="2" s="1"/>
  <c r="AM9" i="2"/>
  <c r="BK9" i="2"/>
  <c r="BK13" i="2"/>
  <c r="AL15" i="2"/>
  <c r="AO15" i="2" s="1"/>
  <c r="BI16" i="2"/>
  <c r="BL16" i="2" s="1"/>
  <c r="P28" i="2" a="1"/>
  <c r="P28" i="2" s="1"/>
  <c r="V28" i="2" a="1"/>
  <c r="V28" i="2" s="1"/>
  <c r="AK19" i="2"/>
  <c r="AK28" i="2" s="1" a="1"/>
  <c r="AK28" i="2" s="1"/>
  <c r="AM19" i="2"/>
  <c r="AM28" i="2" s="1" a="1"/>
  <c r="AM28" i="2" s="1"/>
  <c r="AK27" i="2"/>
  <c r="AN27" i="2" s="1"/>
  <c r="R31" i="2"/>
  <c r="AL31" i="2"/>
  <c r="AO31" i="2" s="1"/>
  <c r="AN13" i="2"/>
  <c r="AK17" i="2"/>
  <c r="AO13" i="2"/>
  <c r="AL17" i="2"/>
  <c r="BI6" i="2"/>
  <c r="BL6" i="2" s="1"/>
  <c r="BL11" i="2" s="1"/>
  <c r="BN13" i="2"/>
  <c r="BN17" i="2" s="1"/>
  <c r="N28" i="2" a="1"/>
  <c r="N28" i="2" s="1"/>
  <c r="Z28" i="2" a="1"/>
  <c r="Z28" i="2" s="1"/>
  <c r="BO28" i="2" a="1"/>
  <c r="BO28" i="2" s="1"/>
  <c r="S20" i="2"/>
  <c r="R20" i="2"/>
  <c r="Q20" i="2"/>
  <c r="Q28" i="2" s="1"/>
  <c r="BN6" i="2"/>
  <c r="BN11" i="2" s="1"/>
  <c r="Z11" i="2"/>
  <c r="S13" i="2"/>
  <c r="S17" i="2" s="1"/>
  <c r="Q13" i="2"/>
  <c r="Q17" i="2" s="1"/>
  <c r="Z17" i="2"/>
  <c r="BI14" i="2"/>
  <c r="O28" i="2" a="1"/>
  <c r="O28" i="2" s="1"/>
  <c r="BI21" i="2"/>
  <c r="BL21" i="2" s="1"/>
  <c r="BL22" i="2"/>
  <c r="BK7" i="2"/>
  <c r="BN7" i="2" s="1"/>
  <c r="BN10" i="2"/>
  <c r="AL11" i="2"/>
  <c r="AM14" i="2"/>
  <c r="AP14" i="2" s="1"/>
  <c r="BQ28" i="2" a="1"/>
  <c r="BQ28" i="2" s="1"/>
  <c r="BI20" i="2"/>
  <c r="BL20" i="2" s="1"/>
  <c r="BJ22" i="2"/>
  <c r="BM22" i="2" s="1"/>
  <c r="S6" i="2"/>
  <c r="S11" i="2" s="1"/>
  <c r="R6" i="2"/>
  <c r="R11" i="2" s="1"/>
  <c r="Q6" i="2"/>
  <c r="Q11" i="2" s="1"/>
  <c r="BL8" i="2"/>
  <c r="S10" i="2"/>
  <c r="Q10" i="2"/>
  <c r="BN19" i="2"/>
  <c r="BN24" i="2"/>
  <c r="BM21" i="2"/>
  <c r="AO21" i="2"/>
  <c r="AN21" i="2"/>
  <c r="BN21" i="2"/>
  <c r="AP21" i="2"/>
  <c r="AL10" i="2"/>
  <c r="AO10" i="2" s="1"/>
  <c r="BJ13" i="2"/>
  <c r="BM13" i="2" s="1"/>
  <c r="BM17" i="2" s="1"/>
  <c r="BJ15" i="2"/>
  <c r="BM15" i="2" s="1"/>
  <c r="BK16" i="2"/>
  <c r="BN16" i="2" s="1"/>
  <c r="BI19" i="2"/>
  <c r="BL19" i="2" s="1"/>
  <c r="BN23" i="2"/>
  <c r="BM7" i="2"/>
  <c r="AO7" i="2"/>
  <c r="AP7" i="2"/>
  <c r="BN9" i="2"/>
  <c r="BM14" i="2"/>
  <c r="AO14" i="2"/>
  <c r="BL14" i="2"/>
  <c r="AN14" i="2"/>
  <c r="T28" i="2" a="1"/>
  <c r="T28" i="2" s="1"/>
  <c r="BT28" i="2" a="1"/>
  <c r="BT28" i="2" s="1"/>
  <c r="BN20" i="2"/>
  <c r="BN32" i="2"/>
  <c r="AN32" i="2"/>
  <c r="BL32" i="2"/>
  <c r="AP8" i="2"/>
  <c r="BN8" i="2"/>
  <c r="AO9" i="2"/>
  <c r="BM9" i="2"/>
  <c r="BL10" i="2"/>
  <c r="AP22" i="2"/>
  <c r="BN22" i="2"/>
  <c r="BM23" i="2"/>
  <c r="AN24" i="2"/>
  <c r="BL24" i="2"/>
  <c r="S31" i="2"/>
  <c r="AO32" i="2"/>
  <c r="BM32" i="2"/>
  <c r="AP9" i="2"/>
  <c r="AP23" i="2"/>
  <c r="AO24" i="2"/>
  <c r="BM24" i="2"/>
  <c r="AP32" i="2"/>
  <c r="AP10" i="2"/>
  <c r="AP13" i="2"/>
  <c r="AN15" i="2"/>
  <c r="BL15" i="2"/>
  <c r="AP24" i="2"/>
  <c r="AP25" i="2"/>
  <c r="AO26" i="2"/>
  <c r="BM26" i="2"/>
  <c r="BM31" i="2"/>
  <c r="Q32" i="2"/>
  <c r="AP15" i="2"/>
  <c r="AP26" i="2"/>
  <c r="BM27" i="2"/>
  <c r="AP31" i="2"/>
  <c r="R32" i="2"/>
  <c r="AP16" i="2"/>
  <c r="AP19" i="2"/>
  <c r="Q25" i="2"/>
  <c r="AP27" i="2"/>
  <c r="AP6" i="2"/>
  <c r="AN8" i="2"/>
  <c r="AP20" i="2"/>
  <c r="AN22" i="2"/>
  <c r="AO28" i="2" l="1" a="1"/>
  <c r="AO28" i="2" s="1"/>
  <c r="BM28" i="2" a="1"/>
  <c r="BM28" i="2" s="1"/>
  <c r="AN19" i="2"/>
  <c r="AN6" i="2"/>
  <c r="AL28" i="2" a="1"/>
  <c r="AL28" i="2" s="1"/>
  <c r="AO11" i="2"/>
  <c r="AP11" i="2"/>
  <c r="AO17" i="2"/>
  <c r="AP28" i="2" a="1"/>
  <c r="AP28" i="2" s="1"/>
  <c r="AN11" i="2"/>
  <c r="AN17" i="2"/>
  <c r="AP17" i="2"/>
  <c r="BL28" i="2" a="1"/>
  <c r="BL28" i="2" s="1"/>
  <c r="BN28" i="2" a="1"/>
  <c r="BN28" i="2" s="1"/>
  <c r="AN28" i="2" a="1"/>
  <c r="AN2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<sst xmlns="http://schemas.openxmlformats.org/spreadsheetml/2006/main" count="284" uniqueCount="167">
  <si>
    <t>Last Earnings Date</t>
  </si>
  <si>
    <t>Exp. Next Earnings Date (BBG)</t>
  </si>
  <si>
    <t>Confirmed / Estimated Date (BBG)</t>
  </si>
  <si>
    <t>Sales Result</t>
  </si>
  <si>
    <t>Exp. Next Earnings Date (HC)</t>
  </si>
  <si>
    <t>Confirmed / Estimated Date (HC)</t>
  </si>
  <si>
    <t>Enterprise Value (US$)</t>
  </si>
  <si>
    <t>Market Cap ($US)</t>
  </si>
  <si>
    <t>Price / NAV Consensus</t>
  </si>
  <si>
    <t>Price / CF</t>
  </si>
  <si>
    <t>FCF Yield %</t>
  </si>
  <si>
    <t>Price / Earnings</t>
  </si>
  <si>
    <t>Net Debt / EBITDA</t>
  </si>
  <si>
    <t xml:space="preserve"> Debt / Equity</t>
  </si>
  <si>
    <t>Production guidance Cu (kt)</t>
  </si>
  <si>
    <t>Consensus</t>
  </si>
  <si>
    <t>Production Cu equ consensus (kt)</t>
  </si>
  <si>
    <t>EV/Production Cu equ ($/kt)</t>
  </si>
  <si>
    <t>Attributable Reserves</t>
  </si>
  <si>
    <t>Attributable M&amp;I Resources</t>
  </si>
  <si>
    <t>Attributable Total Resources</t>
  </si>
  <si>
    <t>Cu equ resources</t>
  </si>
  <si>
    <t>EV/Metrics Cu equ ($/t)</t>
  </si>
  <si>
    <t>EV / EBITDA</t>
  </si>
  <si>
    <t>Cash Costs Reported ($/lb)</t>
  </si>
  <si>
    <t>Cash Cost Guidance ($/lb)</t>
  </si>
  <si>
    <t>Model (Y/N)</t>
  </si>
  <si>
    <t>Stock of Interest</t>
  </si>
  <si>
    <t>Date
(BBG)</t>
  </si>
  <si>
    <t>Date
(HC)</t>
  </si>
  <si>
    <t>Bloomberg
Ticker</t>
  </si>
  <si>
    <t>Ticker</t>
  </si>
  <si>
    <t>FY2024</t>
  </si>
  <si>
    <t>FY2025</t>
  </si>
  <si>
    <t>FY2026</t>
  </si>
  <si>
    <t>2024Y</t>
  </si>
  <si>
    <t>2025Y</t>
  </si>
  <si>
    <t>2026Y</t>
  </si>
  <si>
    <t>Gold</t>
  </si>
  <si>
    <t>Silver</t>
  </si>
  <si>
    <t>Copper</t>
  </si>
  <si>
    <t>Zinc</t>
  </si>
  <si>
    <t>Lead</t>
  </si>
  <si>
    <t>Nickel</t>
  </si>
  <si>
    <t>Reserves</t>
  </si>
  <si>
    <t>M&amp;I</t>
  </si>
  <si>
    <t>M,I&amp;I</t>
  </si>
  <si>
    <t>2021Y</t>
  </si>
  <si>
    <t>2022Y</t>
  </si>
  <si>
    <t>2023Y</t>
  </si>
  <si>
    <t>SNL_EARNINGS_RELEASE_DATE</t>
  </si>
  <si>
    <t>EXPECTED_REPORT_DT</t>
  </si>
  <si>
    <t>EXPECTED_REPORT_TYP</t>
  </si>
  <si>
    <t>SALES_RESULT_DATE</t>
  </si>
  <si>
    <t>SP_PNAVPS_FWD</t>
  </si>
  <si>
    <t>SP_PCFPS_FWD</t>
  </si>
  <si>
    <t>SP_FCF_EST</t>
  </si>
  <si>
    <t>SP_FCF_FWD</t>
  </si>
  <si>
    <t>SP_PE_FWD</t>
  </si>
  <si>
    <t>IQ_NET_DEBT</t>
  </si>
  <si>
    <t>SP_DEBT_TO_EQUITY</t>
  </si>
  <si>
    <t>SNL_CONS_PRODUCTION_PROJECTION_HIGH_TONNE</t>
  </si>
  <si>
    <t>SNL_ATTRIBUTABLE_RESV_OZ</t>
  </si>
  <si>
    <t>SNL_ATTRIBUTABLE_RESV_TONNES</t>
  </si>
  <si>
    <t>SNL_ATTRIBUTABLE_M_AND_I_RESRC_OZ</t>
  </si>
  <si>
    <t>SNL_ATTRIBUTABLE_M_AND_I_RESRC_TONNES</t>
  </si>
  <si>
    <t>SNL_ATTRIBUTABLE_TOTAL_RESRC_OZ</t>
  </si>
  <si>
    <t>SNL_ATTRIBUTABLE_TOTAL_RESRC_TONNES</t>
  </si>
  <si>
    <t>SP_TEV_EBITDA_FWD</t>
  </si>
  <si>
    <t>SNL_CASH_COST_LB</t>
  </si>
  <si>
    <t>SNL_PROJ_CASH_COST_HIGH_LB</t>
  </si>
  <si>
    <t>FQ0</t>
  </si>
  <si>
    <t>FH0</t>
  </si>
  <si>
    <t>SNL_CONS_PRODUCTION_PROJECTION_LOW_TONNE</t>
  </si>
  <si>
    <t>SP_GOLD_PRODUCTION_EST</t>
  </si>
  <si>
    <t>SP_SILVER_PRODUCTION_EST</t>
  </si>
  <si>
    <t>SP_COPPER_PRODUCTION_EST</t>
  </si>
  <si>
    <t>MRQ</t>
  </si>
  <si>
    <t>SNL_PROJ_CASH_COST_LOW_LB</t>
  </si>
  <si>
    <t>Senior Producers</t>
  </si>
  <si>
    <t>14/08/2025</t>
  </si>
  <si>
    <t>Confirmed</t>
  </si>
  <si>
    <t>16/07/2025</t>
  </si>
  <si>
    <t>Antofagasta</t>
  </si>
  <si>
    <t>ANTO LN Equity</t>
  </si>
  <si>
    <t>LSE:ANTO</t>
  </si>
  <si>
    <t>Y</t>
  </si>
  <si>
    <t>YES</t>
  </si>
  <si>
    <t>23/07/2025</t>
  </si>
  <si>
    <t>Estimated</t>
  </si>
  <si>
    <t>#N/A N/A</t>
  </si>
  <si>
    <t>First Quantum</t>
  </si>
  <si>
    <t>FM CN Equity</t>
  </si>
  <si>
    <t>TSX:FM</t>
  </si>
  <si>
    <t>N</t>
  </si>
  <si>
    <t>Freeport McMoRan</t>
  </si>
  <si>
    <t>FCX US Equity</t>
  </si>
  <si>
    <t>NYSE:FCX</t>
  </si>
  <si>
    <t>18/07/2025</t>
  </si>
  <si>
    <t>Southern Copper</t>
  </si>
  <si>
    <t>SCCO US Equity</t>
  </si>
  <si>
    <t>NYSE:SCCO</t>
  </si>
  <si>
    <t>24/07/2025</t>
  </si>
  <si>
    <t>Tentative</t>
  </si>
  <si>
    <t>Teck Resources</t>
  </si>
  <si>
    <t>TECK/B CN Equity</t>
  </si>
  <si>
    <t>TSX:TECK.B</t>
  </si>
  <si>
    <t>Average</t>
  </si>
  <si>
    <t>Intermediate Producers</t>
  </si>
  <si>
    <t>01/05/2025</t>
  </si>
  <si>
    <t>Capstone</t>
  </si>
  <si>
    <t>CS CN Equity</t>
  </si>
  <si>
    <t>TSX:CS</t>
  </si>
  <si>
    <t>12/05/2025</t>
  </si>
  <si>
    <t>Hudbay</t>
  </si>
  <si>
    <t>HBM CN Equity</t>
  </si>
  <si>
    <t>TSX:HBM</t>
  </si>
  <si>
    <t>30/04/2025</t>
  </si>
  <si>
    <t>Ivanhoe</t>
  </si>
  <si>
    <t>IVN CN Equity</t>
  </si>
  <si>
    <t>TSX:IVN</t>
  </si>
  <si>
    <t>07/05/2025</t>
  </si>
  <si>
    <t>Lundin</t>
  </si>
  <si>
    <t>LUN CN Equity</t>
  </si>
  <si>
    <t>TSX:LUN</t>
  </si>
  <si>
    <t>Junior Producers</t>
  </si>
  <si>
    <t>21/05/2025</t>
  </si>
  <si>
    <t>Atalaya Mining</t>
  </si>
  <si>
    <t>ATYM LN Equity</t>
  </si>
  <si>
    <t>LSE:ATYM</t>
  </si>
  <si>
    <t>10/09/2025</t>
  </si>
  <si>
    <t>Central Asia Metals</t>
  </si>
  <si>
    <t>CAML LN Equity</t>
  </si>
  <si>
    <t>AIM:CAML</t>
  </si>
  <si>
    <t>05/05/2025</t>
  </si>
  <si>
    <t>Ero Copper</t>
  </si>
  <si>
    <t>ERO CN Equity</t>
  </si>
  <si>
    <t>TSX:ERO</t>
  </si>
  <si>
    <t>28/08/2025</t>
  </si>
  <si>
    <t>29/04/2025</t>
  </si>
  <si>
    <t>Sandfire</t>
  </si>
  <si>
    <t>SFR AU Equity</t>
  </si>
  <si>
    <t>ASX:SFR</t>
  </si>
  <si>
    <t>Taseko</t>
  </si>
  <si>
    <t>TKO CN Equity</t>
  </si>
  <si>
    <t>TSX:TKO</t>
  </si>
  <si>
    <t>Metals Acquisition Corp</t>
  </si>
  <si>
    <t>MTAL US Equity</t>
  </si>
  <si>
    <t>NYSE:MTAL</t>
  </si>
  <si>
    <t>27/08/2025</t>
  </si>
  <si>
    <t>29 Metals</t>
  </si>
  <si>
    <t>29M AU Equity</t>
  </si>
  <si>
    <t>ASX:29M</t>
  </si>
  <si>
    <t>NO</t>
  </si>
  <si>
    <t>30/04/2026</t>
  </si>
  <si>
    <t>Aeris Resources</t>
  </si>
  <si>
    <t>AIS AU Equity</t>
  </si>
  <si>
    <t>ASX:AIS</t>
  </si>
  <si>
    <t>AIC Mines</t>
  </si>
  <si>
    <t>A1M AU Equity</t>
  </si>
  <si>
    <t>ASX:A1M</t>
  </si>
  <si>
    <t>Chinese Producers</t>
  </si>
  <si>
    <t>Zijin</t>
  </si>
  <si>
    <t>SEHK:2899</t>
  </si>
  <si>
    <t>China Moly</t>
  </si>
  <si>
    <t>SEHK:3993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</si>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</sst>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#,##0.0"/>
    <numFmt numFmtId="167" formatCode="_-* #,##0.00_-;\-* #,##0.00_-;_-* &quot;-&quot;??_-;_-@_-"/>
    <numFmt numFmtId="168" formatCode="_-* #,##0_-;\-* #,##0_-;_-* &quot;-&quot;??_-;_-@_-"/>
  </numFmts>
  <fonts count="15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6"/>
      <color rgb="FF525252"/>
      <name val="Arial"/>
      <family val="2"/>
    </font>
    <font>
      <sz val="6"/>
      <color rgb="FF000000"/>
      <name val="Arial"/>
      <family val="2"/>
    </font>
    <font>
      <sz val="6"/>
      <color rgb="FF525252"/>
      <name val="Arial Narrow"/>
      <family val="2"/>
    </font>
    <font>
      <sz val="7"/>
      <color rgb="FF525252"/>
      <name val="Arial"/>
      <family val="2"/>
    </font>
    <font>
      <sz val="7"/>
      <color rgb="FF000000"/>
      <name val="Arial"/>
      <family val="2"/>
    </font>
    <font>
      <b/>
      <sz val="13"/>
      <color rgb="FF000000"/>
      <name val="Times New Roman"/>
      <family val="1"/>
    </font>
    <font>
      <sz val="8"/>
      <color rgb="FF000000"/>
      <name val="Akkurat Pro"/>
    </font>
    <font>
      <sz val="10"/>
      <color rgb="FF0000FF"/>
      <name val="Times New Roman"/>
      <family val="1"/>
    </font>
    <font>
      <sz val="11"/>
      <color rgb="FF000000"/>
      <name val="Times New Roman"/>
      <family val="1"/>
    </font>
    <font>
      <b/>
      <sz val="7"/>
      <color rgb="FF52525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</cellStyleXfs>
  <cellXfs count="148">
    <xf numFmtId="0" fontId="0" fillId="0" borderId="0" xfId="0"/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top" wrapText="1"/>
    </xf>
    <xf numFmtId="0" fontId="1" fillId="0" borderId="0" xfId="1" applyAlignment="1">
      <alignment horizontal="left" vertical="top"/>
    </xf>
    <xf numFmtId="0" fontId="2" fillId="0" borderId="1" xfId="1" applyFont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top" wrapText="1"/>
    </xf>
    <xf numFmtId="0" fontId="2" fillId="3" borderId="3" xfId="1" applyFont="1" applyFill="1" applyBorder="1" applyAlignment="1">
      <alignment horizontal="center" vertical="top" wrapText="1"/>
    </xf>
    <xf numFmtId="0" fontId="2" fillId="3" borderId="4" xfId="1" applyFont="1" applyFill="1" applyBorder="1" applyAlignment="1">
      <alignment horizontal="center" vertical="top" wrapText="1"/>
    </xf>
    <xf numFmtId="0" fontId="2" fillId="3" borderId="3" xfId="1" applyFont="1" applyFill="1" applyBorder="1" applyAlignment="1">
      <alignment horizontal="center" vertical="top" wrapText="1"/>
    </xf>
    <xf numFmtId="0" fontId="2" fillId="3" borderId="5" xfId="1" applyFont="1" applyFill="1" applyBorder="1" applyAlignment="1">
      <alignment horizontal="center" vertical="top" wrapText="1"/>
    </xf>
    <xf numFmtId="0" fontId="3" fillId="0" borderId="0" xfId="1" applyFont="1" applyAlignment="1">
      <alignment horizontal="center" vertical="top"/>
    </xf>
    <xf numFmtId="0" fontId="1" fillId="0" borderId="0" xfId="1" applyAlignment="1">
      <alignment horizontal="center" vertical="top"/>
    </xf>
    <xf numFmtId="0" fontId="2" fillId="4" borderId="6" xfId="1" applyFont="1" applyFill="1" applyBorder="1" applyAlignment="1">
      <alignment horizontal="center" vertical="top" wrapText="1"/>
    </xf>
    <xf numFmtId="0" fontId="2" fillId="4" borderId="0" xfId="1" applyFont="1" applyFill="1" applyAlignment="1">
      <alignment horizontal="center" vertical="top" wrapText="1"/>
    </xf>
    <xf numFmtId="0" fontId="2" fillId="4" borderId="0" xfId="1" applyFont="1" applyFill="1" applyAlignment="1">
      <alignment horizontal="center" vertical="top" wrapText="1"/>
    </xf>
    <xf numFmtId="0" fontId="2" fillId="0" borderId="0" xfId="1" applyFont="1" applyAlignment="1">
      <alignment horizontal="left" vertical="top"/>
    </xf>
    <xf numFmtId="0" fontId="2" fillId="5" borderId="5" xfId="1" applyFont="1" applyFill="1" applyBorder="1" applyAlignment="1">
      <alignment vertical="top" wrapText="1"/>
    </xf>
    <xf numFmtId="0" fontId="2" fillId="0" borderId="0" xfId="1" applyFont="1" applyAlignment="1">
      <alignment horizontal="center" vertical="top" wrapText="1"/>
    </xf>
    <xf numFmtId="0" fontId="2" fillId="0" borderId="0" xfId="1" applyFont="1" applyAlignment="1">
      <alignment horizontal="center" vertical="top"/>
    </xf>
    <xf numFmtId="0" fontId="4" fillId="0" borderId="6" xfId="1" applyFont="1" applyBorder="1" applyAlignment="1">
      <alignment horizontal="center" vertical="top" wrapText="1"/>
    </xf>
    <xf numFmtId="0" fontId="4" fillId="0" borderId="7" xfId="1" applyFont="1" applyBorder="1" applyAlignment="1">
      <alignment horizontal="center" vertical="top" wrapText="1"/>
    </xf>
    <xf numFmtId="0" fontId="4" fillId="0" borderId="8" xfId="1" applyFont="1" applyBorder="1" applyAlignment="1">
      <alignment horizontal="center" vertical="top" wrapText="1"/>
    </xf>
    <xf numFmtId="0" fontId="4" fillId="0" borderId="9" xfId="1" applyFont="1" applyBorder="1" applyAlignment="1">
      <alignment horizontal="center" vertical="top" wrapText="1"/>
    </xf>
    <xf numFmtId="0" fontId="4" fillId="0" borderId="10" xfId="1" applyFont="1" applyBorder="1" applyAlignment="1">
      <alignment horizontal="center" vertical="top"/>
    </xf>
    <xf numFmtId="0" fontId="4" fillId="0" borderId="0" xfId="1" applyFont="1" applyAlignment="1">
      <alignment horizontal="center" vertical="top"/>
    </xf>
    <xf numFmtId="0" fontId="4" fillId="0" borderId="8" xfId="1" applyFont="1" applyBorder="1" applyAlignment="1">
      <alignment horizontal="center" vertical="top"/>
    </xf>
    <xf numFmtId="0" fontId="4" fillId="0" borderId="6" xfId="1" applyFont="1" applyBorder="1" applyAlignment="1">
      <alignment horizontal="center" vertical="top"/>
    </xf>
    <xf numFmtId="0" fontId="4" fillId="0" borderId="11" xfId="1" applyFont="1" applyBorder="1" applyAlignment="1">
      <alignment horizontal="center" vertical="top"/>
    </xf>
    <xf numFmtId="0" fontId="3" fillId="0" borderId="0" xfId="1" applyFont="1" applyAlignment="1">
      <alignment horizontal="left" vertical="top"/>
    </xf>
    <xf numFmtId="0" fontId="2" fillId="0" borderId="10" xfId="1" applyFont="1" applyBorder="1" applyAlignment="1">
      <alignment horizontal="center" vertical="top"/>
    </xf>
    <xf numFmtId="0" fontId="2" fillId="0" borderId="7" xfId="1" applyFont="1" applyBorder="1" applyAlignment="1">
      <alignment horizontal="center" vertical="top"/>
    </xf>
    <xf numFmtId="0" fontId="2" fillId="0" borderId="8" xfId="1" applyFont="1" applyBorder="1" applyAlignment="1">
      <alignment horizontal="center" vertical="top"/>
    </xf>
    <xf numFmtId="0" fontId="4" fillId="0" borderId="7" xfId="1" applyFont="1" applyBorder="1" applyAlignment="1">
      <alignment horizontal="center" vertical="top"/>
    </xf>
    <xf numFmtId="0" fontId="1" fillId="0" borderId="10" xfId="1" applyBorder="1" applyAlignment="1">
      <alignment horizontal="left" vertical="top"/>
    </xf>
    <xf numFmtId="0" fontId="1" fillId="0" borderId="9" xfId="1" applyBorder="1" applyAlignment="1">
      <alignment horizontal="left" vertical="top"/>
    </xf>
    <xf numFmtId="0" fontId="1" fillId="0" borderId="8" xfId="1" applyBorder="1" applyAlignment="1">
      <alignment horizontal="left" vertical="top"/>
    </xf>
    <xf numFmtId="0" fontId="5" fillId="0" borderId="1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14" fontId="1" fillId="0" borderId="0" xfId="1" applyNumberFormat="1" applyAlignment="1">
      <alignment horizontal="left" vertical="top"/>
    </xf>
    <xf numFmtId="0" fontId="5" fillId="0" borderId="6" xfId="1" applyFont="1" applyBorder="1" applyAlignment="1">
      <alignment horizontal="left" vertical="top"/>
    </xf>
    <xf numFmtId="0" fontId="6" fillId="0" borderId="0" xfId="1" applyFont="1" applyAlignment="1">
      <alignment horizontal="left" vertical="top"/>
    </xf>
    <xf numFmtId="0" fontId="1" fillId="0" borderId="6" xfId="1" applyBorder="1" applyAlignment="1">
      <alignment horizontal="left" vertical="top"/>
    </xf>
    <xf numFmtId="0" fontId="1" fillId="0" borderId="11" xfId="1" applyBorder="1" applyAlignment="1">
      <alignment horizontal="left" vertical="top"/>
    </xf>
    <xf numFmtId="0" fontId="7" fillId="0" borderId="6" xfId="1" applyFont="1" applyBorder="1" applyAlignment="1">
      <alignment horizontal="left" vertical="top"/>
    </xf>
    <xf numFmtId="0" fontId="7" fillId="0" borderId="0" xfId="1" applyFont="1" applyAlignment="1">
      <alignment horizontal="left" vertical="top"/>
    </xf>
    <xf numFmtId="0" fontId="7" fillId="0" borderId="11" xfId="1" applyFont="1" applyBorder="1" applyAlignment="1">
      <alignment horizontal="left" vertical="top"/>
    </xf>
    <xf numFmtId="0" fontId="1" fillId="0" borderId="12" xfId="1" applyBorder="1" applyAlignment="1">
      <alignment horizontal="left" vertical="top"/>
    </xf>
    <xf numFmtId="0" fontId="8" fillId="0" borderId="0" xfId="1" applyFont="1" applyAlignment="1">
      <alignment horizontal="left" vertical="top"/>
    </xf>
    <xf numFmtId="0" fontId="1" fillId="0" borderId="13" xfId="1" applyBorder="1" applyAlignment="1">
      <alignment horizontal="left" vertical="top"/>
    </xf>
    <xf numFmtId="0" fontId="1" fillId="0" borderId="14" xfId="1" applyBorder="1" applyAlignment="1">
      <alignment horizontal="left" vertical="top"/>
    </xf>
    <xf numFmtId="0" fontId="1" fillId="0" borderId="15" xfId="1" applyBorder="1" applyAlignment="1">
      <alignment horizontal="left" vertical="top"/>
    </xf>
    <xf numFmtId="0" fontId="9" fillId="0" borderId="0" xfId="1" applyFont="1" applyAlignment="1">
      <alignment horizontal="left" vertical="top"/>
    </xf>
    <xf numFmtId="0" fontId="10" fillId="5" borderId="3" xfId="1" applyFont="1" applyFill="1" applyBorder="1" applyAlignment="1">
      <alignment horizontal="left" vertical="top"/>
    </xf>
    <xf numFmtId="0" fontId="1" fillId="5" borderId="3" xfId="1" applyFill="1" applyBorder="1" applyAlignment="1">
      <alignment horizontal="left" vertical="top"/>
    </xf>
    <xf numFmtId="164" fontId="1" fillId="5" borderId="16" xfId="1" applyNumberFormat="1" applyFill="1" applyBorder="1" applyAlignment="1">
      <alignment horizontal="center" vertical="top"/>
    </xf>
    <xf numFmtId="0" fontId="1" fillId="5" borderId="2" xfId="1" applyFill="1" applyBorder="1" applyAlignment="1">
      <alignment horizontal="center" vertical="top"/>
    </xf>
    <xf numFmtId="0" fontId="1" fillId="5" borderId="3" xfId="1" applyFill="1" applyBorder="1" applyAlignment="1">
      <alignment horizontal="center" vertical="top"/>
    </xf>
    <xf numFmtId="0" fontId="1" fillId="5" borderId="4" xfId="1" applyFill="1" applyBorder="1" applyAlignment="1">
      <alignment horizontal="center" vertical="top"/>
    </xf>
    <xf numFmtId="0" fontId="1" fillId="0" borderId="12" xfId="1" applyBorder="1" applyAlignment="1">
      <alignment horizontal="center" vertical="top"/>
    </xf>
    <xf numFmtId="0" fontId="11" fillId="0" borderId="12" xfId="1" applyFont="1" applyBorder="1" applyAlignment="1">
      <alignment horizontal="left" vertical="top"/>
    </xf>
    <xf numFmtId="14" fontId="1" fillId="0" borderId="0" xfId="1" applyNumberFormat="1" applyAlignment="1">
      <alignment horizontal="center"/>
    </xf>
    <xf numFmtId="14" fontId="12" fillId="0" borderId="0" xfId="1" applyNumberFormat="1" applyFont="1" applyAlignment="1">
      <alignment horizontal="center"/>
    </xf>
    <xf numFmtId="4" fontId="3" fillId="0" borderId="0" xfId="1" applyNumberFormat="1" applyFont="1" applyAlignment="1">
      <alignment horizontal="right" vertical="top"/>
    </xf>
    <xf numFmtId="0" fontId="13" fillId="0" borderId="0" xfId="1" applyFont="1" applyAlignment="1">
      <alignment horizontal="left" vertical="top"/>
    </xf>
    <xf numFmtId="2" fontId="1" fillId="0" borderId="1" xfId="1" applyNumberFormat="1" applyBorder="1" applyAlignment="1">
      <alignment horizontal="center" vertical="top"/>
    </xf>
    <xf numFmtId="164" fontId="1" fillId="0" borderId="6" xfId="1" applyNumberFormat="1" applyBorder="1" applyAlignment="1">
      <alignment horizontal="center" vertical="top"/>
    </xf>
    <xf numFmtId="164" fontId="1" fillId="0" borderId="0" xfId="1" applyNumberFormat="1" applyAlignment="1">
      <alignment horizontal="center" vertical="top"/>
    </xf>
    <xf numFmtId="164" fontId="1" fillId="0" borderId="11" xfId="1" applyNumberFormat="1" applyBorder="1" applyAlignment="1">
      <alignment horizontal="center" vertical="top"/>
    </xf>
    <xf numFmtId="165" fontId="0" fillId="0" borderId="0" xfId="2" applyNumberFormat="1" applyFont="1" applyBorder="1" applyAlignment="1">
      <alignment horizontal="center" vertical="top"/>
    </xf>
    <xf numFmtId="165" fontId="0" fillId="0" borderId="7" xfId="2" applyNumberFormat="1" applyFont="1" applyBorder="1" applyAlignment="1">
      <alignment horizontal="center" vertical="top"/>
    </xf>
    <xf numFmtId="165" fontId="0" fillId="0" borderId="8" xfId="2" applyNumberFormat="1" applyFont="1" applyBorder="1" applyAlignment="1">
      <alignment horizontal="center" vertical="top"/>
    </xf>
    <xf numFmtId="9" fontId="0" fillId="0" borderId="0" xfId="2" applyFont="1" applyBorder="1" applyAlignment="1">
      <alignment horizontal="center" vertical="top"/>
    </xf>
    <xf numFmtId="9" fontId="0" fillId="0" borderId="9" xfId="2" applyFont="1" applyBorder="1" applyAlignment="1">
      <alignment horizontal="center" vertical="top"/>
    </xf>
    <xf numFmtId="3" fontId="1" fillId="0" borderId="10" xfId="1" applyNumberFormat="1" applyBorder="1" applyAlignment="1">
      <alignment horizontal="center"/>
    </xf>
    <xf numFmtId="3" fontId="1" fillId="0" borderId="0" xfId="1" applyNumberFormat="1" applyAlignment="1">
      <alignment horizontal="center"/>
    </xf>
    <xf numFmtId="3" fontId="1" fillId="0" borderId="8" xfId="1" applyNumberFormat="1" applyBorder="1" applyAlignment="1">
      <alignment horizontal="center"/>
    </xf>
    <xf numFmtId="166" fontId="1" fillId="0" borderId="10" xfId="1" applyNumberFormat="1" applyBorder="1" applyAlignment="1">
      <alignment horizontal="center" vertical="top"/>
    </xf>
    <xf numFmtId="166" fontId="1" fillId="0" borderId="7" xfId="1" applyNumberFormat="1" applyBorder="1" applyAlignment="1">
      <alignment horizontal="center" vertical="top"/>
    </xf>
    <xf numFmtId="166" fontId="1" fillId="0" borderId="8" xfId="1" applyNumberFormat="1" applyBorder="1" applyAlignment="1">
      <alignment horizontal="center" vertical="top"/>
    </xf>
    <xf numFmtId="166" fontId="1" fillId="0" borderId="0" xfId="1" applyNumberFormat="1" applyAlignment="1">
      <alignment horizontal="center"/>
    </xf>
    <xf numFmtId="166" fontId="1" fillId="0" borderId="11" xfId="1" applyNumberFormat="1" applyBorder="1" applyAlignment="1">
      <alignment horizontal="center"/>
    </xf>
    <xf numFmtId="166" fontId="1" fillId="0" borderId="10" xfId="1" applyNumberFormat="1" applyBorder="1" applyAlignment="1">
      <alignment horizontal="center"/>
    </xf>
    <xf numFmtId="0" fontId="1" fillId="6" borderId="12" xfId="1" applyFill="1" applyBorder="1" applyAlignment="1">
      <alignment horizontal="center" vertical="top"/>
    </xf>
    <xf numFmtId="0" fontId="3" fillId="0" borderId="12" xfId="1" applyFont="1" applyBorder="1" applyAlignment="1">
      <alignment horizontal="left" vertical="top"/>
    </xf>
    <xf numFmtId="3" fontId="11" fillId="0" borderId="0" xfId="1" applyNumberFormat="1" applyFont="1" applyAlignment="1">
      <alignment horizontal="right" vertical="top"/>
    </xf>
    <xf numFmtId="165" fontId="0" fillId="0" borderId="11" xfId="2" applyNumberFormat="1" applyFont="1" applyBorder="1" applyAlignment="1">
      <alignment horizontal="center" vertical="top"/>
    </xf>
    <xf numFmtId="9" fontId="0" fillId="0" borderId="12" xfId="2" applyFont="1" applyBorder="1" applyAlignment="1">
      <alignment horizontal="center" vertical="top"/>
    </xf>
    <xf numFmtId="3" fontId="1" fillId="0" borderId="6" xfId="1" applyNumberFormat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166" fontId="1" fillId="0" borderId="6" xfId="1" applyNumberFormat="1" applyBorder="1" applyAlignment="1">
      <alignment horizontal="center" vertical="top"/>
    </xf>
    <xf numFmtId="166" fontId="1" fillId="0" borderId="0" xfId="1" applyNumberFormat="1" applyAlignment="1">
      <alignment horizontal="center" vertical="top"/>
    </xf>
    <xf numFmtId="166" fontId="1" fillId="0" borderId="11" xfId="1" applyNumberFormat="1" applyBorder="1" applyAlignment="1">
      <alignment horizontal="center" vertical="top"/>
    </xf>
    <xf numFmtId="166" fontId="1" fillId="0" borderId="6" xfId="1" applyNumberFormat="1" applyBorder="1" applyAlignment="1">
      <alignment horizontal="center"/>
    </xf>
    <xf numFmtId="165" fontId="0" fillId="0" borderId="15" xfId="2" applyNumberFormat="1" applyFont="1" applyBorder="1" applyAlignment="1">
      <alignment horizontal="center" vertical="top"/>
    </xf>
    <xf numFmtId="3" fontId="1" fillId="0" borderId="13" xfId="1" applyNumberFormat="1" applyBorder="1" applyAlignment="1">
      <alignment horizontal="center"/>
    </xf>
    <xf numFmtId="3" fontId="1" fillId="0" borderId="15" xfId="1" applyNumberFormat="1" applyBorder="1" applyAlignment="1">
      <alignment horizontal="center"/>
    </xf>
    <xf numFmtId="166" fontId="1" fillId="0" borderId="13" xfId="1" applyNumberFormat="1" applyBorder="1" applyAlignment="1">
      <alignment horizontal="center" vertical="top"/>
    </xf>
    <xf numFmtId="166" fontId="1" fillId="0" borderId="14" xfId="1" applyNumberFormat="1" applyBorder="1" applyAlignment="1">
      <alignment horizontal="center" vertical="top"/>
    </xf>
    <xf numFmtId="166" fontId="1" fillId="0" borderId="15" xfId="1" applyNumberFormat="1" applyBorder="1" applyAlignment="1">
      <alignment horizontal="center" vertical="top"/>
    </xf>
    <xf numFmtId="0" fontId="2" fillId="7" borderId="3" xfId="1" applyFont="1" applyFill="1" applyBorder="1" applyAlignment="1">
      <alignment horizontal="right" vertical="top"/>
    </xf>
    <xf numFmtId="2" fontId="2" fillId="7" borderId="16" xfId="1" applyNumberFormat="1" applyFont="1" applyFill="1" applyBorder="1" applyAlignment="1">
      <alignment horizontal="center" vertical="top"/>
    </xf>
    <xf numFmtId="164" fontId="2" fillId="7" borderId="2" xfId="1" applyNumberFormat="1" applyFont="1" applyFill="1" applyBorder="1" applyAlignment="1">
      <alignment horizontal="center" vertical="top"/>
    </xf>
    <xf numFmtId="164" fontId="2" fillId="7" borderId="3" xfId="1" applyNumberFormat="1" applyFont="1" applyFill="1" applyBorder="1" applyAlignment="1">
      <alignment horizontal="center" vertical="top"/>
    </xf>
    <xf numFmtId="164" fontId="2" fillId="7" borderId="4" xfId="1" applyNumberFormat="1" applyFont="1" applyFill="1" applyBorder="1" applyAlignment="1">
      <alignment horizontal="center" vertical="top"/>
    </xf>
    <xf numFmtId="165" fontId="2" fillId="7" borderId="3" xfId="2" applyNumberFormat="1" applyFont="1" applyFill="1" applyBorder="1" applyAlignment="1">
      <alignment horizontal="center" vertical="top"/>
    </xf>
    <xf numFmtId="165" fontId="2" fillId="7" borderId="14" xfId="2" applyNumberFormat="1" applyFont="1" applyFill="1" applyBorder="1" applyAlignment="1">
      <alignment horizontal="center" vertical="top"/>
    </xf>
    <xf numFmtId="3" fontId="2" fillId="7" borderId="3" xfId="1" applyNumberFormat="1" applyFont="1" applyFill="1" applyBorder="1" applyAlignment="1">
      <alignment horizontal="center" vertical="top"/>
    </xf>
    <xf numFmtId="3" fontId="2" fillId="7" borderId="2" xfId="1" applyNumberFormat="1" applyFont="1" applyFill="1" applyBorder="1" applyAlignment="1">
      <alignment horizontal="center" vertical="top"/>
    </xf>
    <xf numFmtId="3" fontId="2" fillId="7" borderId="8" xfId="1" applyNumberFormat="1" applyFont="1" applyFill="1" applyBorder="1" applyAlignment="1">
      <alignment horizontal="center" vertical="top"/>
    </xf>
    <xf numFmtId="3" fontId="2" fillId="7" borderId="0" xfId="1" applyNumberFormat="1" applyFont="1" applyFill="1" applyAlignment="1">
      <alignment horizontal="center" vertical="top"/>
    </xf>
    <xf numFmtId="166" fontId="2" fillId="7" borderId="3" xfId="1" applyNumberFormat="1" applyFont="1" applyFill="1" applyBorder="1" applyAlignment="1">
      <alignment horizontal="center" vertical="top"/>
    </xf>
    <xf numFmtId="166" fontId="2" fillId="7" borderId="2" xfId="1" applyNumberFormat="1" applyFont="1" applyFill="1" applyBorder="1" applyAlignment="1">
      <alignment horizontal="center" vertical="top"/>
    </xf>
    <xf numFmtId="166" fontId="2" fillId="7" borderId="4" xfId="1" applyNumberFormat="1" applyFont="1" applyFill="1" applyBorder="1" applyAlignment="1">
      <alignment horizontal="center" vertical="top"/>
    </xf>
    <xf numFmtId="164" fontId="1" fillId="5" borderId="3" xfId="1" applyNumberFormat="1" applyFill="1" applyBorder="1" applyAlignment="1">
      <alignment horizontal="center" vertical="top"/>
    </xf>
    <xf numFmtId="0" fontId="1" fillId="5" borderId="14" xfId="1" applyFill="1" applyBorder="1" applyAlignment="1">
      <alignment horizontal="center" vertical="top"/>
    </xf>
    <xf numFmtId="0" fontId="11" fillId="0" borderId="0" xfId="1" applyFont="1" applyAlignment="1">
      <alignment horizontal="left" vertical="top"/>
    </xf>
    <xf numFmtId="166" fontId="1" fillId="0" borderId="13" xfId="1" applyNumberFormat="1" applyBorder="1" applyAlignment="1">
      <alignment horizontal="center"/>
    </xf>
    <xf numFmtId="166" fontId="1" fillId="0" borderId="14" xfId="1" applyNumberFormat="1" applyBorder="1" applyAlignment="1">
      <alignment horizontal="center"/>
    </xf>
    <xf numFmtId="166" fontId="1" fillId="0" borderId="15" xfId="1" applyNumberFormat="1" applyBorder="1" applyAlignment="1">
      <alignment horizontal="center"/>
    </xf>
    <xf numFmtId="0" fontId="2" fillId="0" borderId="3" xfId="1" applyFont="1" applyBorder="1" applyAlignment="1">
      <alignment horizontal="right" vertical="top"/>
    </xf>
    <xf numFmtId="3" fontId="2" fillId="7" borderId="4" xfId="1" applyNumberFormat="1" applyFont="1" applyFill="1" applyBorder="1" applyAlignment="1">
      <alignment horizontal="center" vertical="top"/>
    </xf>
    <xf numFmtId="3" fontId="1" fillId="0" borderId="3" xfId="1" applyNumberFormat="1" applyBorder="1" applyAlignment="1">
      <alignment horizontal="left" vertical="top"/>
    </xf>
    <xf numFmtId="3" fontId="2" fillId="7" borderId="11" xfId="1" applyNumberFormat="1" applyFont="1" applyFill="1" applyBorder="1" applyAlignment="1">
      <alignment horizontal="center" vertical="top"/>
    </xf>
    <xf numFmtId="0" fontId="10" fillId="0" borderId="3" xfId="1" applyFont="1" applyBorder="1" applyAlignment="1">
      <alignment horizontal="left" vertical="top"/>
    </xf>
    <xf numFmtId="164" fontId="1" fillId="5" borderId="14" xfId="1" applyNumberFormat="1" applyFill="1" applyBorder="1" applyAlignment="1">
      <alignment horizontal="center" vertical="top"/>
    </xf>
    <xf numFmtId="0" fontId="1" fillId="5" borderId="15" xfId="1" applyFill="1" applyBorder="1" applyAlignment="1">
      <alignment horizontal="center" vertical="top"/>
    </xf>
    <xf numFmtId="0" fontId="1" fillId="0" borderId="3" xfId="1" applyBorder="1" applyAlignment="1">
      <alignment horizontal="left" vertical="top"/>
    </xf>
    <xf numFmtId="2" fontId="2" fillId="7" borderId="17" xfId="1" applyNumberFormat="1" applyFont="1" applyFill="1" applyBorder="1" applyAlignment="1">
      <alignment horizontal="center" vertical="top"/>
    </xf>
    <xf numFmtId="0" fontId="1" fillId="4" borderId="0" xfId="1" applyFill="1" applyAlignment="1">
      <alignment horizontal="left" vertical="top"/>
    </xf>
    <xf numFmtId="0" fontId="2" fillId="4" borderId="7" xfId="1" applyFont="1" applyFill="1" applyBorder="1" applyAlignment="1">
      <alignment horizontal="right" vertical="top"/>
    </xf>
    <xf numFmtId="2" fontId="2" fillId="4" borderId="0" xfId="1" applyNumberFormat="1" applyFont="1" applyFill="1" applyAlignment="1">
      <alignment horizontal="center" vertical="top"/>
    </xf>
    <xf numFmtId="164" fontId="2" fillId="4" borderId="0" xfId="1" applyNumberFormat="1" applyFont="1" applyFill="1" applyAlignment="1">
      <alignment horizontal="center" vertical="top"/>
    </xf>
    <xf numFmtId="165" fontId="2" fillId="4" borderId="0" xfId="2" applyNumberFormat="1" applyFont="1" applyFill="1" applyBorder="1" applyAlignment="1">
      <alignment horizontal="center" vertical="top"/>
    </xf>
    <xf numFmtId="3" fontId="2" fillId="4" borderId="0" xfId="1" applyNumberFormat="1" applyFont="1" applyFill="1" applyAlignment="1">
      <alignment horizontal="center" vertical="top"/>
    </xf>
    <xf numFmtId="3" fontId="1" fillId="4" borderId="0" xfId="1" applyNumberFormat="1" applyFill="1" applyAlignment="1">
      <alignment horizontal="left" vertical="top"/>
    </xf>
    <xf numFmtId="3" fontId="2" fillId="4" borderId="7" xfId="1" applyNumberFormat="1" applyFont="1" applyFill="1" applyBorder="1" applyAlignment="1">
      <alignment horizontal="center" vertical="top"/>
    </xf>
    <xf numFmtId="0" fontId="1" fillId="5" borderId="0" xfId="1" applyFill="1" applyAlignment="1">
      <alignment horizontal="center" vertical="top"/>
    </xf>
    <xf numFmtId="0" fontId="1" fillId="5" borderId="11" xfId="1" applyFill="1" applyBorder="1" applyAlignment="1">
      <alignment horizontal="center" vertical="top"/>
    </xf>
    <xf numFmtId="0" fontId="14" fillId="0" borderId="0" xfId="1" applyFont="1" applyAlignment="1">
      <alignment horizontal="left" vertical="top"/>
    </xf>
    <xf numFmtId="166" fontId="1" fillId="0" borderId="7" xfId="1" applyNumberFormat="1" applyBorder="1" applyAlignment="1">
      <alignment horizontal="center"/>
    </xf>
    <xf numFmtId="166" fontId="1" fillId="0" borderId="8" xfId="1" applyNumberFormat="1" applyBorder="1" applyAlignment="1">
      <alignment horizontal="center"/>
    </xf>
    <xf numFmtId="0" fontId="1" fillId="0" borderId="18" xfId="1" applyBorder="1" applyAlignment="1">
      <alignment horizontal="center" vertical="top"/>
    </xf>
    <xf numFmtId="0" fontId="3" fillId="0" borderId="18" xfId="1" applyFont="1" applyBorder="1" applyAlignment="1">
      <alignment horizontal="left" vertical="top"/>
    </xf>
    <xf numFmtId="0" fontId="1" fillId="0" borderId="18" xfId="1" applyBorder="1" applyAlignment="1">
      <alignment horizontal="left" vertical="top"/>
    </xf>
    <xf numFmtId="168" fontId="0" fillId="0" borderId="0" xfId="3" applyNumberFormat="1" applyFont="1" applyAlignment="1">
      <alignment horizontal="left" vertical="top"/>
    </xf>
    <xf numFmtId="4" fontId="1" fillId="0" borderId="0" xfId="1" applyNumberFormat="1" applyAlignment="1">
      <alignment horizontal="right" vertical="top"/>
    </xf>
    <xf numFmtId="167" fontId="1" fillId="0" borderId="0" xfId="1" applyNumberFormat="1" applyAlignment="1">
      <alignment horizontal="left" vertical="top"/>
    </xf>
    <xf numFmtId="0" fontId="1" fillId="0" borderId="0" xfId="1" applyAlignment="1">
      <alignment horizontal="left" vertical="top" wrapText="1"/>
    </xf>
  </cellXfs>
  <cellStyles count="4">
    <cellStyle name="千位分隔 2" xfId="3" xr:uid="{EC6AAE60-90B3-4F0C-8790-A5179A254816}"/>
    <cellStyle name="常规" xfId="0" builtinId="0"/>
    <cellStyle name="常规 2" xfId="1" xr:uid="{9D6C617B-9A21-41D2-80BB-5CDFF674A89F}"/>
    <cellStyle name="百分比 2" xfId="2" xr:uid="{C861493D-18DB-4D6E-A754-A697C576A4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1338-6EA0-4A06-8B95-B7BD791594B2}">
  <dimension ref="A1:CB79"/>
  <sheetViews>
    <sheetView showGridLines="0" tabSelected="1" zoomScaleNormal="100" workbookViewId="0">
      <pane xSplit="10" ySplit="4" topLeftCell="L5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I2678" sqref="I2678"/>
    </sheetView>
  </sheetViews>
  <sheetFormatPr defaultRowHeight="13.2" outlineLevelRow="1" outlineLevelCol="2"/>
  <cols>
    <col min="1" max="1" width="20.33203125" style="3" hidden="1" customWidth="1" outlineLevel="2"/>
    <col min="2" max="7" width="12.77734375" style="3" hidden="1" customWidth="1" outlineLevel="2"/>
    <col min="8" max="8" width="12.77734375" style="3" hidden="1" customWidth="1" outlineLevel="1" collapsed="1"/>
    <col min="9" max="9" width="14" style="3" hidden="1" customWidth="1" outlineLevel="1"/>
    <col min="10" max="10" width="25.6640625" style="3" customWidth="1" collapsed="1"/>
    <col min="11" max="11" width="25.77734375" style="3" hidden="1" customWidth="1" outlineLevel="1"/>
    <col min="12" max="12" width="13.77734375" style="3" customWidth="1" collapsed="1"/>
    <col min="13" max="13" width="12.33203125" style="3" customWidth="1"/>
    <col min="14" max="24" width="10.109375" style="3" customWidth="1"/>
    <col min="25" max="36" width="10.109375" style="3" hidden="1" customWidth="1" outlineLevel="1"/>
    <col min="37" max="37" width="10.109375" style="3" customWidth="1" collapsed="1"/>
    <col min="38" max="42" width="10.109375" style="3" customWidth="1"/>
    <col min="43" max="63" width="10.109375" style="3" hidden="1" customWidth="1" outlineLevel="1"/>
    <col min="64" max="64" width="10.109375" style="3" customWidth="1" collapsed="1"/>
    <col min="65" max="74" width="10.109375" style="3" customWidth="1"/>
    <col min="75" max="75" width="10.33203125" style="3" customWidth="1"/>
    <col min="76" max="76" width="8.88671875" style="3"/>
    <col min="77" max="77" width="11.109375" style="3" customWidth="1"/>
    <col min="78" max="78" width="11.44140625" style="3" hidden="1" customWidth="1" outlineLevel="1"/>
    <col min="79" max="79" width="12.33203125" style="3" customWidth="1" collapsed="1"/>
    <col min="80" max="80" width="24.33203125" style="3" bestFit="1" customWidth="1"/>
    <col min="81" max="16384" width="8.88671875" style="3"/>
  </cols>
  <sheetData>
    <row r="1" spans="1:80" ht="29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3</v>
      </c>
      <c r="H1" s="1" t="s">
        <v>6</v>
      </c>
      <c r="I1" s="1" t="s">
        <v>7</v>
      </c>
      <c r="M1" s="4" t="s">
        <v>8</v>
      </c>
      <c r="N1" s="5" t="s">
        <v>9</v>
      </c>
      <c r="O1" s="6"/>
      <c r="P1" s="7"/>
      <c r="Q1" s="5" t="s">
        <v>10</v>
      </c>
      <c r="R1" s="6"/>
      <c r="S1" s="7"/>
      <c r="T1" s="5" t="s">
        <v>11</v>
      </c>
      <c r="U1" s="6"/>
      <c r="V1" s="7"/>
      <c r="W1" s="8" t="s">
        <v>12</v>
      </c>
      <c r="X1" s="9" t="s">
        <v>13</v>
      </c>
      <c r="Y1" s="5" t="s">
        <v>14</v>
      </c>
      <c r="Z1" s="6"/>
      <c r="AA1" s="6"/>
      <c r="AB1" s="10" t="s">
        <v>15</v>
      </c>
      <c r="AC1" s="11"/>
      <c r="AD1" s="11"/>
      <c r="AE1" s="11"/>
      <c r="AF1" s="11"/>
      <c r="AG1" s="11"/>
      <c r="AH1" s="11"/>
      <c r="AI1" s="11"/>
      <c r="AJ1" s="11"/>
      <c r="AK1" s="5" t="s">
        <v>16</v>
      </c>
      <c r="AL1" s="6"/>
      <c r="AM1" s="6"/>
      <c r="AN1" s="5" t="s">
        <v>17</v>
      </c>
      <c r="AO1" s="6"/>
      <c r="AP1" s="7"/>
      <c r="AQ1" s="12" t="s">
        <v>18</v>
      </c>
      <c r="AR1" s="13"/>
      <c r="AS1" s="13"/>
      <c r="AT1" s="13"/>
      <c r="AU1" s="13"/>
      <c r="AV1" s="14"/>
      <c r="AW1" s="12" t="s">
        <v>19</v>
      </c>
      <c r="AX1" s="13"/>
      <c r="AY1" s="13"/>
      <c r="AZ1" s="13"/>
      <c r="BA1" s="13"/>
      <c r="BB1" s="14"/>
      <c r="BC1" s="12" t="s">
        <v>20</v>
      </c>
      <c r="BD1" s="13"/>
      <c r="BE1" s="13"/>
      <c r="BF1" s="13"/>
      <c r="BG1" s="13"/>
      <c r="BH1" s="14"/>
      <c r="BI1" s="15" t="s">
        <v>21</v>
      </c>
      <c r="BJ1" s="15"/>
      <c r="BK1" s="15"/>
      <c r="BL1" s="5" t="s">
        <v>22</v>
      </c>
      <c r="BM1" s="6"/>
      <c r="BN1" s="7"/>
      <c r="BO1" s="5" t="s">
        <v>23</v>
      </c>
      <c r="BP1" s="6"/>
      <c r="BQ1" s="7"/>
      <c r="BR1" s="5" t="s">
        <v>24</v>
      </c>
      <c r="BS1" s="6"/>
      <c r="BT1" s="6"/>
      <c r="BU1" s="5" t="s">
        <v>25</v>
      </c>
      <c r="BV1" s="6"/>
      <c r="BW1" s="7"/>
      <c r="BY1" s="16" t="s">
        <v>26</v>
      </c>
      <c r="BZ1" s="16" t="s">
        <v>27</v>
      </c>
      <c r="CA1" s="16"/>
      <c r="CB1" s="16"/>
    </row>
    <row r="2" spans="1:80" ht="29.25" customHeight="1">
      <c r="A2" s="1"/>
      <c r="B2" s="1"/>
      <c r="C2" s="1"/>
      <c r="D2" s="2" t="s">
        <v>28</v>
      </c>
      <c r="E2" s="1"/>
      <c r="F2" s="1"/>
      <c r="G2" s="2" t="s">
        <v>29</v>
      </c>
      <c r="H2" s="1"/>
      <c r="I2" s="1"/>
      <c r="K2" s="17" t="s">
        <v>30</v>
      </c>
      <c r="L2" s="18" t="s">
        <v>31</v>
      </c>
      <c r="M2" s="4"/>
      <c r="N2" s="19" t="s">
        <v>32</v>
      </c>
      <c r="O2" s="20" t="s">
        <v>33</v>
      </c>
      <c r="P2" s="21" t="s">
        <v>34</v>
      </c>
      <c r="Q2" s="19" t="s">
        <v>32</v>
      </c>
      <c r="R2" s="20" t="s">
        <v>33</v>
      </c>
      <c r="S2" s="20" t="s">
        <v>34</v>
      </c>
      <c r="T2" s="19" t="s">
        <v>32</v>
      </c>
      <c r="U2" s="20" t="s">
        <v>33</v>
      </c>
      <c r="V2" s="21" t="s">
        <v>34</v>
      </c>
      <c r="W2" s="19" t="s">
        <v>33</v>
      </c>
      <c r="X2" s="22"/>
      <c r="Y2" s="23" t="s">
        <v>35</v>
      </c>
      <c r="Z2" s="24" t="s">
        <v>36</v>
      </c>
      <c r="AA2" s="25" t="s">
        <v>37</v>
      </c>
      <c r="AB2" s="24" t="s">
        <v>32</v>
      </c>
      <c r="AC2" s="24" t="s">
        <v>33</v>
      </c>
      <c r="AD2" s="24" t="s">
        <v>34</v>
      </c>
      <c r="AE2" s="24" t="s">
        <v>32</v>
      </c>
      <c r="AF2" s="24" t="s">
        <v>33</v>
      </c>
      <c r="AG2" s="24" t="s">
        <v>34</v>
      </c>
      <c r="AH2" s="24" t="s">
        <v>32</v>
      </c>
      <c r="AI2" s="24" t="s">
        <v>33</v>
      </c>
      <c r="AJ2" s="24" t="s">
        <v>34</v>
      </c>
      <c r="AK2" s="23" t="s">
        <v>35</v>
      </c>
      <c r="AL2" s="24" t="s">
        <v>36</v>
      </c>
      <c r="AM2" s="24" t="s">
        <v>37</v>
      </c>
      <c r="AN2" s="26" t="s">
        <v>35</v>
      </c>
      <c r="AO2" s="24" t="s">
        <v>36</v>
      </c>
      <c r="AP2" s="27" t="s">
        <v>37</v>
      </c>
      <c r="AQ2" s="24" t="s">
        <v>38</v>
      </c>
      <c r="AR2" s="24" t="s">
        <v>39</v>
      </c>
      <c r="AS2" s="24" t="s">
        <v>40</v>
      </c>
      <c r="AT2" s="24" t="s">
        <v>41</v>
      </c>
      <c r="AU2" s="24" t="s">
        <v>42</v>
      </c>
      <c r="AV2" s="24" t="s">
        <v>43</v>
      </c>
      <c r="AW2" s="24" t="s">
        <v>38</v>
      </c>
      <c r="AX2" s="24" t="s">
        <v>39</v>
      </c>
      <c r="AY2" s="24" t="s">
        <v>40</v>
      </c>
      <c r="AZ2" s="24" t="s">
        <v>41</v>
      </c>
      <c r="BA2" s="24" t="s">
        <v>42</v>
      </c>
      <c r="BB2" s="24" t="s">
        <v>43</v>
      </c>
      <c r="BC2" s="24" t="s">
        <v>38</v>
      </c>
      <c r="BD2" s="24" t="s">
        <v>39</v>
      </c>
      <c r="BE2" s="24" t="s">
        <v>40</v>
      </c>
      <c r="BF2" s="24" t="s">
        <v>41</v>
      </c>
      <c r="BG2" s="24" t="s">
        <v>42</v>
      </c>
      <c r="BH2" s="24" t="s">
        <v>43</v>
      </c>
      <c r="BI2" s="28" t="s">
        <v>44</v>
      </c>
      <c r="BJ2" s="28" t="s">
        <v>45</v>
      </c>
      <c r="BK2" s="28" t="s">
        <v>46</v>
      </c>
      <c r="BL2" s="29" t="s">
        <v>44</v>
      </c>
      <c r="BM2" s="30" t="s">
        <v>45</v>
      </c>
      <c r="BN2" s="31" t="s">
        <v>46</v>
      </c>
      <c r="BO2" s="19" t="s">
        <v>32</v>
      </c>
      <c r="BP2" s="20" t="s">
        <v>33</v>
      </c>
      <c r="BQ2" s="21" t="s">
        <v>34</v>
      </c>
      <c r="BR2" s="24" t="s">
        <v>47</v>
      </c>
      <c r="BS2" s="24" t="s">
        <v>48</v>
      </c>
      <c r="BT2" s="32" t="s">
        <v>49</v>
      </c>
      <c r="BU2" s="24" t="s">
        <v>35</v>
      </c>
      <c r="BV2" s="24" t="s">
        <v>36</v>
      </c>
      <c r="BW2" s="27" t="s">
        <v>37</v>
      </c>
      <c r="BY2" s="33"/>
      <c r="BZ2" s="34"/>
      <c r="CA2" s="35"/>
    </row>
    <row r="3" spans="1:80" outlineLevel="1">
      <c r="A3" s="36" t="s">
        <v>50</v>
      </c>
      <c r="B3" s="37" t="s">
        <v>51</v>
      </c>
      <c r="C3" s="37" t="s">
        <v>52</v>
      </c>
      <c r="D3" s="37" t="s">
        <v>53</v>
      </c>
      <c r="E3" s="37"/>
      <c r="F3" s="37"/>
      <c r="G3" s="37"/>
      <c r="I3" s="38">
        <f ca="1">TODAY()</f>
        <v>46073</v>
      </c>
      <c r="L3" s="18"/>
      <c r="M3" s="36" t="s">
        <v>54</v>
      </c>
      <c r="N3" s="39" t="s">
        <v>55</v>
      </c>
      <c r="Q3" s="37" t="s">
        <v>56</v>
      </c>
      <c r="R3" s="37" t="s">
        <v>57</v>
      </c>
      <c r="S3" s="37"/>
      <c r="T3" s="39" t="s">
        <v>58</v>
      </c>
      <c r="W3" s="40" t="s">
        <v>59</v>
      </c>
      <c r="X3" s="40" t="s">
        <v>60</v>
      </c>
      <c r="Y3" s="39" t="s">
        <v>61</v>
      </c>
      <c r="AN3" s="41"/>
      <c r="AP3" s="42"/>
      <c r="AQ3" s="43" t="s">
        <v>62</v>
      </c>
      <c r="AR3" s="44"/>
      <c r="AS3" s="44"/>
      <c r="AT3" s="44" t="s">
        <v>63</v>
      </c>
      <c r="AU3" s="44"/>
      <c r="AV3" s="44"/>
      <c r="AW3" s="44" t="s">
        <v>64</v>
      </c>
      <c r="AX3" s="44"/>
      <c r="AY3" s="44"/>
      <c r="AZ3" s="44" t="s">
        <v>65</v>
      </c>
      <c r="BA3" s="44"/>
      <c r="BB3" s="44"/>
      <c r="BC3" s="44" t="s">
        <v>66</v>
      </c>
      <c r="BD3" s="44"/>
      <c r="BE3" s="44"/>
      <c r="BF3" s="44" t="s">
        <v>67</v>
      </c>
      <c r="BG3" s="44"/>
      <c r="BH3" s="44"/>
      <c r="BI3" s="44"/>
      <c r="BJ3" s="44"/>
      <c r="BK3" s="44"/>
      <c r="BL3" s="43"/>
      <c r="BM3" s="44"/>
      <c r="BN3" s="45"/>
      <c r="BO3" s="39" t="s">
        <v>68</v>
      </c>
      <c r="BP3" s="44"/>
      <c r="BQ3" s="44"/>
      <c r="BR3" s="39" t="s">
        <v>69</v>
      </c>
      <c r="BU3" s="37" t="s">
        <v>70</v>
      </c>
      <c r="BW3" s="42"/>
      <c r="BX3" s="44"/>
      <c r="BY3" s="41"/>
      <c r="BZ3" s="46"/>
      <c r="CA3" s="42"/>
    </row>
    <row r="4" spans="1:80" ht="8.25" customHeight="1" outlineLevel="1">
      <c r="L4" s="18"/>
      <c r="M4" s="36"/>
      <c r="N4" s="39"/>
      <c r="Q4" s="37"/>
      <c r="R4" s="37"/>
      <c r="S4" s="37"/>
      <c r="T4" s="39"/>
      <c r="W4" s="40" t="s">
        <v>71</v>
      </c>
      <c r="X4" s="40" t="s">
        <v>72</v>
      </c>
      <c r="Y4" s="39" t="s">
        <v>73</v>
      </c>
      <c r="AB4" s="47" t="s">
        <v>74</v>
      </c>
      <c r="AE4" s="47" t="s">
        <v>75</v>
      </c>
      <c r="AF4" s="28"/>
      <c r="AG4" s="28"/>
      <c r="AH4" s="47" t="s">
        <v>76</v>
      </c>
      <c r="AN4" s="48"/>
      <c r="AO4" s="49"/>
      <c r="AP4" s="50"/>
      <c r="AQ4" s="43" t="s">
        <v>77</v>
      </c>
      <c r="BL4" s="48"/>
      <c r="BM4" s="49"/>
      <c r="BN4" s="50"/>
      <c r="BQ4" s="42"/>
      <c r="BR4" s="51"/>
      <c r="BU4" s="37" t="s">
        <v>78</v>
      </c>
      <c r="BW4" s="42"/>
      <c r="BY4" s="41"/>
      <c r="BZ4" s="46"/>
      <c r="CA4" s="42"/>
    </row>
    <row r="5" spans="1:80" ht="16.8">
      <c r="J5" s="52" t="s">
        <v>79</v>
      </c>
      <c r="K5" s="52"/>
      <c r="L5" s="53"/>
      <c r="M5" s="54"/>
      <c r="N5" s="55"/>
      <c r="O5" s="56"/>
      <c r="P5" s="56"/>
      <c r="Q5" s="56"/>
      <c r="R5" s="56"/>
      <c r="S5" s="56"/>
      <c r="T5" s="55"/>
      <c r="U5" s="56"/>
      <c r="V5" s="56"/>
      <c r="W5" s="56"/>
      <c r="X5" s="56"/>
      <c r="Y5" s="56"/>
      <c r="Z5" s="56"/>
      <c r="AA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7"/>
      <c r="BO5" s="56"/>
      <c r="BP5" s="56"/>
      <c r="BQ5" s="57"/>
      <c r="BR5" s="56"/>
      <c r="BS5" s="56"/>
      <c r="BT5" s="56"/>
      <c r="BU5" s="56"/>
      <c r="BV5" s="56"/>
      <c r="BW5" s="57"/>
      <c r="BY5" s="58"/>
      <c r="BZ5" s="46"/>
      <c r="CA5" s="59"/>
    </row>
    <row r="6" spans="1:80" ht="14.4">
      <c r="A6" s="60" t="e">
        <f ca="1">_xll.SNL.Clients.Office.Excel.Functions.SPG($L6, A$3)</f>
        <v>#NAME?</v>
      </c>
      <c r="B6" s="60" t="e">
        <f ca="1">_xll.BDP($K6,B$3)</f>
        <v>#NAME?</v>
      </c>
      <c r="C6" s="60" t="e">
        <f ca="1">_xll.BDP($K6,C$3)</f>
        <v>#NAME?</v>
      </c>
      <c r="D6" s="60" t="e">
        <f ca="1">_xll.BDP($K6,D$3)</f>
        <v>#NAME?</v>
      </c>
      <c r="E6" s="61" t="s">
        <v>80</v>
      </c>
      <c r="F6" s="61" t="s">
        <v>81</v>
      </c>
      <c r="G6" s="61" t="s">
        <v>82</v>
      </c>
      <c r="H6" s="62" t="e">
        <f ca="1">_xll.SNL.Clients.Office.Excel.Functions.SPG($L6, "IQ_TEV", "Options: Curr=USD")</f>
        <v>#NAME?</v>
      </c>
      <c r="I6" s="62" t="e">
        <f ca="1">_xll.SNL.Clients.Office.Excel.Functions.SPG($L6, "SP_MARKETCAP", "Options: Curr=USD")</f>
        <v>#NAME?</v>
      </c>
      <c r="J6" s="63" t="s">
        <v>83</v>
      </c>
      <c r="K6" s="28" t="s">
        <v>84</v>
      </c>
      <c r="L6" s="28" t="s">
        <v>85</v>
      </c>
      <c r="M6" s="64" t="e" cm="1">
        <f t="array" aca="1" ref="M6" ca="1">_xll.SNL.Clients.Office.Excel.Functions.SPG($L6, $M$3)/100</f>
        <v>#NAME?</v>
      </c>
      <c r="N6" s="65" t="e" cm="1">
        <f t="array" aca="1" ref="N6" ca="1">_xll.SNL.Clients.Office.Excel.Functions.SPG($L6, "SP_PCFPS_FWD",N$2)</f>
        <v>#NAME?</v>
      </c>
      <c r="O6" s="66" t="e" cm="1">
        <f t="array" aca="1" ref="O6" ca="1">_xll.SNL.Clients.Office.Excel.Functions.SPG($L6, "SP_PCFPS_FWD",O$2)</f>
        <v>#NAME?</v>
      </c>
      <c r="P6" s="67" t="e" cm="1">
        <f t="array" aca="1" ref="P6" ca="1">_xll.SNL.Clients.Office.Excel.Functions.SPG($L6, "SP_PCFPS_FWD",P$2)</f>
        <v>#NAME?</v>
      </c>
      <c r="Q6" s="68" t="e">
        <f ca="1">_xll.SNL.Clients.Office.Excel.Functions.SPG($L6, "SP_FCF_EST",Q$2, "Options: Curr=USD")/1000/$I6</f>
        <v>#NAME?</v>
      </c>
      <c r="R6" s="69" t="e">
        <f ca="1">_xll.SNL.Clients.Office.Excel.Functions.SPG($L6, "SP_FCF_EST",R$2, "Options: Curr=USD")/1000/$I6</f>
        <v>#NAME?</v>
      </c>
      <c r="S6" s="70" t="e">
        <f ca="1">_xll.SNL.Clients.Office.Excel.Functions.SPG($L6, "SP_FCF_EST",S$2, "Options: Curr=USD")/1000/$I6</f>
        <v>#NAME?</v>
      </c>
      <c r="T6" s="65" t="e" cm="1">
        <f t="array" aca="1" ref="T6" ca="1">_xll.SNL.Clients.Office.Excel.Functions.SPG($L6, "SP_PE_FWD",T$2)</f>
        <v>#NAME?</v>
      </c>
      <c r="U6" s="66" t="e" cm="1">
        <f t="array" aca="1" ref="U6" ca="1">_xll.SNL.Clients.Office.Excel.Functions.SPG($L6, "SP_PE_FWD",U$2)</f>
        <v>#NAME?</v>
      </c>
      <c r="V6" s="67" t="e" cm="1">
        <f t="array" aca="1" ref="V6" ca="1">_xll.SNL.Clients.Office.Excel.Functions.SPG($L6, "SP_PE_FWD",V$2)</f>
        <v>#NAME?</v>
      </c>
      <c r="W6" s="71" t="e" cm="1">
        <f t="array" aca="1" ref="W6" ca="1">IF((_xll.SNL.Clients.Office.Excel.Functions.SPG($L6,$W$3,W$4,"Options: Curr=USD") / _xll.SNL.Clients.Office.Excel.Functions.SPG($L6,"SP_EBITDA_EST",W$2,"Options: Curr=USD")) &lt; 0, "NM", (_xll.SNL.Clients.Office.Excel.Functions.SPG($L6,$W$3,W$4,"Options: Curr=USD") / _xll.SNL.Clients.Office.Excel.Functions.SPG($L6,"SP_EBITDA_EST",W$2,"Options: Curr=USD")))</f>
        <v>#NAME?</v>
      </c>
      <c r="X6" s="72" t="e" cm="1">
        <f t="array" aca="1" ref="X6" ca="1">_xll.SNL.Clients.Office.Excel.Functions.SPG($L6, $X$3,X$4)</f>
        <v>#NAME?</v>
      </c>
      <c r="Y6" s="73" t="str">
        <f ca="1">IFERROR(0.001*AVERAGE(_xll.SNL.Clients.Office.Excel.Functions.SPG($L6,$Y$4,"Cu",Y$2),_xll.SNL.Clients.Office.Excel.Functions.SPG($L6,$Y$3,"Cu",Y$2)),"NA")</f>
        <v>NA</v>
      </c>
      <c r="Z6" s="74" t="str">
        <f ca="1">IFERROR(0.001*AVERAGE(_xll.SNL.Clients.Office.Excel.Functions.SPG($L6,$Y$4,"Cu",Z$2),_xll.SNL.Clients.Office.Excel.Functions.SPG($L6,$Y$3,"Cu",Z$2)),"NA")</f>
        <v>NA</v>
      </c>
      <c r="AA6" s="75" t="str">
        <f ca="1">IFERROR(0.001*AVERAGE(_xll.SNL.Clients.Office.Excel.Functions.SPG($L6,$Y$4,"Cu",AA$2),_xll.SNL.Clients.Office.Excel.Functions.SPG($L6,$Y$3,"Cu",AA$2)),"NA")</f>
        <v>NA</v>
      </c>
      <c r="AB6" s="74" t="e">
        <f ca="1" xml:space="preserve"> IF(ISNUMBER(SEARCH("na",_xll.SNL.Clients.Office.Excel.Functions.SPG($L6, $AB$4, AB$2))), 0,_xll.SNL.Clients.Office.Excel.Functions.SPG($L6, $AB$4, AB$2))</f>
        <v>#NAME?</v>
      </c>
      <c r="AC6" s="74" t="e">
        <f ca="1" xml:space="preserve"> IF(ISNUMBER(SEARCH("na",_xll.SNL.Clients.Office.Excel.Functions.SPG($L6, $AB$4, AC$2))), 0,_xll.SNL.Clients.Office.Excel.Functions.SPG($L6, $AB$4, AC$2))</f>
        <v>#NAME?</v>
      </c>
      <c r="AD6" s="74" t="e">
        <f ca="1" xml:space="preserve"> IF(ISNUMBER(SEARCH("na",_xll.SNL.Clients.Office.Excel.Functions.SPG($L6, $AB$4, AD$2))), 0,_xll.SNL.Clients.Office.Excel.Functions.SPG($L6, $AB$4, AD$2))</f>
        <v>#NAME?</v>
      </c>
      <c r="AE6" s="74" t="e">
        <f ca="1" xml:space="preserve"> IF(ISNUMBER(SEARCH("na",_xll.SNL.Clients.Office.Excel.Functions.SPG($L6, $AE$4, AE$2))), 0,_xll.SNL.Clients.Office.Excel.Functions.SPG($L6, $AE$4, AE$2))</f>
        <v>#NAME?</v>
      </c>
      <c r="AF6" s="74" t="e">
        <f ca="1" xml:space="preserve"> IF(ISNUMBER(SEARCH("na",_xll.SNL.Clients.Office.Excel.Functions.SPG($L6, $AE$4, AF$2))), 0,_xll.SNL.Clients.Office.Excel.Functions.SPG($L6, $AE$4, AF$2))</f>
        <v>#NAME?</v>
      </c>
      <c r="AG6" s="74" t="e">
        <f ca="1" xml:space="preserve"> IF(ISNUMBER(SEARCH("na",_xll.SNL.Clients.Office.Excel.Functions.SPG($L6, $AE$4, AG$2))), 0,_xll.SNL.Clients.Office.Excel.Functions.SPG($L6, $AE$4, AG$2))</f>
        <v>#NAME?</v>
      </c>
      <c r="AH6" s="74" t="e">
        <f ca="1" xml:space="preserve"> IF(ISNUMBER(SEARCH("na",_xll.SNL.Clients.Office.Excel.Functions.SPG($L6, $AH$4, AH$2))), 0,_xll.SNL.Clients.Office.Excel.Functions.SPG($L6, $AH$4, AH$2))</f>
        <v>#NAME?</v>
      </c>
      <c r="AI6" s="74" t="e">
        <f ca="1" xml:space="preserve"> IF(ISNUMBER(SEARCH("na",_xll.SNL.Clients.Office.Excel.Functions.SPG($L6, $AH$4, AI$2))), 0,_xll.SNL.Clients.Office.Excel.Functions.SPG($L6, $AH$4, AI$2))</f>
        <v>#NAME?</v>
      </c>
      <c r="AJ6" s="74" t="e">
        <f ca="1" xml:space="preserve"> IF(ISNUMBER(SEARCH("na",_xll.SNL.Clients.Office.Excel.Functions.SPG($L6, $AH$4, AJ$2))), 0,_xll.SNL.Clients.Office.Excel.Functions.SPG($L6, $AH$4, AJ$2))</f>
        <v>#NAME?</v>
      </c>
      <c r="AK6" s="74" t="e">
        <f t="shared" ref="AK6:AM10" ca="1" si="0">AH6+AB6*auprice/cuprice+AE6*agprice/cuprice</f>
        <v>#NAME?</v>
      </c>
      <c r="AL6" s="74" t="e">
        <f t="shared" ca="1" si="0"/>
        <v>#NAME?</v>
      </c>
      <c r="AM6" s="74" t="e">
        <f t="shared" ca="1" si="0"/>
        <v>#NAME?</v>
      </c>
      <c r="AN6" s="76" t="str">
        <f t="shared" ref="AN6:AP10" ca="1" si="1">IFERROR($H6/AK6,"NA")</f>
        <v>NA</v>
      </c>
      <c r="AO6" s="77" t="str">
        <f t="shared" ca="1" si="1"/>
        <v>NA</v>
      </c>
      <c r="AP6" s="78" t="str">
        <f t="shared" ca="1" si="1"/>
        <v>NA</v>
      </c>
      <c r="AQ6" s="74">
        <f ca="1">IFERROR(_xll.SNL.Clients.Office.Excel.Functions.SPG($L6, $AQ$3, AQ$2,$AQ$4)/1000,0)</f>
        <v>0</v>
      </c>
      <c r="AR6" s="74">
        <f ca="1">IFERROR(_xll.SNL.Clients.Office.Excel.Functions.SPG($L6, $AQ$3, AR$2,$AQ$4)/1000,0)</f>
        <v>0</v>
      </c>
      <c r="AS6" s="74">
        <f ca="1">IFERROR(_xll.SNL.Clients.Office.Excel.Functions.SPG($L6, $AT$3, AS$2,$AQ$4)/1000,0)</f>
        <v>0</v>
      </c>
      <c r="AT6" s="74">
        <f ca="1">IFERROR(_xll.SNL.Clients.Office.Excel.Functions.SPG($L6, $AT$3, AT$2,$AQ$4)/1000,0)</f>
        <v>0</v>
      </c>
      <c r="AU6" s="74">
        <f ca="1">IFERROR(_xll.SNL.Clients.Office.Excel.Functions.SPG($L6, $AT$3, AU$2,$AQ$4)/1000,0)</f>
        <v>0</v>
      </c>
      <c r="AV6" s="74">
        <f ca="1">IFERROR(_xll.SNL.Clients.Office.Excel.Functions.SPG($L6, $AT$3, AV$2,$AQ$4)/1000,0)</f>
        <v>0</v>
      </c>
      <c r="AW6" s="74">
        <f ca="1">IFERROR(_xll.SNL.Clients.Office.Excel.Functions.SPG($L6, $AW$3, AW$2,$AQ$4)/1000,0)</f>
        <v>0</v>
      </c>
      <c r="AX6" s="74">
        <f ca="1">IFERROR(_xll.SNL.Clients.Office.Excel.Functions.SPG($L6, $AW$3, AX$2,$AQ$4)/1000,0)</f>
        <v>0</v>
      </c>
      <c r="AY6" s="74">
        <f ca="1">IFERROR(_xll.SNL.Clients.Office.Excel.Functions.SPG($L6, $AZ$3, AY$2,$AQ$4)/1000,0)</f>
        <v>0</v>
      </c>
      <c r="AZ6" s="74">
        <f ca="1">IFERROR(_xll.SNL.Clients.Office.Excel.Functions.SPG($L6, $AZ$3, AZ$2,$AQ$4)/1000,0)</f>
        <v>0</v>
      </c>
      <c r="BA6" s="74">
        <f ca="1">IFERROR(_xll.SNL.Clients.Office.Excel.Functions.SPG($L6, $AZ$3, BA$2,$AQ$4)/1000,0)</f>
        <v>0</v>
      </c>
      <c r="BB6" s="74">
        <f ca="1">IFERROR(_xll.SNL.Clients.Office.Excel.Functions.SPG($L6, $AZ$3, BB$2,$AQ$4)/1000,0)</f>
        <v>0</v>
      </c>
      <c r="BC6" s="74">
        <f ca="1">IFERROR(_xll.SNL.Clients.Office.Excel.Functions.SPG($L6, $BC$3, BC$2,$AQ$4)/1000,0)</f>
        <v>0</v>
      </c>
      <c r="BD6" s="74">
        <f ca="1">IFERROR(_xll.SNL.Clients.Office.Excel.Functions.SPG($L6, $BC$3, BD$2,$AQ$4)/1000,0)</f>
        <v>0</v>
      </c>
      <c r="BE6" s="74">
        <f ca="1">IFERROR(_xll.SNL.Clients.Office.Excel.Functions.SPG($L6, $BF$3, BE$2,$AQ$4)/1000,0)</f>
        <v>0</v>
      </c>
      <c r="BF6" s="74">
        <f ca="1">IFERROR(_xll.SNL.Clients.Office.Excel.Functions.SPG($L6, $BF$3, BF$2,$AQ$4)/1000,0)</f>
        <v>0</v>
      </c>
      <c r="BG6" s="74">
        <f ca="1">IFERROR(_xll.SNL.Clients.Office.Excel.Functions.SPG($L6, $BF$3, BG$2,$AQ$4)/1000,0)</f>
        <v>0</v>
      </c>
      <c r="BH6" s="74">
        <f ca="1">IFERROR(_xll.SNL.Clients.Office.Excel.Functions.SPG($L6, $BF$3, BH$2,$AQ$4)/1000,0)</f>
        <v>0</v>
      </c>
      <c r="BI6" s="74">
        <f ca="1">AS6+AQ6*auprice/cuprice+AR6*agprice/cuprice+AT6*znprice/cuprice+AU6*pbprice/cuprice+AV6*niprice/cuprice</f>
        <v>0</v>
      </c>
      <c r="BJ6" s="74">
        <f ca="1">AY6+AW6*auprice/cuprice+AX6*agprice/cuprice+AZ6*znprice/cuprice+BA6*pbprice/cuprice+BB6*niprice/cuprice</f>
        <v>0</v>
      </c>
      <c r="BK6" s="74">
        <f ca="1">BE6+BC6*auprice/cuprice+BD6*agprice/cuprice+BF6*znprice/cuprice+BG6*pbprice/cuprice+BH6*niprice/cuprice</f>
        <v>0</v>
      </c>
      <c r="BL6" s="73" t="e">
        <f t="shared" ref="BL6:BN10" ca="1" si="2">$H6*1000/BI6</f>
        <v>#NAME?</v>
      </c>
      <c r="BM6" s="74" t="e">
        <f t="shared" ca="1" si="2"/>
        <v>#NAME?</v>
      </c>
      <c r="BN6" s="75" t="e">
        <f t="shared" ca="1" si="2"/>
        <v>#NAME?</v>
      </c>
      <c r="BO6" s="79" t="e" cm="1">
        <f t="array" aca="1" ref="BO6" ca="1">_xll.SNL.Clients.Office.Excel.Functions.SPG($L6, $BO$3,BO$2)</f>
        <v>#NAME?</v>
      </c>
      <c r="BP6" s="79" t="e" cm="1">
        <f t="array" aca="1" ref="BP6" ca="1">_xll.SNL.Clients.Office.Excel.Functions.SPG($L6, $BO$3,BP$2)</f>
        <v>#NAME?</v>
      </c>
      <c r="BQ6" s="80" t="e" cm="1">
        <f t="array" aca="1" ref="BQ6" ca="1">_xll.SNL.Clients.Office.Excel.Functions.SPG($L6, $BO$3,BQ$2)</f>
        <v>#NAME?</v>
      </c>
      <c r="BR6" s="79" t="e">
        <f ca="1">_xll.SNL.Clients.Office.Excel.Functions.SPG($L6, $BR$3, BR$2, "Cu", "Options:Curr=USD")</f>
        <v>#NAME?</v>
      </c>
      <c r="BS6" s="79" t="e">
        <f ca="1">_xll.SNL.Clients.Office.Excel.Functions.SPG($L6, $BR$3, BS$2, "Cu", "Options:Curr=USD")</f>
        <v>#NAME?</v>
      </c>
      <c r="BT6" s="79" t="e">
        <f ca="1">_xll.SNL.Clients.Office.Excel.Functions.SPG($L6, $BR$3, BT$2, "Cu", "Options:Curr=USD")</f>
        <v>#NAME?</v>
      </c>
      <c r="BU6" s="81" t="str">
        <f ca="1">IFERROR(AVERAGE(_xll.SNL.Clients.Office.Excel.Functions.SPG($L6,$BU$4,"Cu",BU$2,"Options:Curr=USD"),_xll.SNL.Clients.Office.Excel.Functions.SPG($L6,$BU$3,"Cu",BU$2, "Options:Curr=USD")),"NA")</f>
        <v>NA</v>
      </c>
      <c r="BV6" s="79" t="str">
        <f ca="1">IFERROR(AVERAGE(_xll.SNL.Clients.Office.Excel.Functions.SPG($L6,$BU$4,"Cu",BV$2,"Options:Curr=USD"),_xll.SNL.Clients.Office.Excel.Functions.SPG($L6,$BU$3,"Cu",BV$2, "Options:Curr=USD")),"NA")</f>
        <v>NA</v>
      </c>
      <c r="BW6" s="80" t="str">
        <f ca="1">IFERROR(AVERAGE(_xll.SNL.Clients.Office.Excel.Functions.SPG($L6,$BU$4,"Cu",BW$2,"Options:Curr=USD"),_xll.SNL.Clients.Office.Excel.Functions.SPG($L6,$BU$3,"Cu",BW$2, "Options:Curr=USD")),"NA")</f>
        <v>NA</v>
      </c>
      <c r="BY6" s="82" t="s">
        <v>86</v>
      </c>
      <c r="BZ6" s="83" t="s">
        <v>87</v>
      </c>
      <c r="CA6" s="59"/>
      <c r="CB6" s="84"/>
    </row>
    <row r="7" spans="1:80" ht="14.4">
      <c r="A7" s="60" t="e">
        <f ca="1">_xll.SNL.Clients.Office.Excel.Functions.SPG($L7, A$3)</f>
        <v>#NAME?</v>
      </c>
      <c r="B7" s="60" t="e">
        <f ca="1">_xll.BDP($K7,B$3)</f>
        <v>#NAME?</v>
      </c>
      <c r="C7" s="60" t="e">
        <f ca="1">_xll.BDP($K7,C$3)</f>
        <v>#NAME?</v>
      </c>
      <c r="D7" s="60" t="e">
        <f ca="1">_xll.BDP($K7,D$3)</f>
        <v>#NAME?</v>
      </c>
      <c r="E7" s="61" t="s">
        <v>88</v>
      </c>
      <c r="F7" s="61" t="s">
        <v>89</v>
      </c>
      <c r="G7" s="61" t="s">
        <v>90</v>
      </c>
      <c r="H7" s="62" t="e">
        <f ca="1">_xll.SNL.Clients.Office.Excel.Functions.SPG($L7, "IQ_TEV", "Options: Curr=USD")</f>
        <v>#NAME?</v>
      </c>
      <c r="I7" s="62" t="e">
        <f ca="1">_xll.SNL.Clients.Office.Excel.Functions.SPG($L7, "SP_MARKETCAP", "Options: Curr=USD")</f>
        <v>#NAME?</v>
      </c>
      <c r="J7" s="63" t="s">
        <v>91</v>
      </c>
      <c r="K7" s="28" t="s">
        <v>92</v>
      </c>
      <c r="L7" s="28" t="s">
        <v>93</v>
      </c>
      <c r="M7" s="64" t="e" cm="1">
        <f t="array" aca="1" ref="M7" ca="1">_xll.SNL.Clients.Office.Excel.Functions.SPG($L7, $M$3)/100</f>
        <v>#NAME?</v>
      </c>
      <c r="N7" s="65" t="e" cm="1">
        <f t="array" aca="1" ref="N7" ca="1">_xll.SNL.Clients.Office.Excel.Functions.SPG($L7, "SP_PCFPS_FWD",N$2)</f>
        <v>#NAME?</v>
      </c>
      <c r="O7" s="66" t="e" cm="1">
        <f t="array" aca="1" ref="O7" ca="1">_xll.SNL.Clients.Office.Excel.Functions.SPG($L7, "SP_PCFPS_FWD",O$2)</f>
        <v>#NAME?</v>
      </c>
      <c r="P7" s="67" t="e" cm="1">
        <f t="array" aca="1" ref="P7" ca="1">_xll.SNL.Clients.Office.Excel.Functions.SPG($L7, "SP_PCFPS_FWD",P$2)</f>
        <v>#NAME?</v>
      </c>
      <c r="Q7" s="68" t="e">
        <f ca="1">_xll.SNL.Clients.Office.Excel.Functions.SPG($L7, "SP_FCF_EST",Q$2, "Options: Curr=USD")/1000/$I7</f>
        <v>#NAME?</v>
      </c>
      <c r="R7" s="68" t="e">
        <f ca="1">_xll.SNL.Clients.Office.Excel.Functions.SPG($L7, "SP_FCF_EST",R$2, "Options: Curr=USD")/1000/$I7</f>
        <v>#NAME?</v>
      </c>
      <c r="S7" s="85" t="e">
        <f ca="1">_xll.SNL.Clients.Office.Excel.Functions.SPG($L7, "SP_FCF_EST",S$2, "Options: Curr=USD")/1000/$I7</f>
        <v>#NAME?</v>
      </c>
      <c r="T7" s="65" t="e" cm="1">
        <f t="array" aca="1" ref="T7" ca="1">_xll.SNL.Clients.Office.Excel.Functions.SPG($L7, "SP_PE_FWD",T$2)</f>
        <v>#NAME?</v>
      </c>
      <c r="U7" s="66" t="e" cm="1">
        <f t="array" aca="1" ref="U7" ca="1">_xll.SNL.Clients.Office.Excel.Functions.SPG($L7, "SP_PE_FWD",U$2)</f>
        <v>#NAME?</v>
      </c>
      <c r="V7" s="67" t="e" cm="1">
        <f t="array" aca="1" ref="V7" ca="1">_xll.SNL.Clients.Office.Excel.Functions.SPG($L7, "SP_PE_FWD",V$2)</f>
        <v>#NAME?</v>
      </c>
      <c r="W7" s="71" t="e" cm="1">
        <f t="array" aca="1" ref="W7" ca="1">IF((_xll.SNL.Clients.Office.Excel.Functions.SPG($L7,$W$3,W$4,"Options: Curr=USD") / _xll.SNL.Clients.Office.Excel.Functions.SPG($L7,"SP_EBITDA_EST",W$2,"Options: Curr=USD")) &lt; 0, "NM", (_xll.SNL.Clients.Office.Excel.Functions.SPG($L7,$W$3,W$4,"Options: Curr=USD") / _xll.SNL.Clients.Office.Excel.Functions.SPG($L7,"SP_EBITDA_EST",W$2,"Options: Curr=USD")))</f>
        <v>#NAME?</v>
      </c>
      <c r="X7" s="86" t="e" cm="1">
        <f t="array" aca="1" ref="X7" ca="1">_xll.SNL.Clients.Office.Excel.Functions.SPG($L7, $X$3,X$4)</f>
        <v>#NAME?</v>
      </c>
      <c r="Y7" s="87" t="str">
        <f ca="1">IFERROR(0.001*AVERAGE(_xll.SNL.Clients.Office.Excel.Functions.SPG($L7,$Y$4,"Cu",Y$2),_xll.SNL.Clients.Office.Excel.Functions.SPG($L7,$Y$3,"Cu",Y$2)),"NA")</f>
        <v>NA</v>
      </c>
      <c r="Z7" s="74" t="str">
        <f ca="1">IFERROR(0.001*AVERAGE(_xll.SNL.Clients.Office.Excel.Functions.SPG($L7,$Y$4,"Au",Z$2),_xll.SNL.Clients.Office.Excel.Functions.SPG($L7,$Y$3,"Au",Z$2)),"NA")</f>
        <v>NA</v>
      </c>
      <c r="AA7" s="88" t="str">
        <f ca="1">IFERROR(0.001*AVERAGE(_xll.SNL.Clients.Office.Excel.Functions.SPG($L7,$Y$4,"Au",AA$2),_xll.SNL.Clients.Office.Excel.Functions.SPG($L7,$Y$3,"Au",AA$2)),"NA")</f>
        <v>NA</v>
      </c>
      <c r="AB7" s="74" t="e">
        <f ca="1" xml:space="preserve"> IF(ISNUMBER(SEARCH("na",_xll.SNL.Clients.Office.Excel.Functions.SPG($L7, $AB$4, AB$2))), 0,_xll.SNL.Clients.Office.Excel.Functions.SPG($L7, $AB$4, AB$2))</f>
        <v>#NAME?</v>
      </c>
      <c r="AC7" s="74" t="e">
        <f ca="1" xml:space="preserve"> IF(ISNUMBER(SEARCH("na",_xll.SNL.Clients.Office.Excel.Functions.SPG($L7, $AB$4, AC$2))), 0,_xll.SNL.Clients.Office.Excel.Functions.SPG($L7, $AB$4, AC$2))</f>
        <v>#NAME?</v>
      </c>
      <c r="AD7" s="74" t="e">
        <f ca="1" xml:space="preserve"> IF(ISNUMBER(SEARCH("na",_xll.SNL.Clients.Office.Excel.Functions.SPG($L7, $AB$4, AD$2))), 0,_xll.SNL.Clients.Office.Excel.Functions.SPG($L7, $AB$4, AD$2))</f>
        <v>#NAME?</v>
      </c>
      <c r="AE7" s="74" t="e">
        <f ca="1" xml:space="preserve"> IF(ISNUMBER(SEARCH("na",_xll.SNL.Clients.Office.Excel.Functions.SPG($L7, $AE$4, AE$2))), 0,_xll.SNL.Clients.Office.Excel.Functions.SPG($L7, $AE$4, AE$2))</f>
        <v>#NAME?</v>
      </c>
      <c r="AF7" s="74" t="e">
        <f ca="1" xml:space="preserve"> IF(ISNUMBER(SEARCH("na",_xll.SNL.Clients.Office.Excel.Functions.SPG($L7, $AE$4, AF$2))), 0,_xll.SNL.Clients.Office.Excel.Functions.SPG($L7, $AE$4, AF$2))</f>
        <v>#NAME?</v>
      </c>
      <c r="AG7" s="74" t="e">
        <f ca="1" xml:space="preserve"> IF(ISNUMBER(SEARCH("na",_xll.SNL.Clients.Office.Excel.Functions.SPG($L7, $AE$4, AG$2))), 0,_xll.SNL.Clients.Office.Excel.Functions.SPG($L7, $AE$4, AG$2))</f>
        <v>#NAME?</v>
      </c>
      <c r="AH7" s="74" t="e">
        <f ca="1" xml:space="preserve"> IF(ISNUMBER(SEARCH("na",_xll.SNL.Clients.Office.Excel.Functions.SPG($L7, $AH$4, AH$2))), 0,_xll.SNL.Clients.Office.Excel.Functions.SPG($L7, $AH$4, AH$2))</f>
        <v>#NAME?</v>
      </c>
      <c r="AI7" s="74" t="e">
        <f ca="1" xml:space="preserve"> IF(ISNUMBER(SEARCH("na",_xll.SNL.Clients.Office.Excel.Functions.SPG($L7, $AH$4, AI$2))), 0,_xll.SNL.Clients.Office.Excel.Functions.SPG($L7, $AH$4, AI$2))</f>
        <v>#NAME?</v>
      </c>
      <c r="AJ7" s="74" t="e">
        <f ca="1" xml:space="preserve"> IF(ISNUMBER(SEARCH("na",_xll.SNL.Clients.Office.Excel.Functions.SPG($L7, $AH$4, AJ$2))), 0,_xll.SNL.Clients.Office.Excel.Functions.SPG($L7, $AH$4, AJ$2))</f>
        <v>#NAME?</v>
      </c>
      <c r="AK7" s="74" t="e">
        <f t="shared" ref="AK7:AM11" ca="1" si="3">AH7+AB7*auprice/cuprice+AE7*agprice/cuprice</f>
        <v>#NAME?</v>
      </c>
      <c r="AL7" s="74" t="e">
        <f t="shared" ca="1" si="3"/>
        <v>#NAME?</v>
      </c>
      <c r="AM7" s="74" t="e">
        <f t="shared" ca="1" si="3"/>
        <v>#NAME?</v>
      </c>
      <c r="AN7" s="89" t="str">
        <f t="shared" ca="1" si="1"/>
        <v>NA</v>
      </c>
      <c r="AO7" s="90" t="str">
        <f t="shared" ca="1" si="1"/>
        <v>NA</v>
      </c>
      <c r="AP7" s="91" t="str">
        <f t="shared" ca="1" si="1"/>
        <v>NA</v>
      </c>
      <c r="AQ7" s="74">
        <f ca="1">IFERROR(_xll.SNL.Clients.Office.Excel.Functions.SPG($L7, $AQ$3, AQ$2,$AQ$4)/1000,0)</f>
        <v>0</v>
      </c>
      <c r="AR7" s="74">
        <f ca="1">IFERROR(_xll.SNL.Clients.Office.Excel.Functions.SPG($L7, $AQ$3, AR$2,$AQ$4)/1000,0)</f>
        <v>0</v>
      </c>
      <c r="AS7" s="74">
        <f ca="1">IFERROR(_xll.SNL.Clients.Office.Excel.Functions.SPG($L7, $AT$3, AS$2,$AQ$4)/1000,0)</f>
        <v>0</v>
      </c>
      <c r="AT7" s="74">
        <f ca="1">IFERROR(_xll.SNL.Clients.Office.Excel.Functions.SPG($L7, $AT$3, AT$2,$AQ$4)/1000,0)</f>
        <v>0</v>
      </c>
      <c r="AU7" s="74">
        <f ca="1">IFERROR(_xll.SNL.Clients.Office.Excel.Functions.SPG($L7, $AT$3, AU$2,$AQ$4)/1000,0)</f>
        <v>0</v>
      </c>
      <c r="AV7" s="74">
        <f ca="1">IFERROR(_xll.SNL.Clients.Office.Excel.Functions.SPG($L7, $AT$3, AV$2,$AQ$4)/1000,0)</f>
        <v>0</v>
      </c>
      <c r="AW7" s="74">
        <f ca="1">IFERROR(_xll.SNL.Clients.Office.Excel.Functions.SPG($L7, $AW$3, AW$2,$AQ$4)/1000,0)</f>
        <v>0</v>
      </c>
      <c r="AX7" s="74">
        <f ca="1">IFERROR(_xll.SNL.Clients.Office.Excel.Functions.SPG($L7, $AW$3, AX$2,$AQ$4)/1000,0)</f>
        <v>0</v>
      </c>
      <c r="AY7" s="74">
        <f ca="1">IFERROR(_xll.SNL.Clients.Office.Excel.Functions.SPG($L7, $AZ$3, AY$2,$AQ$4)/1000,0)</f>
        <v>0</v>
      </c>
      <c r="AZ7" s="74">
        <f ca="1">IFERROR(_xll.SNL.Clients.Office.Excel.Functions.SPG($L7, $AZ$3, AZ$2,$AQ$4)/1000,0)</f>
        <v>0</v>
      </c>
      <c r="BA7" s="74">
        <f ca="1">IFERROR(_xll.SNL.Clients.Office.Excel.Functions.SPG($L7, $AZ$3, BA$2,$AQ$4)/1000,0)</f>
        <v>0</v>
      </c>
      <c r="BB7" s="74">
        <f ca="1">IFERROR(_xll.SNL.Clients.Office.Excel.Functions.SPG($L7, $AZ$3, BB$2,$AQ$4)/1000,0)</f>
        <v>0</v>
      </c>
      <c r="BC7" s="74">
        <f ca="1">IFERROR(_xll.SNL.Clients.Office.Excel.Functions.SPG($L7, $BC$3, BC$2,$AQ$4)/1000,0)</f>
        <v>0</v>
      </c>
      <c r="BD7" s="74">
        <f ca="1">IFERROR(_xll.SNL.Clients.Office.Excel.Functions.SPG($L7, $BC$3, BD$2,$AQ$4)/1000,0)</f>
        <v>0</v>
      </c>
      <c r="BE7" s="74">
        <f ca="1">IFERROR(_xll.SNL.Clients.Office.Excel.Functions.SPG($L7, $BF$3, BE$2,$AQ$4)/1000,0)</f>
        <v>0</v>
      </c>
      <c r="BF7" s="74">
        <f ca="1">IFERROR(_xll.SNL.Clients.Office.Excel.Functions.SPG($L7, $BF$3, BF$2,$AQ$4)/1000,0)</f>
        <v>0</v>
      </c>
      <c r="BG7" s="74">
        <f ca="1">IFERROR(_xll.SNL.Clients.Office.Excel.Functions.SPG($L7, $BF$3, BG$2,$AQ$4)/1000,0)</f>
        <v>0</v>
      </c>
      <c r="BH7" s="74">
        <f ca="1">IFERROR(_xll.SNL.Clients.Office.Excel.Functions.SPG($L7, $BF$3, BH$2,$AQ$4)/1000,0)</f>
        <v>0</v>
      </c>
      <c r="BI7" s="74">
        <f ca="1">AS7+AQ7*auprice/cuprice+AR7*agprice/cuprice+AT7*znprice/cuprice+AU7*pbprice/cuprice+AV7*niprice/cuprice</f>
        <v>0</v>
      </c>
      <c r="BJ7" s="74">
        <f ca="1">AY7+AW7*auprice/cuprice+AX7*agprice/cuprice+AZ7*znprice/cuprice+BA7*pbprice/cuprice+BB7*niprice/cuprice</f>
        <v>0</v>
      </c>
      <c r="BK7" s="74">
        <f ca="1">BE7+BC7*auprice/cuprice+BD7*agprice/cuprice+BF7*znprice/cuprice+BG7*pbprice/cuprice+BH7*niprice/cuprice</f>
        <v>0</v>
      </c>
      <c r="BL7" s="87" t="e">
        <f t="shared" ca="1" si="2"/>
        <v>#NAME?</v>
      </c>
      <c r="BM7" s="74" t="e">
        <f t="shared" ca="1" si="2"/>
        <v>#NAME?</v>
      </c>
      <c r="BN7" s="88" t="e">
        <f t="shared" ca="1" si="2"/>
        <v>#NAME?</v>
      </c>
      <c r="BO7" s="79" t="e" cm="1">
        <f t="array" aca="1" ref="BO7" ca="1">_xll.SNL.Clients.Office.Excel.Functions.SPG($L7, $BO$3,BO$2)</f>
        <v>#NAME?</v>
      </c>
      <c r="BP7" s="79" t="e" cm="1">
        <f t="array" aca="1" ref="BP7" ca="1">_xll.SNL.Clients.Office.Excel.Functions.SPG($L7, $BO$3,BP$2)</f>
        <v>#NAME?</v>
      </c>
      <c r="BQ7" s="80" t="e" cm="1">
        <f t="array" aca="1" ref="BQ7" ca="1">_xll.SNL.Clients.Office.Excel.Functions.SPG($L7, $BO$3,BQ$2)</f>
        <v>#NAME?</v>
      </c>
      <c r="BR7" s="79" t="e">
        <f ca="1">_xll.SNL.Clients.Office.Excel.Functions.SPG($L7, $BR$3, BR$2, "Cu", "Options:Curr=USD")</f>
        <v>#NAME?</v>
      </c>
      <c r="BS7" s="79" t="e">
        <f ca="1">_xll.SNL.Clients.Office.Excel.Functions.SPG($L7, $BR$3, BS$2, "Cu", "Options:Curr=USD")</f>
        <v>#NAME?</v>
      </c>
      <c r="BT7" s="79" t="e">
        <f ca="1">_xll.SNL.Clients.Office.Excel.Functions.SPG($L7, $BR$3, BT$2, "Cu", "Options:Curr=USD")</f>
        <v>#NAME?</v>
      </c>
      <c r="BU7" s="92" t="str">
        <f ca="1">IFERROR(AVERAGE(_xll.SNL.Clients.Office.Excel.Functions.SPG($L7,$BU$4,"Cu",BU$2,"Options:Curr=USD"),_xll.SNL.Clients.Office.Excel.Functions.SPG($L7,$BU$3,"Cu",BU$2, "Options:Curr=USD")),"NA")</f>
        <v>NA</v>
      </c>
      <c r="BV7" s="79" t="str">
        <f ca="1">IFERROR(AVERAGE(_xll.SNL.Clients.Office.Excel.Functions.SPG($L7,$BU$4,"Cu",BV$2,"Options:Curr=USD"),_xll.SNL.Clients.Office.Excel.Functions.SPG($L7,$BU$3,"Cu",BV$2, "Options:Curr=USD")),"NA")</f>
        <v>NA</v>
      </c>
      <c r="BW7" s="80" t="str">
        <f ca="1">IFERROR(AVERAGE(_xll.SNL.Clients.Office.Excel.Functions.SPG($L7,$BU$4,"Cu",BW$2,"Options:Curr=USD"),_xll.SNL.Clients.Office.Excel.Functions.SPG($L7,$BU$3,"Cu",BW$2, "Options:Curr=USD")),"NA")</f>
        <v>NA</v>
      </c>
      <c r="BY7" s="58" t="s">
        <v>94</v>
      </c>
      <c r="BZ7" s="83" t="s">
        <v>87</v>
      </c>
      <c r="CA7" s="59"/>
      <c r="CB7" s="84"/>
    </row>
    <row r="8" spans="1:80" ht="14.4">
      <c r="A8" s="60" t="e">
        <f ca="1">_xll.SNL.Clients.Office.Excel.Functions.SPG($L8, A$3)</f>
        <v>#NAME?</v>
      </c>
      <c r="B8" s="60" t="e">
        <f ca="1">_xll.BDP($K8,B$3)</f>
        <v>#NAME?</v>
      </c>
      <c r="C8" s="60" t="e">
        <f ca="1">_xll.BDP($K8,C$3)</f>
        <v>#NAME?</v>
      </c>
      <c r="D8" s="60" t="e">
        <f ca="1">_xll.BDP($K8,D$3)</f>
        <v>#NAME?</v>
      </c>
      <c r="E8" s="61" t="s">
        <v>88</v>
      </c>
      <c r="F8" s="61" t="s">
        <v>89</v>
      </c>
      <c r="G8" s="61" t="s">
        <v>90</v>
      </c>
      <c r="H8" s="62" t="e">
        <f ca="1">_xll.SNL.Clients.Office.Excel.Functions.SPG($L8, "IQ_TEV", "Options: Curr=USD")</f>
        <v>#NAME?</v>
      </c>
      <c r="I8" s="62" t="e">
        <f ca="1">_xll.SNL.Clients.Office.Excel.Functions.SPG($L8, "SP_MARKETCAP", "Options: Curr=USD")</f>
        <v>#NAME?</v>
      </c>
      <c r="J8" s="63" t="s">
        <v>95</v>
      </c>
      <c r="K8" s="28" t="s">
        <v>96</v>
      </c>
      <c r="L8" s="3" t="s">
        <v>97</v>
      </c>
      <c r="M8" s="64" t="e" cm="1">
        <f t="array" aca="1" ref="M8" ca="1">_xll.SNL.Clients.Office.Excel.Functions.SPG($L8, $M$3)/100</f>
        <v>#NAME?</v>
      </c>
      <c r="N8" s="65" t="e" cm="1">
        <f t="array" aca="1" ref="N8" ca="1">_xll.SNL.Clients.Office.Excel.Functions.SPG($L8, "SP_PCFPS_FWD",N$2)</f>
        <v>#NAME?</v>
      </c>
      <c r="O8" s="66" t="e" cm="1">
        <f t="array" aca="1" ref="O8" ca="1">_xll.SNL.Clients.Office.Excel.Functions.SPG($L8, "SP_PCFPS_FWD",O$2)</f>
        <v>#NAME?</v>
      </c>
      <c r="P8" s="67" t="e" cm="1">
        <f t="array" aca="1" ref="P8" ca="1">_xll.SNL.Clients.Office.Excel.Functions.SPG($L8, "SP_PCFPS_FWD",P$2)</f>
        <v>#NAME?</v>
      </c>
      <c r="Q8" s="68" t="e">
        <f ca="1">_xll.SNL.Clients.Office.Excel.Functions.SPG($L8, "SP_FCF_EST",Q$2, "Options: Curr=USD")/1000/$I8</f>
        <v>#NAME?</v>
      </c>
      <c r="R8" s="68" t="e">
        <f ca="1">_xll.SNL.Clients.Office.Excel.Functions.SPG($L8, "SP_FCF_EST",R$2, "Options: Curr=USD")/1000/$I8</f>
        <v>#NAME?</v>
      </c>
      <c r="S8" s="85" t="e">
        <f ca="1">_xll.SNL.Clients.Office.Excel.Functions.SPG($L8, "SP_FCF_EST",S$2, "Options: Curr=USD")/1000/$I8</f>
        <v>#NAME?</v>
      </c>
      <c r="T8" s="65" t="e" cm="1">
        <f t="array" aca="1" ref="T8" ca="1">_xll.SNL.Clients.Office.Excel.Functions.SPG($L8, "SP_PE_FWD",T$2)</f>
        <v>#NAME?</v>
      </c>
      <c r="U8" s="66" t="e" cm="1">
        <f t="array" aca="1" ref="U8" ca="1">_xll.SNL.Clients.Office.Excel.Functions.SPG($L8, "SP_PE_FWD",U$2)</f>
        <v>#NAME?</v>
      </c>
      <c r="V8" s="67" t="e" cm="1">
        <f t="array" aca="1" ref="V8" ca="1">_xll.SNL.Clients.Office.Excel.Functions.SPG($L8, "SP_PE_FWD",V$2)</f>
        <v>#NAME?</v>
      </c>
      <c r="W8" s="71" t="e" cm="1">
        <f t="array" aca="1" ref="W8" ca="1">IF((_xll.SNL.Clients.Office.Excel.Functions.SPG($L8,$W$3,W$4,"Options: Curr=USD") / _xll.SNL.Clients.Office.Excel.Functions.SPG($L8,"SP_EBITDA_EST",W$2,"Options: Curr=USD")) &lt; 0, "NM", (_xll.SNL.Clients.Office.Excel.Functions.SPG($L8,$W$3,W$4,"Options: Curr=USD") / _xll.SNL.Clients.Office.Excel.Functions.SPG($L8,"SP_EBITDA_EST",W$2,"Options: Curr=USD")))</f>
        <v>#NAME?</v>
      </c>
      <c r="X8" s="86" t="e" cm="1">
        <f t="array" aca="1" ref="X8" ca="1">_xll.SNL.Clients.Office.Excel.Functions.SPG($L8, $X$3,X$4)</f>
        <v>#NAME?</v>
      </c>
      <c r="Y8" s="87" t="str">
        <f ca="1">IFERROR(0.001*AVERAGE(_xll.SNL.Clients.Office.Excel.Functions.SPG($L8,$Y$4,"Cu",Y$2),_xll.SNL.Clients.Office.Excel.Functions.SPG($L8,$Y$3,"Cu",Y$2)),"NA")</f>
        <v>NA</v>
      </c>
      <c r="Z8" s="74" t="str">
        <f ca="1">IFERROR(0.001*AVERAGE(_xll.SNL.Clients.Office.Excel.Functions.SPG($L8,$Y$4,"Au",Z$2),_xll.SNL.Clients.Office.Excel.Functions.SPG($L8,$Y$3,"Au",Z$2)),"NA")</f>
        <v>NA</v>
      </c>
      <c r="AA8" s="88" t="str">
        <f ca="1">IFERROR(0.001*AVERAGE(_xll.SNL.Clients.Office.Excel.Functions.SPG($L8,$Y$4,"Au",AA$2),_xll.SNL.Clients.Office.Excel.Functions.SPG($L8,$Y$3,"Au",AA$2)),"NA")</f>
        <v>NA</v>
      </c>
      <c r="AB8" s="74" t="e">
        <f ca="1" xml:space="preserve"> IF(ISNUMBER(SEARCH("na",_xll.SNL.Clients.Office.Excel.Functions.SPG($L8, $AB$4, AB$2))), 0,_xll.SNL.Clients.Office.Excel.Functions.SPG($L8, $AB$4, AB$2))</f>
        <v>#NAME?</v>
      </c>
      <c r="AC8" s="74" t="e">
        <f ca="1" xml:space="preserve"> IF(ISNUMBER(SEARCH("na",_xll.SNL.Clients.Office.Excel.Functions.SPG($L8, $AB$4, AC$2))), 0,_xll.SNL.Clients.Office.Excel.Functions.SPG($L8, $AB$4, AC$2))</f>
        <v>#NAME?</v>
      </c>
      <c r="AD8" s="74" t="e">
        <f ca="1" xml:space="preserve"> IF(ISNUMBER(SEARCH("na",_xll.SNL.Clients.Office.Excel.Functions.SPG($L8, $AB$4, AD$2))), 0,_xll.SNL.Clients.Office.Excel.Functions.SPG($L8, $AB$4, AD$2))</f>
        <v>#NAME?</v>
      </c>
      <c r="AE8" s="74" t="e">
        <f ca="1" xml:space="preserve"> IF(ISNUMBER(SEARCH("na",_xll.SNL.Clients.Office.Excel.Functions.SPG($L8, $AE$4, AE$2))), 0,_xll.SNL.Clients.Office.Excel.Functions.SPG($L8, $AE$4, AE$2))</f>
        <v>#NAME?</v>
      </c>
      <c r="AF8" s="74" t="e">
        <f ca="1" xml:space="preserve"> IF(ISNUMBER(SEARCH("na",_xll.SNL.Clients.Office.Excel.Functions.SPG($L8, $AE$4, AF$2))), 0,_xll.SNL.Clients.Office.Excel.Functions.SPG($L8, $AE$4, AF$2))</f>
        <v>#NAME?</v>
      </c>
      <c r="AG8" s="74" t="e">
        <f ca="1" xml:space="preserve"> IF(ISNUMBER(SEARCH("na",_xll.SNL.Clients.Office.Excel.Functions.SPG($L8, $AE$4, AG$2))), 0,_xll.SNL.Clients.Office.Excel.Functions.SPG($L8, $AE$4, AG$2))</f>
        <v>#NAME?</v>
      </c>
      <c r="AH8" s="74" t="e">
        <f ca="1" xml:space="preserve"> IF(ISNUMBER(SEARCH("na",_xll.SNL.Clients.Office.Excel.Functions.SPG($L8, $AH$4, AH$2))), 0,_xll.SNL.Clients.Office.Excel.Functions.SPG($L8, $AH$4, AH$2))</f>
        <v>#NAME?</v>
      </c>
      <c r="AI8" s="74" t="e">
        <f ca="1" xml:space="preserve"> IF(ISNUMBER(SEARCH("na",_xll.SNL.Clients.Office.Excel.Functions.SPG($L8, $AH$4, AI$2))), 0,_xll.SNL.Clients.Office.Excel.Functions.SPG($L8, $AH$4, AI$2))</f>
        <v>#NAME?</v>
      </c>
      <c r="AJ8" s="74" t="e">
        <f ca="1" xml:space="preserve"> IF(ISNUMBER(SEARCH("na",_xll.SNL.Clients.Office.Excel.Functions.SPG($L8, $AH$4, AJ$2))), 0,_xll.SNL.Clients.Office.Excel.Functions.SPG($L8, $AH$4, AJ$2))</f>
        <v>#NAME?</v>
      </c>
      <c r="AK8" s="74" t="e">
        <f t="shared" ref="AK8:AM12" ca="1" si="4">AH8+AB8*auprice/cuprice+AE8*agprice/cuprice</f>
        <v>#NAME?</v>
      </c>
      <c r="AL8" s="74" t="e">
        <f t="shared" ca="1" si="4"/>
        <v>#NAME?</v>
      </c>
      <c r="AM8" s="74" t="e">
        <f t="shared" ca="1" si="4"/>
        <v>#NAME?</v>
      </c>
      <c r="AN8" s="89" t="str">
        <f t="shared" ca="1" si="1"/>
        <v>NA</v>
      </c>
      <c r="AO8" s="90" t="str">
        <f t="shared" ca="1" si="1"/>
        <v>NA</v>
      </c>
      <c r="AP8" s="91" t="str">
        <f t="shared" ca="1" si="1"/>
        <v>NA</v>
      </c>
      <c r="AQ8" s="74">
        <f ca="1">IFERROR(_xll.SNL.Clients.Office.Excel.Functions.SPG($L8, $AQ$3, AQ$2,$AQ$4)/1000,0)</f>
        <v>0</v>
      </c>
      <c r="AR8" s="74">
        <f ca="1">IFERROR(_xll.SNL.Clients.Office.Excel.Functions.SPG($L8, $AQ$3, AR$2,$AQ$4)/1000,0)</f>
        <v>0</v>
      </c>
      <c r="AS8" s="74">
        <f ca="1">IFERROR(_xll.SNL.Clients.Office.Excel.Functions.SPG($L8, $AT$3, AS$2,$AQ$4)/1000,0)</f>
        <v>0</v>
      </c>
      <c r="AT8" s="74">
        <f ca="1">IFERROR(_xll.SNL.Clients.Office.Excel.Functions.SPG($L8, $AT$3, AT$2,$AQ$4)/1000,0)</f>
        <v>0</v>
      </c>
      <c r="AU8" s="74">
        <f ca="1">IFERROR(_xll.SNL.Clients.Office.Excel.Functions.SPG($L8, $AT$3, AU$2,$AQ$4)/1000,0)</f>
        <v>0</v>
      </c>
      <c r="AV8" s="74">
        <f ca="1">IFERROR(_xll.SNL.Clients.Office.Excel.Functions.SPG($L8, $AT$3, AV$2,$AQ$4)/1000,0)</f>
        <v>0</v>
      </c>
      <c r="AW8" s="74">
        <f ca="1">IFERROR(_xll.SNL.Clients.Office.Excel.Functions.SPG($L8, $AW$3, AW$2,$AQ$4)/1000,0)</f>
        <v>0</v>
      </c>
      <c r="AX8" s="74">
        <f ca="1">IFERROR(_xll.SNL.Clients.Office.Excel.Functions.SPG($L8, $AW$3, AX$2,$AQ$4)/1000,0)</f>
        <v>0</v>
      </c>
      <c r="AY8" s="74">
        <f ca="1">IFERROR(_xll.SNL.Clients.Office.Excel.Functions.SPG($L8, $AZ$3, AY$2,$AQ$4)/1000,0)</f>
        <v>0</v>
      </c>
      <c r="AZ8" s="74">
        <f ca="1">IFERROR(_xll.SNL.Clients.Office.Excel.Functions.SPG($L8, $AZ$3, AZ$2,$AQ$4)/1000,0)</f>
        <v>0</v>
      </c>
      <c r="BA8" s="74">
        <f ca="1">IFERROR(_xll.SNL.Clients.Office.Excel.Functions.SPG($L8, $AZ$3, BA$2,$AQ$4)/1000,0)</f>
        <v>0</v>
      </c>
      <c r="BB8" s="74">
        <f ca="1">IFERROR(_xll.SNL.Clients.Office.Excel.Functions.SPG($L8, $AZ$3, BB$2,$AQ$4)/1000,0)</f>
        <v>0</v>
      </c>
      <c r="BC8" s="74">
        <f ca="1">IFERROR(_xll.SNL.Clients.Office.Excel.Functions.SPG($L8, $BC$3, BC$2,$AQ$4)/1000,0)</f>
        <v>0</v>
      </c>
      <c r="BD8" s="74">
        <f ca="1">IFERROR(_xll.SNL.Clients.Office.Excel.Functions.SPG($L8, $BC$3, BD$2,$AQ$4)/1000,0)</f>
        <v>0</v>
      </c>
      <c r="BE8" s="74">
        <f ca="1">IFERROR(_xll.SNL.Clients.Office.Excel.Functions.SPG($L8, $BF$3, BE$2,$AQ$4)/1000,0)</f>
        <v>0</v>
      </c>
      <c r="BF8" s="74">
        <f ca="1">IFERROR(_xll.SNL.Clients.Office.Excel.Functions.SPG($L8, $BF$3, BF$2,$AQ$4)/1000,0)</f>
        <v>0</v>
      </c>
      <c r="BG8" s="74">
        <f ca="1">IFERROR(_xll.SNL.Clients.Office.Excel.Functions.SPG($L8, $BF$3, BG$2,$AQ$4)/1000,0)</f>
        <v>0</v>
      </c>
      <c r="BH8" s="74">
        <f ca="1">IFERROR(_xll.SNL.Clients.Office.Excel.Functions.SPG($L8, $BF$3, BH$2,$AQ$4)/1000,0)</f>
        <v>0</v>
      </c>
      <c r="BI8" s="74">
        <f ca="1">AS8+AQ8*auprice/cuprice+AR8*agprice/cuprice+AT8*znprice/cuprice+AU8*pbprice/cuprice+AV8*niprice/cuprice</f>
        <v>0</v>
      </c>
      <c r="BJ8" s="74">
        <f ca="1">AY8+AW8*auprice/cuprice+AX8*agprice/cuprice+AZ8*znprice/cuprice+BA8*pbprice/cuprice+BB8*niprice/cuprice</f>
        <v>0</v>
      </c>
      <c r="BK8" s="74">
        <f ca="1">BE8+BC8*auprice/cuprice+BD8*agprice/cuprice+BF8*znprice/cuprice+BG8*pbprice/cuprice+BH8*niprice/cuprice</f>
        <v>0</v>
      </c>
      <c r="BL8" s="87" t="e">
        <f t="shared" ca="1" si="2"/>
        <v>#NAME?</v>
      </c>
      <c r="BM8" s="74" t="e">
        <f t="shared" ca="1" si="2"/>
        <v>#NAME?</v>
      </c>
      <c r="BN8" s="88" t="e">
        <f t="shared" ca="1" si="2"/>
        <v>#NAME?</v>
      </c>
      <c r="BO8" s="79" t="e" cm="1">
        <f t="array" aca="1" ref="BO8" ca="1">_xll.SNL.Clients.Office.Excel.Functions.SPG($L8, $BO$3,BO$2)</f>
        <v>#NAME?</v>
      </c>
      <c r="BP8" s="79" t="e" cm="1">
        <f t="array" aca="1" ref="BP8" ca="1">_xll.SNL.Clients.Office.Excel.Functions.SPG($L8, $BO$3,BP$2)</f>
        <v>#NAME?</v>
      </c>
      <c r="BQ8" s="80" t="e" cm="1">
        <f t="array" aca="1" ref="BQ8" ca="1">_xll.SNL.Clients.Office.Excel.Functions.SPG($L8, $BO$3,BQ$2)</f>
        <v>#NAME?</v>
      </c>
      <c r="BR8" s="79" t="e">
        <f ca="1">_xll.SNL.Clients.Office.Excel.Functions.SPG($L8, $BR$3, BR$2, "Cu", "Options:Curr=USD")</f>
        <v>#NAME?</v>
      </c>
      <c r="BS8" s="79" t="e">
        <f ca="1">_xll.SNL.Clients.Office.Excel.Functions.SPG($L8, $BR$3, BS$2, "Cu", "Options:Curr=USD")</f>
        <v>#NAME?</v>
      </c>
      <c r="BT8" s="79" t="e">
        <f ca="1">_xll.SNL.Clients.Office.Excel.Functions.SPG($L8, $BR$3, BT$2, "Cu", "Options:Curr=USD")</f>
        <v>#NAME?</v>
      </c>
      <c r="BU8" s="92" t="str">
        <f ca="1">IFERROR(AVERAGE(_xll.SNL.Clients.Office.Excel.Functions.SPG($L8,$BU$4,"Cu",BU$2,"Options:Curr=USD"),_xll.SNL.Clients.Office.Excel.Functions.SPG($L8,$BU$3,"Cu",BU$2, "Options:Curr=USD")),"NA")</f>
        <v>NA</v>
      </c>
      <c r="BV8" s="79" t="str">
        <f ca="1">IFERROR(AVERAGE(_xll.SNL.Clients.Office.Excel.Functions.SPG($L8,$BU$4,"Cu",BV$2,"Options:Curr=USD"),_xll.SNL.Clients.Office.Excel.Functions.SPG($L8,$BU$3,"Cu",BV$2, "Options:Curr=USD")),"NA")</f>
        <v>NA</v>
      </c>
      <c r="BW8" s="80" t="str">
        <f ca="1">IFERROR(AVERAGE(_xll.SNL.Clients.Office.Excel.Functions.SPG($L8,$BU$4,"Cu",BW$2,"Options:Curr=USD"),_xll.SNL.Clients.Office.Excel.Functions.SPG($L8,$BU$3,"Cu",BW$2, "Options:Curr=USD")),"NA")</f>
        <v>NA</v>
      </c>
      <c r="BY8" s="58" t="s">
        <v>94</v>
      </c>
      <c r="BZ8" s="83" t="s">
        <v>87</v>
      </c>
      <c r="CA8" s="59"/>
      <c r="CB8" s="84"/>
    </row>
    <row r="9" spans="1:80" ht="14.4">
      <c r="A9" s="60" t="e">
        <f ca="1">_xll.SNL.Clients.Office.Excel.Functions.SPG($L9, A$3)</f>
        <v>#NAME?</v>
      </c>
      <c r="B9" s="60" t="e">
        <f ca="1">_xll.BDP($K9,B$3)</f>
        <v>#NAME?</v>
      </c>
      <c r="C9" s="60" t="e">
        <f ca="1">_xll.BDP($K9,C$3)</f>
        <v>#NAME?</v>
      </c>
      <c r="D9" s="60" t="e">
        <f ca="1">_xll.BDP($K9,D$3)</f>
        <v>#NAME?</v>
      </c>
      <c r="E9" s="61" t="s">
        <v>98</v>
      </c>
      <c r="F9" s="61" t="s">
        <v>89</v>
      </c>
      <c r="G9" s="61" t="s">
        <v>90</v>
      </c>
      <c r="H9" s="62" t="e">
        <f ca="1">_xll.SNL.Clients.Office.Excel.Functions.SPG($L9, "IQ_TEV", "Options: Curr=USD")</f>
        <v>#NAME?</v>
      </c>
      <c r="I9" s="62" t="e">
        <f ca="1">_xll.SNL.Clients.Office.Excel.Functions.SPG($L9, "SP_MARKETCAP", "Options: Curr=USD")</f>
        <v>#NAME?</v>
      </c>
      <c r="J9" s="63" t="s">
        <v>99</v>
      </c>
      <c r="K9" s="28" t="s">
        <v>100</v>
      </c>
      <c r="L9" s="3" t="s">
        <v>101</v>
      </c>
      <c r="M9" s="64" t="e" cm="1">
        <f t="array" aca="1" ref="M9" ca="1">_xll.SNL.Clients.Office.Excel.Functions.SPG($L9, $M$3)/100</f>
        <v>#NAME?</v>
      </c>
      <c r="N9" s="65" t="e" cm="1">
        <f t="array" aca="1" ref="N9" ca="1">_xll.SNL.Clients.Office.Excel.Functions.SPG($L9, "SP_PCFPS_FWD",N$2)</f>
        <v>#NAME?</v>
      </c>
      <c r="O9" s="66" t="e" cm="1">
        <f t="array" aca="1" ref="O9" ca="1">_xll.SNL.Clients.Office.Excel.Functions.SPG($L9, "SP_PCFPS_FWD",O$2)</f>
        <v>#NAME?</v>
      </c>
      <c r="P9" s="67" t="e" cm="1">
        <f t="array" aca="1" ref="P9" ca="1">_xll.SNL.Clients.Office.Excel.Functions.SPG($L9, "SP_PCFPS_FWD",P$2)</f>
        <v>#NAME?</v>
      </c>
      <c r="Q9" s="68" t="e">
        <f ca="1">_xll.SNL.Clients.Office.Excel.Functions.SPG($L9, "SP_FCF_EST",Q$2, "Options: Curr=USD")/1000/$I9</f>
        <v>#NAME?</v>
      </c>
      <c r="R9" s="68" t="e">
        <f ca="1">_xll.SNL.Clients.Office.Excel.Functions.SPG($L9, "SP_FCF_EST",R$2, "Options: Curr=USD")/1000/$I9</f>
        <v>#NAME?</v>
      </c>
      <c r="S9" s="85" t="e">
        <f ca="1">_xll.SNL.Clients.Office.Excel.Functions.SPG($L9, "SP_FCF_EST",S$2, "Options: Curr=USD")/1000/$I9</f>
        <v>#NAME?</v>
      </c>
      <c r="T9" s="65" t="e" cm="1">
        <f t="array" aca="1" ref="T9" ca="1">_xll.SNL.Clients.Office.Excel.Functions.SPG($L9, "SP_PE_FWD",T$2)</f>
        <v>#NAME?</v>
      </c>
      <c r="U9" s="66" t="e" cm="1">
        <f t="array" aca="1" ref="U9" ca="1">_xll.SNL.Clients.Office.Excel.Functions.SPG($L9, "SP_PE_FWD",U$2)</f>
        <v>#NAME?</v>
      </c>
      <c r="V9" s="67" t="e" cm="1">
        <f t="array" aca="1" ref="V9" ca="1">_xll.SNL.Clients.Office.Excel.Functions.SPG($L9, "SP_PE_FWD",V$2)</f>
        <v>#NAME?</v>
      </c>
      <c r="W9" s="71" t="e" cm="1">
        <f t="array" aca="1" ref="W9" ca="1">IF((_xll.SNL.Clients.Office.Excel.Functions.SPG($L9,$W$3,W$4,"Options: Curr=USD") / _xll.SNL.Clients.Office.Excel.Functions.SPG($L9,"SP_EBITDA_EST",W$2,"Options: Curr=USD")) &lt; 0, "NM", (_xll.SNL.Clients.Office.Excel.Functions.SPG($L9,$W$3,W$4,"Options: Curr=USD") / _xll.SNL.Clients.Office.Excel.Functions.SPG($L9,"SP_EBITDA_EST",W$2,"Options: Curr=USD")))</f>
        <v>#NAME?</v>
      </c>
      <c r="X9" s="86" t="e" cm="1">
        <f t="array" aca="1" ref="X9" ca="1">_xll.SNL.Clients.Office.Excel.Functions.SPG($L9, $X$3,X$4)</f>
        <v>#NAME?</v>
      </c>
      <c r="Y9" s="87" t="str">
        <f ca="1">IFERROR(0.001*AVERAGE(_xll.SNL.Clients.Office.Excel.Functions.SPG($L9,$Y$4,"Cu",Y$2),_xll.SNL.Clients.Office.Excel.Functions.SPG($L9,$Y$3,"Cu",Y$2)),"NA")</f>
        <v>NA</v>
      </c>
      <c r="Z9" s="74" t="str">
        <f ca="1">IFERROR(0.001*AVERAGE(_xll.SNL.Clients.Office.Excel.Functions.SPG($L9,$Y$4,"Au",Z$2),_xll.SNL.Clients.Office.Excel.Functions.SPG($L9,$Y$3,"Au",Z$2)),"NA")</f>
        <v>NA</v>
      </c>
      <c r="AA9" s="88" t="str">
        <f ca="1">IFERROR(0.001*AVERAGE(_xll.SNL.Clients.Office.Excel.Functions.SPG($L9,$Y$4,"Au",AA$2),_xll.SNL.Clients.Office.Excel.Functions.SPG($L9,$Y$3,"Au",AA$2)),"NA")</f>
        <v>NA</v>
      </c>
      <c r="AB9" s="74" t="e">
        <f ca="1" xml:space="preserve"> IF(ISNUMBER(SEARCH("na",_xll.SNL.Clients.Office.Excel.Functions.SPG($L9, $AB$4, AB$2))), 0,_xll.SNL.Clients.Office.Excel.Functions.SPG($L9, $AB$4, AB$2))</f>
        <v>#NAME?</v>
      </c>
      <c r="AC9" s="74" t="e">
        <f ca="1" xml:space="preserve"> IF(ISNUMBER(SEARCH("na",_xll.SNL.Clients.Office.Excel.Functions.SPG($L9, $AB$4, AC$2))), 0,_xll.SNL.Clients.Office.Excel.Functions.SPG($L9, $AB$4, AC$2))</f>
        <v>#NAME?</v>
      </c>
      <c r="AD9" s="74" t="e">
        <f ca="1" xml:space="preserve"> IF(ISNUMBER(SEARCH("na",_xll.SNL.Clients.Office.Excel.Functions.SPG($L9, $AB$4, AD$2))), 0,_xll.SNL.Clients.Office.Excel.Functions.SPG($L9, $AB$4, AD$2))</f>
        <v>#NAME?</v>
      </c>
      <c r="AE9" s="74" t="e">
        <f ca="1" xml:space="preserve"> IF(ISNUMBER(SEARCH("na",_xll.SNL.Clients.Office.Excel.Functions.SPG($L9, $AE$4, AE$2))), 0,_xll.SNL.Clients.Office.Excel.Functions.SPG($L9, $AE$4, AE$2))</f>
        <v>#NAME?</v>
      </c>
      <c r="AF9" s="74" t="e">
        <f ca="1" xml:space="preserve"> IF(ISNUMBER(SEARCH("na",_xll.SNL.Clients.Office.Excel.Functions.SPG($L9, $AE$4, AF$2))), 0,_xll.SNL.Clients.Office.Excel.Functions.SPG($L9, $AE$4, AF$2))</f>
        <v>#NAME?</v>
      </c>
      <c r="AG9" s="74" t="e">
        <f ca="1" xml:space="preserve"> IF(ISNUMBER(SEARCH("na",_xll.SNL.Clients.Office.Excel.Functions.SPG($L9, $AE$4, AG$2))), 0,_xll.SNL.Clients.Office.Excel.Functions.SPG($L9, $AE$4, AG$2))</f>
        <v>#NAME?</v>
      </c>
      <c r="AH9" s="74" t="e">
        <f ca="1" xml:space="preserve"> IF(ISNUMBER(SEARCH("na",_xll.SNL.Clients.Office.Excel.Functions.SPG($L9, $AH$4, AH$2))), 0,_xll.SNL.Clients.Office.Excel.Functions.SPG($L9, $AH$4, AH$2))</f>
        <v>#NAME?</v>
      </c>
      <c r="AI9" s="74" t="e">
        <f ca="1" xml:space="preserve"> IF(ISNUMBER(SEARCH("na",_xll.SNL.Clients.Office.Excel.Functions.SPG($L9, $AH$4, AI$2))), 0,_xll.SNL.Clients.Office.Excel.Functions.SPG($L9, $AH$4, AI$2))</f>
        <v>#NAME?</v>
      </c>
      <c r="AJ9" s="74" t="e">
        <f ca="1" xml:space="preserve"> IF(ISNUMBER(SEARCH("na",_xll.SNL.Clients.Office.Excel.Functions.SPG($L9, $AH$4, AJ$2))), 0,_xll.SNL.Clients.Office.Excel.Functions.SPG($L9, $AH$4, AJ$2))</f>
        <v>#NAME?</v>
      </c>
      <c r="AK9" s="74" t="e">
        <f t="shared" ref="AK9:AM13" ca="1" si="5">AH9+AB9*auprice/cuprice+AE9*agprice/cuprice</f>
        <v>#NAME?</v>
      </c>
      <c r="AL9" s="74" t="e">
        <f t="shared" ca="1" si="5"/>
        <v>#NAME?</v>
      </c>
      <c r="AM9" s="74" t="e">
        <f t="shared" ca="1" si="5"/>
        <v>#NAME?</v>
      </c>
      <c r="AN9" s="89" t="str">
        <f t="shared" ca="1" si="1"/>
        <v>NA</v>
      </c>
      <c r="AO9" s="90" t="str">
        <f t="shared" ca="1" si="1"/>
        <v>NA</v>
      </c>
      <c r="AP9" s="91" t="str">
        <f t="shared" ca="1" si="1"/>
        <v>NA</v>
      </c>
      <c r="AQ9" s="74">
        <f ca="1">IFERROR(_xll.SNL.Clients.Office.Excel.Functions.SPG($L9, $AQ$3, AQ$2,$AQ$4)/1000,0)</f>
        <v>0</v>
      </c>
      <c r="AR9" s="74">
        <f ca="1">IFERROR(_xll.SNL.Clients.Office.Excel.Functions.SPG($L9, $AQ$3, AR$2,$AQ$4)/1000,0)</f>
        <v>0</v>
      </c>
      <c r="AS9" s="74">
        <f ca="1">IFERROR(_xll.SNL.Clients.Office.Excel.Functions.SPG($L9, $AT$3, AS$2,$AQ$4)/1000,0)</f>
        <v>0</v>
      </c>
      <c r="AT9" s="74">
        <f ca="1">IFERROR(_xll.SNL.Clients.Office.Excel.Functions.SPG($L9, $AT$3, AT$2,$AQ$4)/1000,0)</f>
        <v>0</v>
      </c>
      <c r="AU9" s="74">
        <f ca="1">IFERROR(_xll.SNL.Clients.Office.Excel.Functions.SPG($L9, $AT$3, AU$2,$AQ$4)/1000,0)</f>
        <v>0</v>
      </c>
      <c r="AV9" s="74">
        <f ca="1">IFERROR(_xll.SNL.Clients.Office.Excel.Functions.SPG($L9, $AT$3, AV$2,$AQ$4)/1000,0)</f>
        <v>0</v>
      </c>
      <c r="AW9" s="74">
        <f ca="1">IFERROR(_xll.SNL.Clients.Office.Excel.Functions.SPG($L9, $AW$3, AW$2,$AQ$4)/1000,0)</f>
        <v>0</v>
      </c>
      <c r="AX9" s="74">
        <f ca="1">IFERROR(_xll.SNL.Clients.Office.Excel.Functions.SPG($L9, $AW$3, AX$2,$AQ$4)/1000,0)</f>
        <v>0</v>
      </c>
      <c r="AY9" s="74">
        <f ca="1">IFERROR(_xll.SNL.Clients.Office.Excel.Functions.SPG($L9, $AZ$3, AY$2,$AQ$4)/1000,0)</f>
        <v>0</v>
      </c>
      <c r="AZ9" s="74">
        <f ca="1">IFERROR(_xll.SNL.Clients.Office.Excel.Functions.SPG($L9, $AZ$3, AZ$2,$AQ$4)/1000,0)</f>
        <v>0</v>
      </c>
      <c r="BA9" s="74">
        <f ca="1">IFERROR(_xll.SNL.Clients.Office.Excel.Functions.SPG($L9, $AZ$3, BA$2,$AQ$4)/1000,0)</f>
        <v>0</v>
      </c>
      <c r="BB9" s="74">
        <f ca="1">IFERROR(_xll.SNL.Clients.Office.Excel.Functions.SPG($L9, $AZ$3, BB$2,$AQ$4)/1000,0)</f>
        <v>0</v>
      </c>
      <c r="BC9" s="74">
        <f ca="1">IFERROR(_xll.SNL.Clients.Office.Excel.Functions.SPG($L9, $BC$3, BC$2,$AQ$4)/1000,0)</f>
        <v>0</v>
      </c>
      <c r="BD9" s="74">
        <f ca="1">IFERROR(_xll.SNL.Clients.Office.Excel.Functions.SPG($L9, $BC$3, BD$2,$AQ$4)/1000,0)</f>
        <v>0</v>
      </c>
      <c r="BE9" s="74">
        <f ca="1">IFERROR(_xll.SNL.Clients.Office.Excel.Functions.SPG($L9, $BF$3, BE$2,$AQ$4)/1000,0)</f>
        <v>0</v>
      </c>
      <c r="BF9" s="74">
        <f ca="1">IFERROR(_xll.SNL.Clients.Office.Excel.Functions.SPG($L9, $BF$3, BF$2,$AQ$4)/1000,0)</f>
        <v>0</v>
      </c>
      <c r="BG9" s="74">
        <f ca="1">IFERROR(_xll.SNL.Clients.Office.Excel.Functions.SPG($L9, $BF$3, BG$2,$AQ$4)/1000,0)</f>
        <v>0</v>
      </c>
      <c r="BH9" s="74">
        <f ca="1">IFERROR(_xll.SNL.Clients.Office.Excel.Functions.SPG($L9, $BF$3, BH$2,$AQ$4)/1000,0)</f>
        <v>0</v>
      </c>
      <c r="BI9" s="74">
        <f ca="1">AS9+AQ9*auprice/cuprice+AR9*agprice/cuprice+AT9*znprice/cuprice+AU9*pbprice/cuprice+AV9*niprice/cuprice</f>
        <v>0</v>
      </c>
      <c r="BJ9" s="74">
        <f ca="1">AY9+AW9*auprice/cuprice+AX9*agprice/cuprice+AZ9*znprice/cuprice+BA9*pbprice/cuprice+BB9*niprice/cuprice</f>
        <v>0</v>
      </c>
      <c r="BK9" s="74">
        <f ca="1">BE9+BC9*auprice/cuprice+BD9*agprice/cuprice+BF9*znprice/cuprice+BG9*pbprice/cuprice+BH9*niprice/cuprice</f>
        <v>0</v>
      </c>
      <c r="BL9" s="87" t="e">
        <f t="shared" ca="1" si="2"/>
        <v>#NAME?</v>
      </c>
      <c r="BM9" s="74" t="e">
        <f t="shared" ca="1" si="2"/>
        <v>#NAME?</v>
      </c>
      <c r="BN9" s="88" t="e">
        <f t="shared" ca="1" si="2"/>
        <v>#NAME?</v>
      </c>
      <c r="BO9" s="79" t="e" cm="1">
        <f t="array" aca="1" ref="BO9" ca="1">_xll.SNL.Clients.Office.Excel.Functions.SPG($L9, $BO$3,BO$2)</f>
        <v>#NAME?</v>
      </c>
      <c r="BP9" s="79" t="e" cm="1">
        <f t="array" aca="1" ref="BP9" ca="1">_xll.SNL.Clients.Office.Excel.Functions.SPG($L9, $BO$3,BP$2)</f>
        <v>#NAME?</v>
      </c>
      <c r="BQ9" s="80" t="e" cm="1">
        <f t="array" aca="1" ref="BQ9" ca="1">_xll.SNL.Clients.Office.Excel.Functions.SPG($L9, $BO$3,BQ$2)</f>
        <v>#NAME?</v>
      </c>
      <c r="BR9" s="79" t="e">
        <f ca="1">_xll.SNL.Clients.Office.Excel.Functions.SPG($L9, $BR$3, BR$2, "Cu", "Options:Curr=USD")</f>
        <v>#NAME?</v>
      </c>
      <c r="BS9" s="79" t="e">
        <f ca="1">_xll.SNL.Clients.Office.Excel.Functions.SPG($L9, $BR$3, BS$2, "Cu", "Options:Curr=USD")</f>
        <v>#NAME?</v>
      </c>
      <c r="BT9" s="79" t="e">
        <f ca="1">_xll.SNL.Clients.Office.Excel.Functions.SPG($L9, $BR$3, BT$2, "Cu", "Options:Curr=USD")</f>
        <v>#NAME?</v>
      </c>
      <c r="BU9" s="92" t="str">
        <f ca="1">IFERROR(AVERAGE(_xll.SNL.Clients.Office.Excel.Functions.SPG($L9,$BU$4,"Cu",BU$2,"Options:Curr=USD"),_xll.SNL.Clients.Office.Excel.Functions.SPG($L9,$BU$3,"Cu",BU$2, "Options:Curr=USD")),"NA")</f>
        <v>NA</v>
      </c>
      <c r="BV9" s="79" t="str">
        <f ca="1">IFERROR(AVERAGE(_xll.SNL.Clients.Office.Excel.Functions.SPG($L9,$BU$4,"Cu",BV$2,"Options:Curr=USD"),_xll.SNL.Clients.Office.Excel.Functions.SPG($L9,$BU$3,"Cu",BV$2, "Options:Curr=USD")),"NA")</f>
        <v>NA</v>
      </c>
      <c r="BW9" s="80" t="str">
        <f ca="1">IFERROR(AVERAGE(_xll.SNL.Clients.Office.Excel.Functions.SPG($L9,$BU$4,"Cu",BW$2,"Options:Curr=USD"),_xll.SNL.Clients.Office.Excel.Functions.SPG($L9,$BU$3,"Cu",BW$2, "Options:Curr=USD")),"NA")</f>
        <v>NA</v>
      </c>
      <c r="BY9" s="58" t="s">
        <v>94</v>
      </c>
      <c r="BZ9" s="83" t="s">
        <v>87</v>
      </c>
      <c r="CA9" s="59"/>
      <c r="CB9" s="84"/>
    </row>
    <row r="10" spans="1:80" ht="14.4">
      <c r="A10" s="60" t="e">
        <f ca="1">_xll.SNL.Clients.Office.Excel.Functions.SPG($L10, A$3)</f>
        <v>#NAME?</v>
      </c>
      <c r="B10" s="60" t="e">
        <f ca="1">_xll.BDP($K10,B$3)</f>
        <v>#NAME?</v>
      </c>
      <c r="C10" s="60" t="e">
        <f ca="1">_xll.BDP($K10,C$3)</f>
        <v>#NAME?</v>
      </c>
      <c r="D10" s="60" t="e">
        <f ca="1">_xll.BDP($K10,D$3)</f>
        <v>#NAME?</v>
      </c>
      <c r="E10" s="61" t="s">
        <v>102</v>
      </c>
      <c r="F10" s="61" t="s">
        <v>103</v>
      </c>
      <c r="G10" s="61" t="s">
        <v>90</v>
      </c>
      <c r="H10" s="62" t="e">
        <f ca="1">_xll.SNL.Clients.Office.Excel.Functions.SPG($L10, "IQ_TEV", "Options: Curr=USD")</f>
        <v>#NAME?</v>
      </c>
      <c r="I10" s="62" t="e">
        <f ca="1">_xll.SNL.Clients.Office.Excel.Functions.SPG($L10, "SP_MARKETCAP", "Options: Curr=USD")</f>
        <v>#NAME?</v>
      </c>
      <c r="J10" s="63" t="s">
        <v>104</v>
      </c>
      <c r="K10" s="28" t="s">
        <v>105</v>
      </c>
      <c r="L10" s="3" t="s">
        <v>106</v>
      </c>
      <c r="M10" s="64" t="e" cm="1">
        <f t="array" aca="1" ref="M10" ca="1">_xll.SNL.Clients.Office.Excel.Functions.SPG($L10, $M$3)/100</f>
        <v>#NAME?</v>
      </c>
      <c r="N10" s="65" t="e" cm="1">
        <f t="array" aca="1" ref="N10" ca="1">_xll.SNL.Clients.Office.Excel.Functions.SPG($L10, "SP_PCFPS_FWD",N$2)</f>
        <v>#NAME?</v>
      </c>
      <c r="O10" s="66" t="e" cm="1">
        <f t="array" aca="1" ref="O10" ca="1">_xll.SNL.Clients.Office.Excel.Functions.SPG($L10, "SP_PCFPS_FWD",O$2)</f>
        <v>#NAME?</v>
      </c>
      <c r="P10" s="67" t="e" cm="1">
        <f t="array" aca="1" ref="P10" ca="1">_xll.SNL.Clients.Office.Excel.Functions.SPG($L10, "SP_PCFPS_FWD",P$2)</f>
        <v>#NAME?</v>
      </c>
      <c r="Q10" s="68" t="e">
        <f ca="1">_xll.SNL.Clients.Office.Excel.Functions.SPG($L10, "SP_FCF_EST",Q$2, "Options: Curr=USD")/1000/$I10</f>
        <v>#NAME?</v>
      </c>
      <c r="R10" s="68" t="e">
        <f ca="1">_xll.SNL.Clients.Office.Excel.Functions.SPG($L10, "SP_FCF_EST",R$2, "Options: Curr=USD")/1000/$I10</f>
        <v>#NAME?</v>
      </c>
      <c r="S10" s="93" t="e">
        <f ca="1">_xll.SNL.Clients.Office.Excel.Functions.SPG($L10, "SP_FCF_EST",S$2, "Options: Curr=USD")/1000/$I10</f>
        <v>#NAME?</v>
      </c>
      <c r="T10" s="65" t="e" cm="1">
        <f t="array" aca="1" ref="T10" ca="1">_xll.SNL.Clients.Office.Excel.Functions.SPG($L10, "SP_PE_FWD",T$2)</f>
        <v>#NAME?</v>
      </c>
      <c r="U10" s="66" t="e" cm="1">
        <f t="array" aca="1" ref="U10" ca="1">_xll.SNL.Clients.Office.Excel.Functions.SPG($L10, "SP_PE_FWD",U$2)</f>
        <v>#NAME?</v>
      </c>
      <c r="V10" s="67" t="e" cm="1">
        <f t="array" aca="1" ref="V10" ca="1">_xll.SNL.Clients.Office.Excel.Functions.SPG($L10, "SP_PE_FWD",V$2)</f>
        <v>#NAME?</v>
      </c>
      <c r="W10" s="71" t="e" cm="1">
        <f t="array" aca="1" ref="W10" ca="1">IF((_xll.SNL.Clients.Office.Excel.Functions.SPG($L10,$W$3,W$4,"Options: Curr=USD") / _xll.SNL.Clients.Office.Excel.Functions.SPG($L10,"SP_EBITDA_EST",W$2,"Options: Curr=USD")) &lt; 0, "NM", (_xll.SNL.Clients.Office.Excel.Functions.SPG($L10,$W$3,W$4,"Options: Curr=USD") / _xll.SNL.Clients.Office.Excel.Functions.SPG($L10,"SP_EBITDA_EST",W$2,"Options: Curr=USD")))</f>
        <v>#NAME?</v>
      </c>
      <c r="X10" s="86" t="e" cm="1">
        <f t="array" aca="1" ref="X10" ca="1">_xll.SNL.Clients.Office.Excel.Functions.SPG($L10, $X$3,X$4)</f>
        <v>#NAME?</v>
      </c>
      <c r="Y10" s="94" t="str">
        <f ca="1">IFERROR(0.001*AVERAGE(_xll.SNL.Clients.Office.Excel.Functions.SPG($L10,$Y$4,"Cu",Y$2),_xll.SNL.Clients.Office.Excel.Functions.SPG($L10,$Y$3,"Cu",Y$2)),"NA")</f>
        <v>NA</v>
      </c>
      <c r="Z10" s="74" t="str">
        <f ca="1">IFERROR(0.001*AVERAGE(_xll.SNL.Clients.Office.Excel.Functions.SPG($L10,$Y$4,"Au",Z$2),_xll.SNL.Clients.Office.Excel.Functions.SPG($L10,$Y$3,"Au",Z$2)),"NA")</f>
        <v>NA</v>
      </c>
      <c r="AA10" s="95" t="str">
        <f ca="1">IFERROR(0.001*AVERAGE(_xll.SNL.Clients.Office.Excel.Functions.SPG($L10,$Y$4,"Au",AA$2),_xll.SNL.Clients.Office.Excel.Functions.SPG($L10,$Y$3,"Au",AA$2)),"NA")</f>
        <v>NA</v>
      </c>
      <c r="AB10" s="74" t="e">
        <f ca="1" xml:space="preserve"> IF(ISNUMBER(SEARCH("na",_xll.SNL.Clients.Office.Excel.Functions.SPG($L10, $AB$4, AB$2))), 0,_xll.SNL.Clients.Office.Excel.Functions.SPG($L10, $AB$4, AB$2))</f>
        <v>#NAME?</v>
      </c>
      <c r="AC10" s="74" t="e">
        <f ca="1" xml:space="preserve"> IF(ISNUMBER(SEARCH("na",_xll.SNL.Clients.Office.Excel.Functions.SPG($L10, $AB$4, AC$2))), 0,_xll.SNL.Clients.Office.Excel.Functions.SPG($L10, $AB$4, AC$2))</f>
        <v>#NAME?</v>
      </c>
      <c r="AD10" s="74" t="e">
        <f ca="1" xml:space="preserve"> IF(ISNUMBER(SEARCH("na",_xll.SNL.Clients.Office.Excel.Functions.SPG($L10, $AB$4, AD$2))), 0,_xll.SNL.Clients.Office.Excel.Functions.SPG($L10, $AB$4, AD$2))</f>
        <v>#NAME?</v>
      </c>
      <c r="AE10" s="74" t="e">
        <f ca="1" xml:space="preserve"> IF(ISNUMBER(SEARCH("na",_xll.SNL.Clients.Office.Excel.Functions.SPG($L10, $AE$4, AE$2))), 0,_xll.SNL.Clients.Office.Excel.Functions.SPG($L10, $AE$4, AE$2))</f>
        <v>#NAME?</v>
      </c>
      <c r="AF10" s="74" t="e">
        <f ca="1" xml:space="preserve"> IF(ISNUMBER(SEARCH("na",_xll.SNL.Clients.Office.Excel.Functions.SPG($L10, $AE$4, AF$2))), 0,_xll.SNL.Clients.Office.Excel.Functions.SPG($L10, $AE$4, AF$2))</f>
        <v>#NAME?</v>
      </c>
      <c r="AG10" s="74" t="e">
        <f ca="1" xml:space="preserve"> IF(ISNUMBER(SEARCH("na",_xll.SNL.Clients.Office.Excel.Functions.SPG($L10, $AE$4, AG$2))), 0,_xll.SNL.Clients.Office.Excel.Functions.SPG($L10, $AE$4, AG$2))</f>
        <v>#NAME?</v>
      </c>
      <c r="AH10" s="74" t="e">
        <f ca="1" xml:space="preserve"> IF(ISNUMBER(SEARCH("na",_xll.SNL.Clients.Office.Excel.Functions.SPG($L10, $AH$4, AH$2))), 0,_xll.SNL.Clients.Office.Excel.Functions.SPG($L10, $AH$4, AH$2))</f>
        <v>#NAME?</v>
      </c>
      <c r="AI10" s="74" t="e">
        <f ca="1" xml:space="preserve"> IF(ISNUMBER(SEARCH("na",_xll.SNL.Clients.Office.Excel.Functions.SPG($L10, $AH$4, AI$2))), 0,_xll.SNL.Clients.Office.Excel.Functions.SPG($L10, $AH$4, AI$2))</f>
        <v>#NAME?</v>
      </c>
      <c r="AJ10" s="74" t="e">
        <f ca="1" xml:space="preserve"> IF(ISNUMBER(SEARCH("na",_xll.SNL.Clients.Office.Excel.Functions.SPG($L10, $AH$4, AJ$2))), 0,_xll.SNL.Clients.Office.Excel.Functions.SPG($L10, $AH$4, AJ$2))</f>
        <v>#NAME?</v>
      </c>
      <c r="AK10" s="74" t="e">
        <f t="shared" ref="AK10:AM14" ca="1" si="6">AH10+AB10*auprice/cuprice+AE10*agprice/cuprice</f>
        <v>#NAME?</v>
      </c>
      <c r="AL10" s="74" t="e">
        <f t="shared" ca="1" si="6"/>
        <v>#NAME?</v>
      </c>
      <c r="AM10" s="74" t="e">
        <f t="shared" ca="1" si="6"/>
        <v>#NAME?</v>
      </c>
      <c r="AN10" s="96" t="str">
        <f t="shared" ca="1" si="1"/>
        <v>NA</v>
      </c>
      <c r="AO10" s="97" t="str">
        <f t="shared" ca="1" si="1"/>
        <v>NA</v>
      </c>
      <c r="AP10" s="98" t="str">
        <f t="shared" ca="1" si="1"/>
        <v>NA</v>
      </c>
      <c r="AQ10" s="74">
        <f ca="1">IFERROR(_xll.SNL.Clients.Office.Excel.Functions.SPG($L10, $AQ$3, AQ$2,$AQ$4)/1000,0)</f>
        <v>0</v>
      </c>
      <c r="AR10" s="74">
        <f ca="1">IFERROR(_xll.SNL.Clients.Office.Excel.Functions.SPG($L10, $AQ$3, AR$2,$AQ$4)/1000,0)</f>
        <v>0</v>
      </c>
      <c r="AS10" s="74">
        <f ca="1">IFERROR(_xll.SNL.Clients.Office.Excel.Functions.SPG($L10, $AT$3, AS$2,$AQ$4)/1000,0)</f>
        <v>0</v>
      </c>
      <c r="AT10" s="74">
        <f ca="1">IFERROR(_xll.SNL.Clients.Office.Excel.Functions.SPG($L10, $AT$3, AT$2,$AQ$4)/1000,0)</f>
        <v>0</v>
      </c>
      <c r="AU10" s="74">
        <f ca="1">IFERROR(_xll.SNL.Clients.Office.Excel.Functions.SPG($L10, $AT$3, AU$2,$AQ$4)/1000,0)</f>
        <v>0</v>
      </c>
      <c r="AV10" s="74">
        <f ca="1">IFERROR(_xll.SNL.Clients.Office.Excel.Functions.SPG($L10, $AT$3, AV$2,$AQ$4)/1000,0)</f>
        <v>0</v>
      </c>
      <c r="AW10" s="74">
        <f ca="1">IFERROR(_xll.SNL.Clients.Office.Excel.Functions.SPG($L10, $AW$3, AW$2,$AQ$4)/1000,0)</f>
        <v>0</v>
      </c>
      <c r="AX10" s="74">
        <f ca="1">IFERROR(_xll.SNL.Clients.Office.Excel.Functions.SPG($L10, $AW$3, AX$2,$AQ$4)/1000,0)</f>
        <v>0</v>
      </c>
      <c r="AY10" s="74">
        <f ca="1">IFERROR(_xll.SNL.Clients.Office.Excel.Functions.SPG($L10, $AZ$3, AY$2,$AQ$4)/1000,0)</f>
        <v>0</v>
      </c>
      <c r="AZ10" s="74">
        <f ca="1">IFERROR(_xll.SNL.Clients.Office.Excel.Functions.SPG($L10, $AZ$3, AZ$2,$AQ$4)/1000,0)</f>
        <v>0</v>
      </c>
      <c r="BA10" s="74">
        <f ca="1">IFERROR(_xll.SNL.Clients.Office.Excel.Functions.SPG($L10, $AZ$3, BA$2,$AQ$4)/1000,0)</f>
        <v>0</v>
      </c>
      <c r="BB10" s="74">
        <f ca="1">IFERROR(_xll.SNL.Clients.Office.Excel.Functions.SPG($L10, $AZ$3, BB$2,$AQ$4)/1000,0)</f>
        <v>0</v>
      </c>
      <c r="BC10" s="74">
        <f ca="1">IFERROR(_xll.SNL.Clients.Office.Excel.Functions.SPG($L10, $BC$3, BC$2,$AQ$4)/1000,0)</f>
        <v>0</v>
      </c>
      <c r="BD10" s="74">
        <f ca="1">IFERROR(_xll.SNL.Clients.Office.Excel.Functions.SPG($L10, $BC$3, BD$2,$AQ$4)/1000,0)</f>
        <v>0</v>
      </c>
      <c r="BE10" s="74">
        <f ca="1">IFERROR(_xll.SNL.Clients.Office.Excel.Functions.SPG($L10, $BF$3, BE$2,$AQ$4)/1000,0)</f>
        <v>0</v>
      </c>
      <c r="BF10" s="74">
        <f ca="1">IFERROR(_xll.SNL.Clients.Office.Excel.Functions.SPG($L10, $BF$3, BF$2,$AQ$4)/1000,0)</f>
        <v>0</v>
      </c>
      <c r="BG10" s="74">
        <f ca="1">IFERROR(_xll.SNL.Clients.Office.Excel.Functions.SPG($L10, $BF$3, BG$2,$AQ$4)/1000,0)</f>
        <v>0</v>
      </c>
      <c r="BH10" s="74">
        <f ca="1">IFERROR(_xll.SNL.Clients.Office.Excel.Functions.SPG($L10, $BF$3, BH$2,$AQ$4)/1000,0)</f>
        <v>0</v>
      </c>
      <c r="BI10" s="74">
        <f ca="1">AS10+AQ10*auprice/cuprice+AR10*agprice/cuprice+AT10*znprice/cuprice+AU10*pbprice/cuprice+AV10*niprice/cuprice</f>
        <v>0</v>
      </c>
      <c r="BJ10" s="74">
        <f ca="1">AY10+AW10*auprice/cuprice+AX10*agprice/cuprice+AZ10*znprice/cuprice+BA10*pbprice/cuprice+BB10*niprice/cuprice</f>
        <v>0</v>
      </c>
      <c r="BK10" s="74">
        <f ca="1">BE10+BC10*auprice/cuprice+BD10*agprice/cuprice+BF10*znprice/cuprice+BG10*pbprice/cuprice+BH10*niprice/cuprice</f>
        <v>0</v>
      </c>
      <c r="BL10" s="87" t="e">
        <f t="shared" ca="1" si="2"/>
        <v>#NAME?</v>
      </c>
      <c r="BM10" s="74" t="e">
        <f t="shared" ca="1" si="2"/>
        <v>#NAME?</v>
      </c>
      <c r="BN10" s="88" t="e">
        <f t="shared" ca="1" si="2"/>
        <v>#NAME?</v>
      </c>
      <c r="BO10" s="79" t="e" cm="1">
        <f t="array" aca="1" ref="BO10" ca="1">_xll.SNL.Clients.Office.Excel.Functions.SPG($L10, $BO$3,BO$2)</f>
        <v>#NAME?</v>
      </c>
      <c r="BP10" s="79" t="e" cm="1">
        <f t="array" aca="1" ref="BP10" ca="1">_xll.SNL.Clients.Office.Excel.Functions.SPG($L10, $BO$3,BP$2)</f>
        <v>#NAME?</v>
      </c>
      <c r="BQ10" s="80" t="e" cm="1">
        <f t="array" aca="1" ref="BQ10" ca="1">_xll.SNL.Clients.Office.Excel.Functions.SPG($L10, $BO$3,BQ$2)</f>
        <v>#NAME?</v>
      </c>
      <c r="BR10" s="79" t="e">
        <f ca="1">_xll.SNL.Clients.Office.Excel.Functions.SPG($L10, $BR$3, BR$2, "Cu", "Options:Curr=USD")</f>
        <v>#NAME?</v>
      </c>
      <c r="BS10" s="79" t="e">
        <f ca="1">_xll.SNL.Clients.Office.Excel.Functions.SPG($L10, $BR$3, BS$2, "Cu", "Options:Curr=USD")</f>
        <v>#NAME?</v>
      </c>
      <c r="BT10" s="79" t="e">
        <f ca="1">_xll.SNL.Clients.Office.Excel.Functions.SPG($L10, $BR$3, BT$2, "Cu", "Options:Curr=USD")</f>
        <v>#NAME?</v>
      </c>
      <c r="BU10" s="92" t="str">
        <f ca="1">IFERROR(AVERAGE(_xll.SNL.Clients.Office.Excel.Functions.SPG($L10,$BU$4,"Cu",BU$2,"Options:Curr=USD"),_xll.SNL.Clients.Office.Excel.Functions.SPG($L10,$BU$3,"Cu",BU$2, "Options:Curr=USD")),"NA")</f>
        <v>NA</v>
      </c>
      <c r="BV10" s="79" t="str">
        <f ca="1">IFERROR(AVERAGE(_xll.SNL.Clients.Office.Excel.Functions.SPG($L10,$BU$4,"Cu",BV$2,"Options:Curr=USD"),_xll.SNL.Clients.Office.Excel.Functions.SPG($L10,$BU$3,"Cu",BV$2, "Options:Curr=USD")),"NA")</f>
        <v>NA</v>
      </c>
      <c r="BW10" s="80" t="str">
        <f ca="1">IFERROR(AVERAGE(_xll.SNL.Clients.Office.Excel.Functions.SPG($L10,$BU$4,"Cu",BW$2,"Options:Curr=USD"),_xll.SNL.Clients.Office.Excel.Functions.SPG($L10,$BU$3,"Cu",BW$2, "Options:Curr=USD")),"NA")</f>
        <v>NA</v>
      </c>
      <c r="BY10" s="58" t="s">
        <v>94</v>
      </c>
      <c r="BZ10" s="83" t="s">
        <v>87</v>
      </c>
      <c r="CA10" s="46"/>
      <c r="CB10" s="84"/>
    </row>
    <row r="11" spans="1:80">
      <c r="A11" s="60"/>
      <c r="B11" s="60"/>
      <c r="C11" s="60"/>
      <c r="D11" s="60"/>
      <c r="E11" s="61"/>
      <c r="F11" s="61"/>
      <c r="G11" s="61"/>
      <c r="J11" s="99"/>
      <c r="K11" s="99"/>
      <c r="L11" s="99" t="s">
        <v>107</v>
      </c>
      <c r="M11" s="100" t="e">
        <f t="shared" ref="M11:AA11" ca="1" si="7">AVERAGE(M5:M10)</f>
        <v>#NAME?</v>
      </c>
      <c r="N11" s="101" t="e">
        <f t="shared" ca="1" si="7"/>
        <v>#NAME?</v>
      </c>
      <c r="O11" s="102" t="e">
        <f t="shared" ca="1" si="7"/>
        <v>#NAME?</v>
      </c>
      <c r="P11" s="103" t="e">
        <f t="shared" ca="1" si="7"/>
        <v>#NAME?</v>
      </c>
      <c r="Q11" s="104" t="e">
        <f t="shared" ca="1" si="7"/>
        <v>#NAME?</v>
      </c>
      <c r="R11" s="104" t="e">
        <f t="shared" ca="1" si="7"/>
        <v>#NAME?</v>
      </c>
      <c r="S11" s="105" t="e">
        <f t="shared" ca="1" si="7"/>
        <v>#NAME?</v>
      </c>
      <c r="T11" s="101" t="e">
        <f t="shared" ca="1" si="7"/>
        <v>#NAME?</v>
      </c>
      <c r="U11" s="102" t="e">
        <f t="shared" ca="1" si="7"/>
        <v>#NAME?</v>
      </c>
      <c r="V11" s="103" t="e">
        <f t="shared" ca="1" si="7"/>
        <v>#NAME?</v>
      </c>
      <c r="W11" s="102"/>
      <c r="X11" s="102"/>
      <c r="Y11" s="106" t="e">
        <f t="shared" ca="1" si="7"/>
        <v>#DIV/0!</v>
      </c>
      <c r="Z11" s="106" t="e">
        <f t="shared" ca="1" si="7"/>
        <v>#DIV/0!</v>
      </c>
      <c r="AA11" s="106" t="e">
        <f t="shared" ca="1" si="7"/>
        <v>#DIV/0!</v>
      </c>
      <c r="AK11" s="106" t="e">
        <f t="shared" ref="AK11:AP11" ca="1" si="8">AVERAGE(AK5:AK10)</f>
        <v>#NAME?</v>
      </c>
      <c r="AL11" s="106" t="e">
        <f t="shared" ca="1" si="8"/>
        <v>#NAME?</v>
      </c>
      <c r="AM11" s="106" t="e">
        <f t="shared" ca="1" si="8"/>
        <v>#NAME?</v>
      </c>
      <c r="AN11" s="107" t="e">
        <f t="shared" ca="1" si="8"/>
        <v>#DIV/0!</v>
      </c>
      <c r="AO11" s="106" t="e">
        <f t="shared" ca="1" si="8"/>
        <v>#DIV/0!</v>
      </c>
      <c r="AP11" s="108" t="e">
        <f t="shared" ca="1" si="8"/>
        <v>#DIV/0!</v>
      </c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7" t="e">
        <f t="shared" ref="BL11:BW11" ca="1" si="9">AVERAGE(BL5:BL10)</f>
        <v>#NAME?</v>
      </c>
      <c r="BM11" s="106" t="e">
        <f t="shared" ca="1" si="9"/>
        <v>#NAME?</v>
      </c>
      <c r="BN11" s="108" t="e">
        <f t="shared" ca="1" si="9"/>
        <v>#NAME?</v>
      </c>
      <c r="BO11" s="101" t="e">
        <f t="shared" ca="1" si="9"/>
        <v>#NAME?</v>
      </c>
      <c r="BP11" s="102" t="e">
        <f t="shared" ca="1" si="9"/>
        <v>#NAME?</v>
      </c>
      <c r="BQ11" s="103" t="e">
        <f t="shared" ca="1" si="9"/>
        <v>#NAME?</v>
      </c>
      <c r="BR11" s="110" t="e">
        <f t="shared" ca="1" si="9"/>
        <v>#NAME?</v>
      </c>
      <c r="BS11" s="110" t="e">
        <f t="shared" ca="1" si="9"/>
        <v>#NAME?</v>
      </c>
      <c r="BT11" s="110" t="e">
        <f t="shared" ca="1" si="9"/>
        <v>#NAME?</v>
      </c>
      <c r="BU11" s="111" t="e">
        <f t="shared" ca="1" si="9"/>
        <v>#DIV/0!</v>
      </c>
      <c r="BV11" s="110" t="e">
        <f t="shared" ca="1" si="9"/>
        <v>#DIV/0!</v>
      </c>
      <c r="BW11" s="112" t="e">
        <f t="shared" ca="1" si="9"/>
        <v>#DIV/0!</v>
      </c>
      <c r="BY11" s="58"/>
      <c r="BZ11" s="46"/>
      <c r="CA11" s="46"/>
    </row>
    <row r="12" spans="1:80" ht="16.8">
      <c r="A12" s="60"/>
      <c r="B12" s="60"/>
      <c r="C12" s="60"/>
      <c r="D12" s="60"/>
      <c r="E12" s="61"/>
      <c r="F12" s="61"/>
      <c r="G12" s="61"/>
      <c r="J12" s="52" t="s">
        <v>108</v>
      </c>
      <c r="K12" s="52"/>
      <c r="L12" s="53"/>
      <c r="M12" s="113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7"/>
      <c r="BO12" s="56"/>
      <c r="BP12" s="56"/>
      <c r="BQ12" s="57"/>
      <c r="BR12" s="56"/>
      <c r="BS12" s="56"/>
      <c r="BT12" s="114"/>
      <c r="BU12" s="56"/>
      <c r="BV12" s="56"/>
      <c r="BW12" s="57"/>
      <c r="BY12" s="58"/>
      <c r="BZ12" s="46"/>
      <c r="CA12" s="46"/>
    </row>
    <row r="13" spans="1:80" ht="14.4">
      <c r="A13" s="60" t="e">
        <f ca="1">_xll.SNL.Clients.Office.Excel.Functions.SPG($L13, A$3)</f>
        <v>#NAME?</v>
      </c>
      <c r="B13" s="60" t="e">
        <f ca="1">_xll.BDP($K13,B$3)</f>
        <v>#NAME?</v>
      </c>
      <c r="C13" s="60" t="e">
        <f ca="1">_xll.BDP($K13,C$3)</f>
        <v>#NAME?</v>
      </c>
      <c r="D13" s="60" t="e">
        <f ca="1">_xll.BDP($K13,D$3)</f>
        <v>#NAME?</v>
      </c>
      <c r="E13" s="61" t="s">
        <v>109</v>
      </c>
      <c r="F13" s="61" t="s">
        <v>81</v>
      </c>
      <c r="G13" s="61" t="s">
        <v>90</v>
      </c>
      <c r="H13" s="62" t="e">
        <f ca="1">_xll.SNL.Clients.Office.Excel.Functions.SPG($L13, "IQ_TEV", "Options: Curr=USD")</f>
        <v>#NAME?</v>
      </c>
      <c r="I13" s="62" t="e">
        <f ca="1">_xll.SNL.Clients.Office.Excel.Functions.SPG($L13, "SP_MARKETCAP", "Options: Curr=USD")</f>
        <v>#NAME?</v>
      </c>
      <c r="J13" s="63" t="s">
        <v>110</v>
      </c>
      <c r="K13" s="28" t="s">
        <v>111</v>
      </c>
      <c r="L13" s="28" t="s">
        <v>112</v>
      </c>
      <c r="M13" s="64" t="e" cm="1">
        <f t="array" aca="1" ref="M13" ca="1">_xll.SNL.Clients.Office.Excel.Functions.SPG($L13, $M$3)/100</f>
        <v>#NAME?</v>
      </c>
      <c r="N13" s="65" t="e" cm="1">
        <f t="array" aca="1" ref="N13" ca="1">_xll.SNL.Clients.Office.Excel.Functions.SPG($L13, "SP_PCFPS_FWD",N$2)</f>
        <v>#NAME?</v>
      </c>
      <c r="O13" s="66" t="e" cm="1">
        <f t="array" aca="1" ref="O13" ca="1">_xll.SNL.Clients.Office.Excel.Functions.SPG($L13, "SP_PCFPS_FWD",O$2)</f>
        <v>#NAME?</v>
      </c>
      <c r="P13" s="67" t="e" cm="1">
        <f t="array" aca="1" ref="P13" ca="1">_xll.SNL.Clients.Office.Excel.Functions.SPG($L13, "SP_PCFPS_FWD",P$2)</f>
        <v>#NAME?</v>
      </c>
      <c r="Q13" s="68" t="e">
        <f ca="1">_xll.SNL.Clients.Office.Excel.Functions.SPG($L13, "SP_FCF_EST",Q$2, "Options: Curr=USD")/1000/$I13</f>
        <v>#NAME?</v>
      </c>
      <c r="R13" s="68" t="e">
        <f ca="1">_xll.SNL.Clients.Office.Excel.Functions.SPG($L13, "SP_FCF_EST",R$2, "Options: Curr=USD")/1000/$I13</f>
        <v>#NAME?</v>
      </c>
      <c r="S13" s="85" t="e">
        <f ca="1">_xll.SNL.Clients.Office.Excel.Functions.SPG($L13, "SP_FCF_EST",S$2, "Options: Curr=USD")/1000/$I13</f>
        <v>#NAME?</v>
      </c>
      <c r="T13" s="65" t="e" cm="1">
        <f t="array" aca="1" ref="T13" ca="1">_xll.SNL.Clients.Office.Excel.Functions.SPG($L13, "SP_PE_FWD",T$2)</f>
        <v>#NAME?</v>
      </c>
      <c r="U13" s="66" t="e" cm="1">
        <f t="array" aca="1" ref="U13" ca="1">_xll.SNL.Clients.Office.Excel.Functions.SPG($L13, "SP_PE_FWD",U$2)</f>
        <v>#NAME?</v>
      </c>
      <c r="V13" s="67" t="e" cm="1">
        <f t="array" aca="1" ref="V13" ca="1">_xll.SNL.Clients.Office.Excel.Functions.SPG($L13, "SP_PE_FWD",V$2)</f>
        <v>#NAME?</v>
      </c>
      <c r="W13" s="71" t="e" cm="1">
        <f t="array" aca="1" ref="W13" ca="1">IF((_xll.SNL.Clients.Office.Excel.Functions.SPG($L13,$W$3,W$4,"Options: Curr=USD") / _xll.SNL.Clients.Office.Excel.Functions.SPG($L13,"SP_EBITDA_EST",W$2,"Options: Curr=USD")) &lt; 0, "NM", (_xll.SNL.Clients.Office.Excel.Functions.SPG($L13,$W$3,W$4,"Options: Curr=USD") / _xll.SNL.Clients.Office.Excel.Functions.SPG($L13,"SP_EBITDA_EST",W$2,"Options: Curr=USD")))</f>
        <v>#NAME?</v>
      </c>
      <c r="X13" s="72" t="e" cm="1">
        <f t="array" aca="1" ref="X13" ca="1">_xll.SNL.Clients.Office.Excel.Functions.SPG($L13, $X$3,X$4)</f>
        <v>#NAME?</v>
      </c>
      <c r="Y13" s="73" t="str">
        <f ca="1">IFERROR(0.001*AVERAGE(_xll.SNL.Clients.Office.Excel.Functions.SPG($L13,$Y$4,"Cu",Y$2),_xll.SNL.Clients.Office.Excel.Functions.SPG($L13,$Y$3,"Cu",Y$2)),"NA")</f>
        <v>NA</v>
      </c>
      <c r="Z13" s="74" t="str">
        <f ca="1">IFERROR(0.001*AVERAGE(_xll.SNL.Clients.Office.Excel.Functions.SPG($L13,$Y$4,"Au",Z$2),_xll.SNL.Clients.Office.Excel.Functions.SPG($L13,$Y$3,"Au",Z$2)),"NA")</f>
        <v>NA</v>
      </c>
      <c r="AA13" s="75" t="str">
        <f ca="1">IFERROR(0.001*AVERAGE(_xll.SNL.Clients.Office.Excel.Functions.SPG($L13,$Y$4,"Au",AA$2),_xll.SNL.Clients.Office.Excel.Functions.SPG($L13,$Y$3,"Au",AA$2)),"NA")</f>
        <v>NA</v>
      </c>
      <c r="AB13" s="74" t="e">
        <f ca="1" xml:space="preserve"> IF(ISNUMBER(SEARCH("na",_xll.SNL.Clients.Office.Excel.Functions.SPG($L13, $AB$4, AB$2))), 0,_xll.SNL.Clients.Office.Excel.Functions.SPG($L13, $AB$4, AB$2))</f>
        <v>#NAME?</v>
      </c>
      <c r="AC13" s="74" t="e">
        <f ca="1" xml:space="preserve"> IF(ISNUMBER(SEARCH("na",_xll.SNL.Clients.Office.Excel.Functions.SPG($L13, $AB$4, AC$2))), 0,_xll.SNL.Clients.Office.Excel.Functions.SPG($L13, $AB$4, AC$2))</f>
        <v>#NAME?</v>
      </c>
      <c r="AD13" s="74" t="e">
        <f ca="1" xml:space="preserve"> IF(ISNUMBER(SEARCH("na",_xll.SNL.Clients.Office.Excel.Functions.SPG($L13, $AB$4, AD$2))), 0,_xll.SNL.Clients.Office.Excel.Functions.SPG($L13, $AB$4, AD$2))</f>
        <v>#NAME?</v>
      </c>
      <c r="AE13" s="74" t="e">
        <f ca="1" xml:space="preserve"> IF(ISNUMBER(SEARCH("na",_xll.SNL.Clients.Office.Excel.Functions.SPG($L13, $AE$4, AE$2))), 0,_xll.SNL.Clients.Office.Excel.Functions.SPG($L13, $AE$4, AE$2))</f>
        <v>#NAME?</v>
      </c>
      <c r="AF13" s="74" t="e">
        <f ca="1" xml:space="preserve"> IF(ISNUMBER(SEARCH("na",_xll.SNL.Clients.Office.Excel.Functions.SPG($L13, $AE$4, AF$2))), 0,_xll.SNL.Clients.Office.Excel.Functions.SPG($L13, $AE$4, AF$2))</f>
        <v>#NAME?</v>
      </c>
      <c r="AG13" s="74" t="e">
        <f ca="1" xml:space="preserve"> IF(ISNUMBER(SEARCH("na",_xll.SNL.Clients.Office.Excel.Functions.SPG($L13, $AE$4, AG$2))), 0,_xll.SNL.Clients.Office.Excel.Functions.SPG($L13, $AE$4, AG$2))</f>
        <v>#NAME?</v>
      </c>
      <c r="AH13" s="74" t="e">
        <f ca="1" xml:space="preserve"> IF(ISNUMBER(SEARCH("na",_xll.SNL.Clients.Office.Excel.Functions.SPG($L13, $AH$4, AH$2))), 0,_xll.SNL.Clients.Office.Excel.Functions.SPG($L13, $AH$4, AH$2))</f>
        <v>#NAME?</v>
      </c>
      <c r="AI13" s="74" t="e">
        <f ca="1" xml:space="preserve"> IF(ISNUMBER(SEARCH("na",_xll.SNL.Clients.Office.Excel.Functions.SPG($L13, $AH$4, AI$2))), 0,_xll.SNL.Clients.Office.Excel.Functions.SPG($L13, $AH$4, AI$2))</f>
        <v>#NAME?</v>
      </c>
      <c r="AJ13" s="74" t="e">
        <f ca="1" xml:space="preserve"> IF(ISNUMBER(SEARCH("na",_xll.SNL.Clients.Office.Excel.Functions.SPG($L13, $AH$4, AJ$2))), 0,_xll.SNL.Clients.Office.Excel.Functions.SPG($L13, $AH$4, AJ$2))</f>
        <v>#NAME?</v>
      </c>
      <c r="AK13" s="74" t="e">
        <f t="shared" ref="AK13:AM16" ca="1" si="10">AH13+AB13*auprice/cuprice+AE13*agprice/cuprice</f>
        <v>#NAME?</v>
      </c>
      <c r="AL13" s="74" t="e">
        <f t="shared" ca="1" si="10"/>
        <v>#NAME?</v>
      </c>
      <c r="AM13" s="74" t="e">
        <f t="shared" ca="1" si="10"/>
        <v>#NAME?</v>
      </c>
      <c r="AN13" s="76" t="str">
        <f t="shared" ref="AN13:AP16" ca="1" si="11">IFERROR($H13/AK13,"NA")</f>
        <v>NA</v>
      </c>
      <c r="AO13" s="77" t="str">
        <f t="shared" ca="1" si="11"/>
        <v>NA</v>
      </c>
      <c r="AP13" s="91" t="str">
        <f t="shared" ca="1" si="11"/>
        <v>NA</v>
      </c>
      <c r="AQ13" s="74">
        <f ca="1">IFERROR(_xll.SNL.Clients.Office.Excel.Functions.SPG($L13, $AQ$3, AQ$2,$AQ$4)/1000,0)</f>
        <v>0</v>
      </c>
      <c r="AR13" s="74">
        <f ca="1">IFERROR(_xll.SNL.Clients.Office.Excel.Functions.SPG($L13, $AQ$3, AR$2,$AQ$4)/1000,0)</f>
        <v>0</v>
      </c>
      <c r="AS13" s="74">
        <f ca="1">IFERROR(_xll.SNL.Clients.Office.Excel.Functions.SPG($L13, $AT$3, AS$2,$AQ$4)/1000,0)</f>
        <v>0</v>
      </c>
      <c r="AT13" s="74">
        <f ca="1">IFERROR(_xll.SNL.Clients.Office.Excel.Functions.SPG($L13, $AT$3, AT$2,$AQ$4)/1000,0)</f>
        <v>0</v>
      </c>
      <c r="AU13" s="74">
        <f ca="1">IFERROR(_xll.SNL.Clients.Office.Excel.Functions.SPG($L13, $AT$3, AU$2,$AQ$4)/1000,0)</f>
        <v>0</v>
      </c>
      <c r="AV13" s="74">
        <f ca="1">IFERROR(_xll.SNL.Clients.Office.Excel.Functions.SPG($L13, $AT$3, AV$2,$AQ$4)/1000,0)</f>
        <v>0</v>
      </c>
      <c r="AW13" s="74">
        <f ca="1">IFERROR(_xll.SNL.Clients.Office.Excel.Functions.SPG($L13, $AW$3, AW$2,$AQ$4)/1000,0)</f>
        <v>0</v>
      </c>
      <c r="AX13" s="74">
        <f ca="1">IFERROR(_xll.SNL.Clients.Office.Excel.Functions.SPG($L13, $AW$3, AX$2,$AQ$4)/1000,0)</f>
        <v>0</v>
      </c>
      <c r="AY13" s="74">
        <f ca="1">IFERROR(_xll.SNL.Clients.Office.Excel.Functions.SPG($L13, $AZ$3, AY$2,$AQ$4)/1000,0)</f>
        <v>0</v>
      </c>
      <c r="AZ13" s="74">
        <f ca="1">IFERROR(_xll.SNL.Clients.Office.Excel.Functions.SPG($L13, $AZ$3, AZ$2,$AQ$4)/1000,0)</f>
        <v>0</v>
      </c>
      <c r="BA13" s="74">
        <f ca="1">IFERROR(_xll.SNL.Clients.Office.Excel.Functions.SPG($L13, $AZ$3, BA$2,$AQ$4)/1000,0)</f>
        <v>0</v>
      </c>
      <c r="BB13" s="74">
        <f ca="1">IFERROR(_xll.SNL.Clients.Office.Excel.Functions.SPG($L13, $AZ$3, BB$2,$AQ$4)/1000,0)</f>
        <v>0</v>
      </c>
      <c r="BC13" s="74">
        <f ca="1">IFERROR(_xll.SNL.Clients.Office.Excel.Functions.SPG($L13, $BC$3, BC$2,$AQ$4)/1000,0)</f>
        <v>0</v>
      </c>
      <c r="BD13" s="74">
        <f ca="1">IFERROR(_xll.SNL.Clients.Office.Excel.Functions.SPG($L13, $BC$3, BD$2,$AQ$4)/1000,0)</f>
        <v>0</v>
      </c>
      <c r="BE13" s="74">
        <f ca="1">IFERROR(_xll.SNL.Clients.Office.Excel.Functions.SPG($L13, $BF$3, BE$2,$AQ$4)/1000,0)</f>
        <v>0</v>
      </c>
      <c r="BF13" s="74">
        <f ca="1">IFERROR(_xll.SNL.Clients.Office.Excel.Functions.SPG($L13, $BF$3, BF$2,$AQ$4)/1000,0)</f>
        <v>0</v>
      </c>
      <c r="BG13" s="74">
        <f ca="1">IFERROR(_xll.SNL.Clients.Office.Excel.Functions.SPG($L13, $BF$3, BG$2,$AQ$4)/1000,0)</f>
        <v>0</v>
      </c>
      <c r="BH13" s="74">
        <f ca="1">IFERROR(_xll.SNL.Clients.Office.Excel.Functions.SPG($L13, $BF$3, BH$2,$AQ$4)/1000,0)</f>
        <v>0</v>
      </c>
      <c r="BI13" s="74">
        <f ca="1">AS13+AQ13*auprice/cuprice+AR13*agprice/cuprice+AT13*znprice/cuprice+AU13*pbprice/cuprice+AV13*niprice/cuprice</f>
        <v>0</v>
      </c>
      <c r="BJ13" s="74">
        <f ca="1">AY13+AW13*auprice/cuprice+AX13*agprice/cuprice+AZ13*znprice/cuprice+BA13*pbprice/cuprice+BB13*niprice/cuprice</f>
        <v>0</v>
      </c>
      <c r="BK13" s="74">
        <f ca="1">BE13+BC13*auprice/cuprice+BD13*agprice/cuprice+BF13*znprice/cuprice+BG13*pbprice/cuprice+BH13*niprice/cuprice</f>
        <v>0</v>
      </c>
      <c r="BL13" s="87" t="e">
        <f t="shared" ref="BL13:BN16" ca="1" si="12">$H13*1000/BI13</f>
        <v>#NAME?</v>
      </c>
      <c r="BM13" s="74" t="e">
        <f t="shared" ca="1" si="12"/>
        <v>#NAME?</v>
      </c>
      <c r="BN13" s="88" t="e">
        <f t="shared" ca="1" si="12"/>
        <v>#NAME?</v>
      </c>
      <c r="BO13" s="79" t="e" cm="1">
        <f t="array" aca="1" ref="BO13" ca="1">_xll.SNL.Clients.Office.Excel.Functions.SPG($L13, $BO$3,BO$2)</f>
        <v>#NAME?</v>
      </c>
      <c r="BP13" s="79" t="e" cm="1">
        <f t="array" aca="1" ref="BP13" ca="1">_xll.SNL.Clients.Office.Excel.Functions.SPG($L13, $BO$3,BP$2)</f>
        <v>#NAME?</v>
      </c>
      <c r="BQ13" s="80" t="e" cm="1">
        <f t="array" aca="1" ref="BQ13" ca="1">_xll.SNL.Clients.Office.Excel.Functions.SPG($L13, $BO$3,BQ$2)</f>
        <v>#NAME?</v>
      </c>
      <c r="BR13" s="79" t="e">
        <f ca="1">_xll.SNL.Clients.Office.Excel.Functions.SPG($L13, $BR$3, BR$2, "Cu", "Options:Curr=USD")</f>
        <v>#NAME?</v>
      </c>
      <c r="BS13" s="79" t="e">
        <f ca="1">_xll.SNL.Clients.Office.Excel.Functions.SPG($L13, $BR$3, BS$2, "Cu", "Options:Curr=USD")</f>
        <v>#NAME?</v>
      </c>
      <c r="BT13" s="79" t="e">
        <f ca="1">_xll.SNL.Clients.Office.Excel.Functions.SPG($L13, $BR$3, BT$2, "Cu", "Options:Curr=USD")</f>
        <v>#NAME?</v>
      </c>
      <c r="BU13" s="81" t="str">
        <f ca="1">IFERROR(AVERAGE(_xll.SNL.Clients.Office.Excel.Functions.SPG($L13,$BU$4,"Cu",BU$2,"Options:Curr=USD"),_xll.SNL.Clients.Office.Excel.Functions.SPG($L13,$BU$3,"Cu",BU$2, "Options:Curr=USD")),"NA")</f>
        <v>NA</v>
      </c>
      <c r="BV13" s="79" t="str">
        <f ca="1">IFERROR(AVERAGE(_xll.SNL.Clients.Office.Excel.Functions.SPG($L13,$BU$4,"Cu",BV$2,"Options:Curr=USD"),_xll.SNL.Clients.Office.Excel.Functions.SPG($L13,$BU$3,"Cu",BV$2, "Options:Curr=USD")),"NA")</f>
        <v>NA</v>
      </c>
      <c r="BW13" s="80" t="str">
        <f ca="1">IFERROR(AVERAGE(_xll.SNL.Clients.Office.Excel.Functions.SPG($L13,$BU$4,"Cu",BW$2,"Options:Curr=USD"),_xll.SNL.Clients.Office.Excel.Functions.SPG($L13,$BU$3,"Cu",BW$2, "Options:Curr=USD")),"NA")</f>
        <v>NA</v>
      </c>
      <c r="BY13" s="82" t="s">
        <v>86</v>
      </c>
      <c r="BZ13" s="83" t="s">
        <v>87</v>
      </c>
      <c r="CA13" s="46"/>
      <c r="CB13" s="115"/>
    </row>
    <row r="14" spans="1:80" ht="14.4">
      <c r="A14" s="60" t="e">
        <f ca="1">_xll.SNL.Clients.Office.Excel.Functions.SPG($L14, A$3)</f>
        <v>#NAME?</v>
      </c>
      <c r="B14" s="60" t="e">
        <f ca="1">_xll.BDP($K14,B$3)</f>
        <v>#NAME?</v>
      </c>
      <c r="C14" s="60" t="e">
        <f ca="1">_xll.BDP($K14,C$3)</f>
        <v>#NAME?</v>
      </c>
      <c r="D14" s="60" t="e">
        <f ca="1">_xll.BDP($K14,D$3)</f>
        <v>#NAME?</v>
      </c>
      <c r="E14" s="61" t="s">
        <v>113</v>
      </c>
      <c r="F14" s="61" t="s">
        <v>81</v>
      </c>
      <c r="G14" s="61" t="s">
        <v>90</v>
      </c>
      <c r="H14" s="62" t="e">
        <f ca="1">_xll.SNL.Clients.Office.Excel.Functions.SPG($L14, "IQ_TEV", "Options: Curr=USD")</f>
        <v>#NAME?</v>
      </c>
      <c r="I14" s="62" t="e">
        <f ca="1">_xll.SNL.Clients.Office.Excel.Functions.SPG($L14, "SP_MARKETCAP", "Options: Curr=USD")</f>
        <v>#NAME?</v>
      </c>
      <c r="J14" s="63" t="s">
        <v>114</v>
      </c>
      <c r="K14" s="28" t="s">
        <v>115</v>
      </c>
      <c r="L14" s="3" t="s">
        <v>116</v>
      </c>
      <c r="M14" s="64" t="e" cm="1">
        <f t="array" aca="1" ref="M14" ca="1">_xll.SNL.Clients.Office.Excel.Functions.SPG($L14, $M$3)/100</f>
        <v>#NAME?</v>
      </c>
      <c r="N14" s="65" t="e" cm="1">
        <f t="array" aca="1" ref="N14" ca="1">_xll.SNL.Clients.Office.Excel.Functions.SPG($L14, "SP_PCFPS_FWD",N$2)</f>
        <v>#NAME?</v>
      </c>
      <c r="O14" s="66" t="e" cm="1">
        <f t="array" aca="1" ref="O14" ca="1">_xll.SNL.Clients.Office.Excel.Functions.SPG($L14, "SP_PCFPS_FWD",O$2)</f>
        <v>#NAME?</v>
      </c>
      <c r="P14" s="67" t="e" cm="1">
        <f t="array" aca="1" ref="P14" ca="1">_xll.SNL.Clients.Office.Excel.Functions.SPG($L14, "SP_PCFPS_FWD",P$2)</f>
        <v>#NAME?</v>
      </c>
      <c r="Q14" s="68" t="e">
        <f ca="1">_xll.SNL.Clients.Office.Excel.Functions.SPG($L14, "SP_FCF_EST",Q$2, "Options: Curr=USD")/1000/$I14</f>
        <v>#NAME?</v>
      </c>
      <c r="R14" s="68" t="e">
        <f ca="1">_xll.SNL.Clients.Office.Excel.Functions.SPG($L14, "SP_FCF_EST",R$2, "Options: Curr=USD")/1000/$I14</f>
        <v>#NAME?</v>
      </c>
      <c r="S14" s="85" t="e">
        <f ca="1">_xll.SNL.Clients.Office.Excel.Functions.SPG($L14, "SP_FCF_EST",S$2, "Options: Curr=USD")/1000/$I14</f>
        <v>#NAME?</v>
      </c>
      <c r="T14" s="65" t="e" cm="1">
        <f t="array" aca="1" ref="T14" ca="1">_xll.SNL.Clients.Office.Excel.Functions.SPG($L14, "SP_PE_FWD",T$2)</f>
        <v>#NAME?</v>
      </c>
      <c r="U14" s="66" t="e" cm="1">
        <f t="array" aca="1" ref="U14" ca="1">_xll.SNL.Clients.Office.Excel.Functions.SPG($L14, "SP_PE_FWD",U$2)</f>
        <v>#NAME?</v>
      </c>
      <c r="V14" s="67" t="e" cm="1">
        <f t="array" aca="1" ref="V14" ca="1">_xll.SNL.Clients.Office.Excel.Functions.SPG($L14, "SP_PE_FWD",V$2)</f>
        <v>#NAME?</v>
      </c>
      <c r="W14" s="71" t="e" cm="1">
        <f t="array" aca="1" ref="W14" ca="1">IF((_xll.SNL.Clients.Office.Excel.Functions.SPG($L14,$W$3,W$4,"Options: Curr=USD") / _xll.SNL.Clients.Office.Excel.Functions.SPG($L14,"SP_EBITDA_EST",W$2,"Options: Curr=USD")) &lt; 0, "NM", (_xll.SNL.Clients.Office.Excel.Functions.SPG($L14,$W$3,W$4,"Options: Curr=USD") / _xll.SNL.Clients.Office.Excel.Functions.SPG($L14,"SP_EBITDA_EST",W$2,"Options: Curr=USD")))</f>
        <v>#NAME?</v>
      </c>
      <c r="X14" s="86" t="e" cm="1">
        <f t="array" aca="1" ref="X14" ca="1">_xll.SNL.Clients.Office.Excel.Functions.SPG($L14, $X$3,X$4)</f>
        <v>#NAME?</v>
      </c>
      <c r="Y14" s="87" t="str">
        <f ca="1">IFERROR(0.001*AVERAGE(_xll.SNL.Clients.Office.Excel.Functions.SPG($L14,$Y$4,"Cu",Y$2),_xll.SNL.Clients.Office.Excel.Functions.SPG($L14,$Y$3,"Cu",Y$2)),"NA")</f>
        <v>NA</v>
      </c>
      <c r="Z14" s="74" t="str">
        <f ca="1">IFERROR(0.001*AVERAGE(_xll.SNL.Clients.Office.Excel.Functions.SPG($L14,$Y$4,"Au",Z$2),_xll.SNL.Clients.Office.Excel.Functions.SPG($L14,$Y$3,"Au",Z$2)),"NA")</f>
        <v>NA</v>
      </c>
      <c r="AA14" s="88" t="str">
        <f ca="1">IFERROR(0.001*AVERAGE(_xll.SNL.Clients.Office.Excel.Functions.SPG($L14,$Y$4,"Au",AA$2),_xll.SNL.Clients.Office.Excel.Functions.SPG($L14,$Y$3,"Au",AA$2)),"NA")</f>
        <v>NA</v>
      </c>
      <c r="AB14" s="74" t="e">
        <f ca="1" xml:space="preserve"> IF(ISNUMBER(SEARCH("na",_xll.SNL.Clients.Office.Excel.Functions.SPG($L14, $AB$4, AB$2))), 0,_xll.SNL.Clients.Office.Excel.Functions.SPG($L14, $AB$4, AB$2))</f>
        <v>#NAME?</v>
      </c>
      <c r="AC14" s="74" t="e">
        <f ca="1" xml:space="preserve"> IF(ISNUMBER(SEARCH("na",_xll.SNL.Clients.Office.Excel.Functions.SPG($L14, $AB$4, AC$2))), 0,_xll.SNL.Clients.Office.Excel.Functions.SPG($L14, $AB$4, AC$2))</f>
        <v>#NAME?</v>
      </c>
      <c r="AD14" s="74" t="e">
        <f ca="1" xml:space="preserve"> IF(ISNUMBER(SEARCH("na",_xll.SNL.Clients.Office.Excel.Functions.SPG($L14, $AB$4, AD$2))), 0,_xll.SNL.Clients.Office.Excel.Functions.SPG($L14, $AB$4, AD$2))</f>
        <v>#NAME?</v>
      </c>
      <c r="AE14" s="74" t="e">
        <f ca="1" xml:space="preserve"> IF(ISNUMBER(SEARCH("na",_xll.SNL.Clients.Office.Excel.Functions.SPG($L14, $AE$4, AE$2))), 0,_xll.SNL.Clients.Office.Excel.Functions.SPG($L14, $AE$4, AE$2))</f>
        <v>#NAME?</v>
      </c>
      <c r="AF14" s="74" t="e">
        <f ca="1" xml:space="preserve"> IF(ISNUMBER(SEARCH("na",_xll.SNL.Clients.Office.Excel.Functions.SPG($L14, $AE$4, AF$2))), 0,_xll.SNL.Clients.Office.Excel.Functions.SPG($L14, $AE$4, AF$2))</f>
        <v>#NAME?</v>
      </c>
      <c r="AG14" s="74" t="e">
        <f ca="1" xml:space="preserve"> IF(ISNUMBER(SEARCH("na",_xll.SNL.Clients.Office.Excel.Functions.SPG($L14, $AE$4, AG$2))), 0,_xll.SNL.Clients.Office.Excel.Functions.SPG($L14, $AE$4, AG$2))</f>
        <v>#NAME?</v>
      </c>
      <c r="AH14" s="74" t="e">
        <f ca="1" xml:space="preserve"> IF(ISNUMBER(SEARCH("na",_xll.SNL.Clients.Office.Excel.Functions.SPG($L14, $AH$4, AH$2))), 0,_xll.SNL.Clients.Office.Excel.Functions.SPG($L14, $AH$4, AH$2))</f>
        <v>#NAME?</v>
      </c>
      <c r="AI14" s="74" t="e">
        <f ca="1" xml:space="preserve"> IF(ISNUMBER(SEARCH("na",_xll.SNL.Clients.Office.Excel.Functions.SPG($L14, $AH$4, AI$2))), 0,_xll.SNL.Clients.Office.Excel.Functions.SPG($L14, $AH$4, AI$2))</f>
        <v>#NAME?</v>
      </c>
      <c r="AJ14" s="74" t="e">
        <f ca="1" xml:space="preserve"> IF(ISNUMBER(SEARCH("na",_xll.SNL.Clients.Office.Excel.Functions.SPG($L14, $AH$4, AJ$2))), 0,_xll.SNL.Clients.Office.Excel.Functions.SPG($L14, $AH$4, AJ$2))</f>
        <v>#NAME?</v>
      </c>
      <c r="AK14" s="74" t="e">
        <f t="shared" ref="AK14:AM17" ca="1" si="13">AH14+AB14*auprice/cuprice+AE14*agprice/cuprice</f>
        <v>#NAME?</v>
      </c>
      <c r="AL14" s="74" t="e">
        <f t="shared" ca="1" si="13"/>
        <v>#NAME?</v>
      </c>
      <c r="AM14" s="74" t="e">
        <f t="shared" ca="1" si="13"/>
        <v>#NAME?</v>
      </c>
      <c r="AN14" s="89" t="str">
        <f t="shared" ca="1" si="11"/>
        <v>NA</v>
      </c>
      <c r="AO14" s="90" t="str">
        <f t="shared" ca="1" si="11"/>
        <v>NA</v>
      </c>
      <c r="AP14" s="91" t="str">
        <f t="shared" ca="1" si="11"/>
        <v>NA</v>
      </c>
      <c r="AQ14" s="74">
        <f ca="1">IFERROR(_xll.SNL.Clients.Office.Excel.Functions.SPG($L14, $AQ$3, AQ$2,$AQ$4)/1000,0)</f>
        <v>0</v>
      </c>
      <c r="AR14" s="74">
        <f ca="1">IFERROR(_xll.SNL.Clients.Office.Excel.Functions.SPG($L14, $AQ$3, AR$2,$AQ$4)/1000,0)</f>
        <v>0</v>
      </c>
      <c r="AS14" s="74">
        <f ca="1">IFERROR(_xll.SNL.Clients.Office.Excel.Functions.SPG($L14, $AT$3, AS$2,$AQ$4)/1000,0)</f>
        <v>0</v>
      </c>
      <c r="AT14" s="74">
        <f ca="1">IFERROR(_xll.SNL.Clients.Office.Excel.Functions.SPG($L14, $AT$3, AT$2,$AQ$4)/1000,0)</f>
        <v>0</v>
      </c>
      <c r="AU14" s="74">
        <f ca="1">IFERROR(_xll.SNL.Clients.Office.Excel.Functions.SPG($L14, $AT$3, AU$2,$AQ$4)/1000,0)</f>
        <v>0</v>
      </c>
      <c r="AV14" s="74">
        <f ca="1">IFERROR(_xll.SNL.Clients.Office.Excel.Functions.SPG($L14, $AT$3, AV$2,$AQ$4)/1000,0)</f>
        <v>0</v>
      </c>
      <c r="AW14" s="74">
        <f ca="1">IFERROR(_xll.SNL.Clients.Office.Excel.Functions.SPG($L14, $AW$3, AW$2,$AQ$4)/1000,0)</f>
        <v>0</v>
      </c>
      <c r="AX14" s="74">
        <f ca="1">IFERROR(_xll.SNL.Clients.Office.Excel.Functions.SPG($L14, $AW$3, AX$2,$AQ$4)/1000,0)</f>
        <v>0</v>
      </c>
      <c r="AY14" s="74">
        <f ca="1">IFERROR(_xll.SNL.Clients.Office.Excel.Functions.SPG($L14, $AZ$3, AY$2,$AQ$4)/1000,0)</f>
        <v>0</v>
      </c>
      <c r="AZ14" s="74">
        <f ca="1">IFERROR(_xll.SNL.Clients.Office.Excel.Functions.SPG($L14, $AZ$3, AZ$2,$AQ$4)/1000,0)</f>
        <v>0</v>
      </c>
      <c r="BA14" s="74">
        <f ca="1">IFERROR(_xll.SNL.Clients.Office.Excel.Functions.SPG($L14, $AZ$3, BA$2,$AQ$4)/1000,0)</f>
        <v>0</v>
      </c>
      <c r="BB14" s="74">
        <f ca="1">IFERROR(_xll.SNL.Clients.Office.Excel.Functions.SPG($L14, $AZ$3, BB$2,$AQ$4)/1000,0)</f>
        <v>0</v>
      </c>
      <c r="BC14" s="74">
        <f ca="1">IFERROR(_xll.SNL.Clients.Office.Excel.Functions.SPG($L14, $BC$3, BC$2,$AQ$4)/1000,0)</f>
        <v>0</v>
      </c>
      <c r="BD14" s="74">
        <f ca="1">IFERROR(_xll.SNL.Clients.Office.Excel.Functions.SPG($L14, $BC$3, BD$2,$AQ$4)/1000,0)</f>
        <v>0</v>
      </c>
      <c r="BE14" s="74">
        <f ca="1">IFERROR(_xll.SNL.Clients.Office.Excel.Functions.SPG($L14, $BF$3, BE$2,$AQ$4)/1000,0)</f>
        <v>0</v>
      </c>
      <c r="BF14" s="74">
        <f ca="1">IFERROR(_xll.SNL.Clients.Office.Excel.Functions.SPG($L14, $BF$3, BF$2,$AQ$4)/1000,0)</f>
        <v>0</v>
      </c>
      <c r="BG14" s="74">
        <f ca="1">IFERROR(_xll.SNL.Clients.Office.Excel.Functions.SPG($L14, $BF$3, BG$2,$AQ$4)/1000,0)</f>
        <v>0</v>
      </c>
      <c r="BH14" s="74">
        <f ca="1">IFERROR(_xll.SNL.Clients.Office.Excel.Functions.SPG($L14, $BF$3, BH$2,$AQ$4)/1000,0)</f>
        <v>0</v>
      </c>
      <c r="BI14" s="74">
        <f ca="1">AS14+AQ14*auprice/cuprice+AR14*agprice/cuprice+AT14*znprice/cuprice+AU14*pbprice/cuprice+AV14*niprice/cuprice</f>
        <v>0</v>
      </c>
      <c r="BJ14" s="74">
        <f ca="1">AY14+AW14*auprice/cuprice+AX14*agprice/cuprice+AZ14*znprice/cuprice+BA14*pbprice/cuprice+BB14*niprice/cuprice</f>
        <v>0</v>
      </c>
      <c r="BK14" s="74">
        <f ca="1">BE14+BC14*auprice/cuprice+BD14*agprice/cuprice+BF14*znprice/cuprice+BG14*pbprice/cuprice+BH14*niprice/cuprice</f>
        <v>0</v>
      </c>
      <c r="BL14" s="87" t="e">
        <f t="shared" ca="1" si="12"/>
        <v>#NAME?</v>
      </c>
      <c r="BM14" s="74" t="e">
        <f t="shared" ca="1" si="12"/>
        <v>#NAME?</v>
      </c>
      <c r="BN14" s="88" t="e">
        <f t="shared" ca="1" si="12"/>
        <v>#NAME?</v>
      </c>
      <c r="BO14" s="79" t="e" cm="1">
        <f t="array" aca="1" ref="BO14" ca="1">_xll.SNL.Clients.Office.Excel.Functions.SPG($L14, $BO$3,BO$2)</f>
        <v>#NAME?</v>
      </c>
      <c r="BP14" s="79" t="e" cm="1">
        <f t="array" aca="1" ref="BP14" ca="1">_xll.SNL.Clients.Office.Excel.Functions.SPG($L14, $BO$3,BP$2)</f>
        <v>#NAME?</v>
      </c>
      <c r="BQ14" s="80" t="e" cm="1">
        <f t="array" aca="1" ref="BQ14" ca="1">_xll.SNL.Clients.Office.Excel.Functions.SPG($L14, $BO$3,BQ$2)</f>
        <v>#NAME?</v>
      </c>
      <c r="BR14" s="79" t="e">
        <f ca="1">_xll.SNL.Clients.Office.Excel.Functions.SPG($L14, $BR$3, BR$2, "Cu", "Options:Curr=USD")</f>
        <v>#NAME?</v>
      </c>
      <c r="BS14" s="79" t="e">
        <f ca="1">_xll.SNL.Clients.Office.Excel.Functions.SPG($L14, $BR$3, BS$2, "Cu", "Options:Curr=USD")</f>
        <v>#NAME?</v>
      </c>
      <c r="BT14" s="79" t="e">
        <f ca="1">_xll.SNL.Clients.Office.Excel.Functions.SPG($L14, $BR$3, BT$2, "Cu", "Options:Curr=USD")</f>
        <v>#NAME?</v>
      </c>
      <c r="BU14" s="92" t="str">
        <f ca="1">IFERROR(AVERAGE(_xll.SNL.Clients.Office.Excel.Functions.SPG($L14,$BU$4,"Cu",BU$2,"Options:Curr=USD"),_xll.SNL.Clients.Office.Excel.Functions.SPG($L14,$BU$3,"Cu",BU$2, "Options:Curr=USD")),"NA")</f>
        <v>NA</v>
      </c>
      <c r="BV14" s="79" t="str">
        <f ca="1">IFERROR(AVERAGE(_xll.SNL.Clients.Office.Excel.Functions.SPG($L14,$BU$4,"Cu",BV$2,"Options:Curr=USD"),_xll.SNL.Clients.Office.Excel.Functions.SPG($L14,$BU$3,"Cu",BV$2, "Options:Curr=USD")),"NA")</f>
        <v>NA</v>
      </c>
      <c r="BW14" s="80" t="str">
        <f ca="1">IFERROR(AVERAGE(_xll.SNL.Clients.Office.Excel.Functions.SPG($L14,$BU$4,"Cu",BW$2,"Options:Curr=USD"),_xll.SNL.Clients.Office.Excel.Functions.SPG($L14,$BU$3,"Cu",BW$2, "Options:Curr=USD")),"NA")</f>
        <v>NA</v>
      </c>
      <c r="BY14" s="82" t="s">
        <v>86</v>
      </c>
      <c r="BZ14" s="83" t="s">
        <v>87</v>
      </c>
      <c r="CA14" s="46"/>
    </row>
    <row r="15" spans="1:80" ht="14.4">
      <c r="A15" s="60" t="e">
        <f ca="1">_xll.SNL.Clients.Office.Excel.Functions.SPG($L15, A$3)</f>
        <v>#NAME?</v>
      </c>
      <c r="B15" s="60" t="e">
        <f ca="1">_xll.BDP($K15,B$3)</f>
        <v>#NAME?</v>
      </c>
      <c r="C15" s="60" t="e">
        <f ca="1">_xll.BDP($K15,C$3)</f>
        <v>#NAME?</v>
      </c>
      <c r="D15" s="60" t="e">
        <f ca="1">_xll.BDP($K15,D$3)</f>
        <v>#NAME?</v>
      </c>
      <c r="E15" s="61" t="s">
        <v>117</v>
      </c>
      <c r="F15" s="61" t="s">
        <v>81</v>
      </c>
      <c r="G15" s="61" t="s">
        <v>90</v>
      </c>
      <c r="H15" s="62" t="e">
        <f ca="1">_xll.SNL.Clients.Office.Excel.Functions.SPG($L15, "IQ_TEV", "Options: Curr=USD")</f>
        <v>#NAME?</v>
      </c>
      <c r="I15" s="62" t="e">
        <f ca="1">_xll.SNL.Clients.Office.Excel.Functions.SPG($L15, "SP_MARKETCAP", "Options: Curr=USD")</f>
        <v>#NAME?</v>
      </c>
      <c r="J15" s="63" t="s">
        <v>118</v>
      </c>
      <c r="K15" s="28" t="s">
        <v>119</v>
      </c>
      <c r="L15" s="3" t="s">
        <v>120</v>
      </c>
      <c r="M15" s="64" t="e" cm="1">
        <f t="array" aca="1" ref="M15" ca="1">_xll.SNL.Clients.Office.Excel.Functions.SPG($L15, $M$3)/100</f>
        <v>#NAME?</v>
      </c>
      <c r="N15" s="65" t="e" cm="1">
        <f t="array" aca="1" ref="N15" ca="1">_xll.SNL.Clients.Office.Excel.Functions.SPG($L15, "SP_PCFPS_FWD",N$2)</f>
        <v>#NAME?</v>
      </c>
      <c r="O15" s="66" t="e" cm="1">
        <f t="array" aca="1" ref="O15" ca="1">_xll.SNL.Clients.Office.Excel.Functions.SPG($L15, "SP_PCFPS_FWD",O$2)</f>
        <v>#NAME?</v>
      </c>
      <c r="P15" s="67" t="e" cm="1">
        <f t="array" aca="1" ref="P15" ca="1">_xll.SNL.Clients.Office.Excel.Functions.SPG($L15, "SP_PCFPS_FWD",P$2)</f>
        <v>#NAME?</v>
      </c>
      <c r="Q15" s="68" t="e">
        <f ca="1">_xll.SNL.Clients.Office.Excel.Functions.SPG($L15, "SP_FCF_EST",Q$2, "Options: Curr=USD")/1000/$I15</f>
        <v>#NAME?</v>
      </c>
      <c r="R15" s="68" t="e">
        <f ca="1">_xll.SNL.Clients.Office.Excel.Functions.SPG($L15, "SP_FCF_EST",R$2, "Options: Curr=USD")/1000/$I15</f>
        <v>#NAME?</v>
      </c>
      <c r="S15" s="85" t="e">
        <f ca="1">_xll.SNL.Clients.Office.Excel.Functions.SPG($L15, "SP_FCF_EST",S$2, "Options: Curr=USD")/1000/$I15</f>
        <v>#NAME?</v>
      </c>
      <c r="T15" s="65" t="e" cm="1">
        <f t="array" aca="1" ref="T15" ca="1">_xll.SNL.Clients.Office.Excel.Functions.SPG($L15, "SP_PE_FWD",T$2)</f>
        <v>#NAME?</v>
      </c>
      <c r="U15" s="66" t="e" cm="1">
        <f t="array" aca="1" ref="U15" ca="1">_xll.SNL.Clients.Office.Excel.Functions.SPG($L15, "SP_PE_FWD",U$2)</f>
        <v>#NAME?</v>
      </c>
      <c r="V15" s="67" t="e" cm="1">
        <f t="array" aca="1" ref="V15" ca="1">_xll.SNL.Clients.Office.Excel.Functions.SPG($L15, "SP_PE_FWD",V$2)</f>
        <v>#NAME?</v>
      </c>
      <c r="W15" s="71" t="e" cm="1">
        <f t="array" aca="1" ref="W15" ca="1">IF((_xll.SNL.Clients.Office.Excel.Functions.SPG($L15,$W$3,W$4,"Options: Curr=USD") / _xll.SNL.Clients.Office.Excel.Functions.SPG($L15,"SP_EBITDA_EST",W$2,"Options: Curr=USD")) &lt; 0, "NM", (_xll.SNL.Clients.Office.Excel.Functions.SPG($L15,$W$3,W$4,"Options: Curr=USD") / _xll.SNL.Clients.Office.Excel.Functions.SPG($L15,"SP_EBITDA_EST",W$2,"Options: Curr=USD")))</f>
        <v>#NAME?</v>
      </c>
      <c r="X15" s="86" t="e" cm="1">
        <f t="array" aca="1" ref="X15" ca="1">_xll.SNL.Clients.Office.Excel.Functions.SPG($L15, $X$3,X$4)</f>
        <v>#NAME?</v>
      </c>
      <c r="Y15" s="87" t="str">
        <f ca="1">IFERROR(0.001*AVERAGE(_xll.SNL.Clients.Office.Excel.Functions.SPG($L15,$Y$4,"Cu",Y$2),_xll.SNL.Clients.Office.Excel.Functions.SPG($L15,$Y$3,"Cu",Y$2)),"NA")</f>
        <v>NA</v>
      </c>
      <c r="Z15" s="74" t="str">
        <f ca="1">IFERROR(0.001*AVERAGE(_xll.SNL.Clients.Office.Excel.Functions.SPG($L15,$Y$4,"Au",Z$2),_xll.SNL.Clients.Office.Excel.Functions.SPG($L15,$Y$3,"Au",Z$2)),"NA")</f>
        <v>NA</v>
      </c>
      <c r="AA15" s="88" t="str">
        <f ca="1">IFERROR(0.001*AVERAGE(_xll.SNL.Clients.Office.Excel.Functions.SPG($L15,$Y$4,"Au",AA$2),_xll.SNL.Clients.Office.Excel.Functions.SPG($L15,$Y$3,"Au",AA$2)),"NA")</f>
        <v>NA</v>
      </c>
      <c r="AB15" s="74" t="e">
        <f ca="1" xml:space="preserve"> IF(ISNUMBER(SEARCH("na",_xll.SNL.Clients.Office.Excel.Functions.SPG($L15, $AB$4, AB$2))), 0,_xll.SNL.Clients.Office.Excel.Functions.SPG($L15, $AB$4, AB$2))</f>
        <v>#NAME?</v>
      </c>
      <c r="AC15" s="74" t="e">
        <f ca="1" xml:space="preserve"> IF(ISNUMBER(SEARCH("na",_xll.SNL.Clients.Office.Excel.Functions.SPG($L15, $AB$4, AC$2))), 0,_xll.SNL.Clients.Office.Excel.Functions.SPG($L15, $AB$4, AC$2))</f>
        <v>#NAME?</v>
      </c>
      <c r="AD15" s="74" t="e">
        <f ca="1" xml:space="preserve"> IF(ISNUMBER(SEARCH("na",_xll.SNL.Clients.Office.Excel.Functions.SPG($L15, $AB$4, AD$2))), 0,_xll.SNL.Clients.Office.Excel.Functions.SPG($L15, $AB$4, AD$2))</f>
        <v>#NAME?</v>
      </c>
      <c r="AE15" s="74" t="e">
        <f ca="1" xml:space="preserve"> IF(ISNUMBER(SEARCH("na",_xll.SNL.Clients.Office.Excel.Functions.SPG($L15, $AE$4, AE$2))), 0,_xll.SNL.Clients.Office.Excel.Functions.SPG($L15, $AE$4, AE$2))</f>
        <v>#NAME?</v>
      </c>
      <c r="AF15" s="74" t="e">
        <f ca="1" xml:space="preserve"> IF(ISNUMBER(SEARCH("na",_xll.SNL.Clients.Office.Excel.Functions.SPG($L15, $AE$4, AF$2))), 0,_xll.SNL.Clients.Office.Excel.Functions.SPG($L15, $AE$4, AF$2))</f>
        <v>#NAME?</v>
      </c>
      <c r="AG15" s="74" t="e">
        <f ca="1" xml:space="preserve"> IF(ISNUMBER(SEARCH("na",_xll.SNL.Clients.Office.Excel.Functions.SPG($L15, $AE$4, AG$2))), 0,_xll.SNL.Clients.Office.Excel.Functions.SPG($L15, $AE$4, AG$2))</f>
        <v>#NAME?</v>
      </c>
      <c r="AH15" s="74" t="e">
        <f ca="1" xml:space="preserve"> IF(ISNUMBER(SEARCH("na",_xll.SNL.Clients.Office.Excel.Functions.SPG($L15, $AH$4, AH$2))), 0,_xll.SNL.Clients.Office.Excel.Functions.SPG($L15, $AH$4, AH$2))</f>
        <v>#NAME?</v>
      </c>
      <c r="AI15" s="74" t="e">
        <f ca="1" xml:space="preserve"> IF(ISNUMBER(SEARCH("na",_xll.SNL.Clients.Office.Excel.Functions.SPG($L15, $AH$4, AI$2))), 0,_xll.SNL.Clients.Office.Excel.Functions.SPG($L15, $AH$4, AI$2))</f>
        <v>#NAME?</v>
      </c>
      <c r="AJ15" s="74" t="e">
        <f ca="1" xml:space="preserve"> IF(ISNUMBER(SEARCH("na",_xll.SNL.Clients.Office.Excel.Functions.SPG($L15, $AH$4, AJ$2))), 0,_xll.SNL.Clients.Office.Excel.Functions.SPG($L15, $AH$4, AJ$2))</f>
        <v>#NAME?</v>
      </c>
      <c r="AK15" s="74" t="e">
        <f t="shared" ref="AK15:AM18" ca="1" si="14">AH15+AB15*auprice/cuprice+AE15*agprice/cuprice</f>
        <v>#NAME?</v>
      </c>
      <c r="AL15" s="74" t="e">
        <f t="shared" ca="1" si="14"/>
        <v>#NAME?</v>
      </c>
      <c r="AM15" s="74" t="e">
        <f t="shared" ca="1" si="14"/>
        <v>#NAME?</v>
      </c>
      <c r="AN15" s="89" t="str">
        <f t="shared" ca="1" si="11"/>
        <v>NA</v>
      </c>
      <c r="AO15" s="90" t="str">
        <f t="shared" ca="1" si="11"/>
        <v>NA</v>
      </c>
      <c r="AP15" s="91" t="str">
        <f t="shared" ca="1" si="11"/>
        <v>NA</v>
      </c>
      <c r="AQ15" s="74">
        <f ca="1">IFERROR(_xll.SNL.Clients.Office.Excel.Functions.SPG($L15, $AQ$3, AQ$2,$AQ$4)/1000,0)</f>
        <v>0</v>
      </c>
      <c r="AR15" s="74">
        <f ca="1">IFERROR(_xll.SNL.Clients.Office.Excel.Functions.SPG($L15, $AQ$3, AR$2,$AQ$4)/1000,0)</f>
        <v>0</v>
      </c>
      <c r="AS15" s="74">
        <f ca="1">IFERROR(_xll.SNL.Clients.Office.Excel.Functions.SPG($L15, $AT$3, AS$2,$AQ$4)/1000,0)</f>
        <v>0</v>
      </c>
      <c r="AT15" s="74">
        <f ca="1">IFERROR(_xll.SNL.Clients.Office.Excel.Functions.SPG($L15, $AT$3, AT$2,$AQ$4)/1000,0)</f>
        <v>0</v>
      </c>
      <c r="AU15" s="74">
        <f ca="1">IFERROR(_xll.SNL.Clients.Office.Excel.Functions.SPG($L15, $AT$3, AU$2,$AQ$4)/1000,0)</f>
        <v>0</v>
      </c>
      <c r="AV15" s="74">
        <f ca="1">IFERROR(_xll.SNL.Clients.Office.Excel.Functions.SPG($L15, $AT$3, AV$2,$AQ$4)/1000,0)</f>
        <v>0</v>
      </c>
      <c r="AW15" s="74">
        <f ca="1">IFERROR(_xll.SNL.Clients.Office.Excel.Functions.SPG($L15, $AW$3, AW$2,$AQ$4)/1000,0)</f>
        <v>0</v>
      </c>
      <c r="AX15" s="74">
        <f ca="1">IFERROR(_xll.SNL.Clients.Office.Excel.Functions.SPG($L15, $AW$3, AX$2,$AQ$4)/1000,0)</f>
        <v>0</v>
      </c>
      <c r="AY15" s="74">
        <f ca="1">IFERROR(_xll.SNL.Clients.Office.Excel.Functions.SPG($L15, $AZ$3, AY$2,$AQ$4)/1000,0)</f>
        <v>0</v>
      </c>
      <c r="AZ15" s="74">
        <f ca="1">IFERROR(_xll.SNL.Clients.Office.Excel.Functions.SPG($L15, $AZ$3, AZ$2,$AQ$4)/1000,0)</f>
        <v>0</v>
      </c>
      <c r="BA15" s="74">
        <f ca="1">IFERROR(_xll.SNL.Clients.Office.Excel.Functions.SPG($L15, $AZ$3, BA$2,$AQ$4)/1000,0)</f>
        <v>0</v>
      </c>
      <c r="BB15" s="74">
        <f ca="1">IFERROR(_xll.SNL.Clients.Office.Excel.Functions.SPG($L15, $AZ$3, BB$2,$AQ$4)/1000,0)</f>
        <v>0</v>
      </c>
      <c r="BC15" s="74">
        <f ca="1">IFERROR(_xll.SNL.Clients.Office.Excel.Functions.SPG($L15, $BC$3, BC$2,$AQ$4)/1000,0)</f>
        <v>0</v>
      </c>
      <c r="BD15" s="74">
        <f ca="1">IFERROR(_xll.SNL.Clients.Office.Excel.Functions.SPG($L15, $BC$3, BD$2,$AQ$4)/1000,0)</f>
        <v>0</v>
      </c>
      <c r="BE15" s="74">
        <f ca="1">IFERROR(_xll.SNL.Clients.Office.Excel.Functions.SPG($L15, $BF$3, BE$2,$AQ$4)/1000,0)</f>
        <v>0</v>
      </c>
      <c r="BF15" s="74">
        <f ca="1">IFERROR(_xll.SNL.Clients.Office.Excel.Functions.SPG($L15, $BF$3, BF$2,$AQ$4)/1000,0)</f>
        <v>0</v>
      </c>
      <c r="BG15" s="74">
        <f ca="1">IFERROR(_xll.SNL.Clients.Office.Excel.Functions.SPG($L15, $BF$3, BG$2,$AQ$4)/1000,0)</f>
        <v>0</v>
      </c>
      <c r="BH15" s="74">
        <f ca="1">IFERROR(_xll.SNL.Clients.Office.Excel.Functions.SPG($L15, $BF$3, BH$2,$AQ$4)/1000,0)</f>
        <v>0</v>
      </c>
      <c r="BI15" s="74">
        <f ca="1">AS15+AQ15*auprice/cuprice+AR15*agprice/cuprice+AT15*znprice/cuprice+AU15*pbprice/cuprice+AV15*niprice/cuprice</f>
        <v>0</v>
      </c>
      <c r="BJ15" s="74">
        <f ca="1">AY15+AW15*auprice/cuprice+AX15*agprice/cuprice+AZ15*znprice/cuprice+BA15*pbprice/cuprice+BB15*niprice/cuprice</f>
        <v>0</v>
      </c>
      <c r="BK15" s="74">
        <f ca="1">BE15+BC15*auprice/cuprice+BD15*agprice/cuprice+BF15*znprice/cuprice+BG15*pbprice/cuprice+BH15*niprice/cuprice</f>
        <v>0</v>
      </c>
      <c r="BL15" s="87" t="e">
        <f t="shared" ca="1" si="12"/>
        <v>#NAME?</v>
      </c>
      <c r="BM15" s="74" t="e">
        <f t="shared" ca="1" si="12"/>
        <v>#NAME?</v>
      </c>
      <c r="BN15" s="88" t="e">
        <f t="shared" ca="1" si="12"/>
        <v>#NAME?</v>
      </c>
      <c r="BO15" s="79" t="e" cm="1">
        <f t="array" aca="1" ref="BO15" ca="1">_xll.SNL.Clients.Office.Excel.Functions.SPG($L15, $BO$3,BO$2)</f>
        <v>#NAME?</v>
      </c>
      <c r="BP15" s="79" t="e" cm="1">
        <f t="array" aca="1" ref="BP15" ca="1">_xll.SNL.Clients.Office.Excel.Functions.SPG($L15, $BO$3,BP$2)</f>
        <v>#NAME?</v>
      </c>
      <c r="BQ15" s="80" t="e" cm="1">
        <f t="array" aca="1" ref="BQ15" ca="1">_xll.SNL.Clients.Office.Excel.Functions.SPG($L15, $BO$3,BQ$2)</f>
        <v>#NAME?</v>
      </c>
      <c r="BR15" s="79" t="e">
        <f ca="1">_xll.SNL.Clients.Office.Excel.Functions.SPG($L15, $BR$3, BR$2, "Cu", "Options:Curr=USD")</f>
        <v>#NAME?</v>
      </c>
      <c r="BS15" s="79" t="e">
        <f ca="1">_xll.SNL.Clients.Office.Excel.Functions.SPG($L15, $BR$3, BS$2, "Cu", "Options:Curr=USD")</f>
        <v>#NAME?</v>
      </c>
      <c r="BT15" s="79" t="e">
        <f ca="1">_xll.SNL.Clients.Office.Excel.Functions.SPG($L15, $BR$3, BT$2, "Cu", "Options:Curr=USD")</f>
        <v>#NAME?</v>
      </c>
      <c r="BU15" s="92" t="str">
        <f ca="1">IFERROR(AVERAGE(_xll.SNL.Clients.Office.Excel.Functions.SPG($L15,$BU$4,"Cu",BU$2,"Options:Curr=USD"),_xll.SNL.Clients.Office.Excel.Functions.SPG($L15,$BU$3,"Cu",BU$2, "Options:Curr=USD")),"NA")</f>
        <v>NA</v>
      </c>
      <c r="BV15" s="79" t="str">
        <f ca="1">IFERROR(AVERAGE(_xll.SNL.Clients.Office.Excel.Functions.SPG($L15,$BU$4,"Cu",BV$2,"Options:Curr=USD"),_xll.SNL.Clients.Office.Excel.Functions.SPG($L15,$BU$3,"Cu",BV$2, "Options:Curr=USD")),"NA")</f>
        <v>NA</v>
      </c>
      <c r="BW15" s="80" t="str">
        <f ca="1">IFERROR(AVERAGE(_xll.SNL.Clients.Office.Excel.Functions.SPG($L15,$BU$4,"Cu",BW$2,"Options:Curr=USD"),_xll.SNL.Clients.Office.Excel.Functions.SPG($L15,$BU$3,"Cu",BW$2, "Options:Curr=USD")),"NA")</f>
        <v>NA</v>
      </c>
      <c r="BY15" s="82" t="s">
        <v>86</v>
      </c>
      <c r="BZ15" s="83" t="s">
        <v>87</v>
      </c>
      <c r="CA15" s="46"/>
      <c r="CB15" s="84"/>
    </row>
    <row r="16" spans="1:80" ht="14.4">
      <c r="A16" s="60" t="e">
        <f ca="1">_xll.SNL.Clients.Office.Excel.Functions.SPG($L16, A$3)</f>
        <v>#NAME?</v>
      </c>
      <c r="B16" s="60" t="e">
        <f ca="1">_xll.BDP($K16,B$3)</f>
        <v>#NAME?</v>
      </c>
      <c r="C16" s="60" t="e">
        <f ca="1">_xll.BDP($K16,C$3)</f>
        <v>#NAME?</v>
      </c>
      <c r="D16" s="60" t="e">
        <f ca="1">_xll.BDP($K16,D$3)</f>
        <v>#NAME?</v>
      </c>
      <c r="E16" s="61" t="s">
        <v>121</v>
      </c>
      <c r="F16" s="61" t="s">
        <v>81</v>
      </c>
      <c r="G16" s="61" t="s">
        <v>90</v>
      </c>
      <c r="H16" s="62" t="e">
        <f ca="1">_xll.SNL.Clients.Office.Excel.Functions.SPG($L16, "IQ_TEV", "Options: Curr=USD")</f>
        <v>#NAME?</v>
      </c>
      <c r="I16" s="62" t="e">
        <f ca="1">_xll.SNL.Clients.Office.Excel.Functions.SPG($L16, "SP_MARKETCAP", "Options: Curr=USD")</f>
        <v>#NAME?</v>
      </c>
      <c r="J16" s="63" t="s">
        <v>122</v>
      </c>
      <c r="K16" s="28" t="s">
        <v>123</v>
      </c>
      <c r="L16" s="3" t="s">
        <v>124</v>
      </c>
      <c r="M16" s="64" t="e" cm="1">
        <f t="array" aca="1" ref="M16" ca="1">_xll.SNL.Clients.Office.Excel.Functions.SPG($L16, $M$3)/100</f>
        <v>#NAME?</v>
      </c>
      <c r="N16" s="65" t="e" cm="1">
        <f t="array" aca="1" ref="N16" ca="1">_xll.SNL.Clients.Office.Excel.Functions.SPG($L16, "SP_PCFPS_FWD",N$2)</f>
        <v>#NAME?</v>
      </c>
      <c r="O16" s="66" t="e" cm="1">
        <f t="array" aca="1" ref="O16" ca="1">_xll.SNL.Clients.Office.Excel.Functions.SPG($L16, "SP_PCFPS_FWD",O$2)</f>
        <v>#NAME?</v>
      </c>
      <c r="P16" s="67" t="e" cm="1">
        <f t="array" aca="1" ref="P16" ca="1">_xll.SNL.Clients.Office.Excel.Functions.SPG($L16, "SP_PCFPS_FWD",P$2)</f>
        <v>#NAME?</v>
      </c>
      <c r="Q16" s="68" t="e">
        <f ca="1">_xll.SNL.Clients.Office.Excel.Functions.SPG($L16, "SP_FCF_EST",Q$2, "Options: Curr=USD")/1000/$I16</f>
        <v>#NAME?</v>
      </c>
      <c r="R16" s="68" t="e">
        <f ca="1">_xll.SNL.Clients.Office.Excel.Functions.SPG($L16, "SP_FCF_EST",R$2, "Options: Curr=USD")/1000/$I16</f>
        <v>#NAME?</v>
      </c>
      <c r="S16" s="85" t="e">
        <f ca="1">_xll.SNL.Clients.Office.Excel.Functions.SPG($L16, "SP_FCF_EST",S$2, "Options: Curr=USD")/1000/$I16</f>
        <v>#NAME?</v>
      </c>
      <c r="T16" s="65" t="e" cm="1">
        <f t="array" aca="1" ref="T16" ca="1">_xll.SNL.Clients.Office.Excel.Functions.SPG($L16, "SP_PE_FWD",T$2)</f>
        <v>#NAME?</v>
      </c>
      <c r="U16" s="66" t="e" cm="1">
        <f t="array" aca="1" ref="U16" ca="1">_xll.SNL.Clients.Office.Excel.Functions.SPG($L16, "SP_PE_FWD",U$2)</f>
        <v>#NAME?</v>
      </c>
      <c r="V16" s="67" t="e" cm="1">
        <f t="array" aca="1" ref="V16" ca="1">_xll.SNL.Clients.Office.Excel.Functions.SPG($L16, "SP_PE_FWD",V$2)</f>
        <v>#NAME?</v>
      </c>
      <c r="W16" s="71" t="e" cm="1">
        <f t="array" aca="1" ref="W16" ca="1">IF((_xll.SNL.Clients.Office.Excel.Functions.SPG($L16,$W$3,W$4,"Options: Curr=USD") / _xll.SNL.Clients.Office.Excel.Functions.SPG($L16,"SP_EBITDA_EST",W$2,"Options: Curr=USD")) &lt; 0, "NM", (_xll.SNL.Clients.Office.Excel.Functions.SPG($L16,$W$3,W$4,"Options: Curr=USD") / _xll.SNL.Clients.Office.Excel.Functions.SPG($L16,"SP_EBITDA_EST",W$2,"Options: Curr=USD")))</f>
        <v>#NAME?</v>
      </c>
      <c r="X16" s="86" t="e" cm="1">
        <f t="array" aca="1" ref="X16" ca="1">_xll.SNL.Clients.Office.Excel.Functions.SPG($L16, $X$3,X$4)</f>
        <v>#NAME?</v>
      </c>
      <c r="Y16" s="87" t="str">
        <f ca="1">IFERROR(0.001*AVERAGE(_xll.SNL.Clients.Office.Excel.Functions.SPG($L16,$Y$4,"Cu",Y$2),_xll.SNL.Clients.Office.Excel.Functions.SPG($L16,$Y$3,"Cu",Y$2)),"NA")</f>
        <v>NA</v>
      </c>
      <c r="Z16" s="74" t="str">
        <f ca="1">IFERROR(0.001*AVERAGE(_xll.SNL.Clients.Office.Excel.Functions.SPG($L16,$Y$4,"Au",Z$2),_xll.SNL.Clients.Office.Excel.Functions.SPG($L16,$Y$3,"Au",Z$2)),"NA")</f>
        <v>NA</v>
      </c>
      <c r="AA16" s="88" t="str">
        <f ca="1">IFERROR(0.001*AVERAGE(_xll.SNL.Clients.Office.Excel.Functions.SPG($L16,$Y$4,"Au",AA$2),_xll.SNL.Clients.Office.Excel.Functions.SPG($L16,$Y$3,"Au",AA$2)),"NA")</f>
        <v>NA</v>
      </c>
      <c r="AB16" s="74" t="e">
        <f ca="1" xml:space="preserve"> IF(ISNUMBER(SEARCH("na",_xll.SNL.Clients.Office.Excel.Functions.SPG($L16, $AB$4, AB$2))), 0,_xll.SNL.Clients.Office.Excel.Functions.SPG($L16, $AB$4, AB$2))</f>
        <v>#NAME?</v>
      </c>
      <c r="AC16" s="74" t="e">
        <f ca="1" xml:space="preserve"> IF(ISNUMBER(SEARCH("na",_xll.SNL.Clients.Office.Excel.Functions.SPG($L16, $AB$4, AC$2))), 0,_xll.SNL.Clients.Office.Excel.Functions.SPG($L16, $AB$4, AC$2))</f>
        <v>#NAME?</v>
      </c>
      <c r="AD16" s="74" t="e">
        <f ca="1" xml:space="preserve"> IF(ISNUMBER(SEARCH("na",_xll.SNL.Clients.Office.Excel.Functions.SPG($L16, $AB$4, AD$2))), 0,_xll.SNL.Clients.Office.Excel.Functions.SPG($L16, $AB$4, AD$2))</f>
        <v>#NAME?</v>
      </c>
      <c r="AE16" s="74" t="e">
        <f ca="1" xml:space="preserve"> IF(ISNUMBER(SEARCH("na",_xll.SNL.Clients.Office.Excel.Functions.SPG($L16, $AE$4, AE$2))), 0,_xll.SNL.Clients.Office.Excel.Functions.SPG($L16, $AE$4, AE$2))</f>
        <v>#NAME?</v>
      </c>
      <c r="AF16" s="74" t="e">
        <f ca="1" xml:space="preserve"> IF(ISNUMBER(SEARCH("na",_xll.SNL.Clients.Office.Excel.Functions.SPG($L16, $AE$4, AF$2))), 0,_xll.SNL.Clients.Office.Excel.Functions.SPG($L16, $AE$4, AF$2))</f>
        <v>#NAME?</v>
      </c>
      <c r="AG16" s="74" t="e">
        <f ca="1" xml:space="preserve"> IF(ISNUMBER(SEARCH("na",_xll.SNL.Clients.Office.Excel.Functions.SPG($L16, $AE$4, AG$2))), 0,_xll.SNL.Clients.Office.Excel.Functions.SPG($L16, $AE$4, AG$2))</f>
        <v>#NAME?</v>
      </c>
      <c r="AH16" s="74" t="e">
        <f ca="1" xml:space="preserve"> IF(ISNUMBER(SEARCH("na",_xll.SNL.Clients.Office.Excel.Functions.SPG($L16, $AH$4, AH$2))), 0,_xll.SNL.Clients.Office.Excel.Functions.SPG($L16, $AH$4, AH$2))</f>
        <v>#NAME?</v>
      </c>
      <c r="AI16" s="74" t="e">
        <f ca="1" xml:space="preserve"> IF(ISNUMBER(SEARCH("na",_xll.SNL.Clients.Office.Excel.Functions.SPG($L16, $AH$4, AI$2))), 0,_xll.SNL.Clients.Office.Excel.Functions.SPG($L16, $AH$4, AI$2))</f>
        <v>#NAME?</v>
      </c>
      <c r="AJ16" s="74" t="e">
        <f ca="1" xml:space="preserve"> IF(ISNUMBER(SEARCH("na",_xll.SNL.Clients.Office.Excel.Functions.SPG($L16, $AH$4, AJ$2))), 0,_xll.SNL.Clients.Office.Excel.Functions.SPG($L16, $AH$4, AJ$2))</f>
        <v>#NAME?</v>
      </c>
      <c r="AK16" s="74" t="e">
        <f t="shared" ref="AK16:AM19" ca="1" si="15">AH16+AB16*auprice/cuprice+AE16*agprice/cuprice</f>
        <v>#NAME?</v>
      </c>
      <c r="AL16" s="74" t="e">
        <f t="shared" ca="1" si="15"/>
        <v>#NAME?</v>
      </c>
      <c r="AM16" s="74" t="e">
        <f t="shared" ca="1" si="15"/>
        <v>#NAME?</v>
      </c>
      <c r="AN16" s="116" t="str">
        <f t="shared" ca="1" si="11"/>
        <v>NA</v>
      </c>
      <c r="AO16" s="117" t="str">
        <f t="shared" ca="1" si="11"/>
        <v>NA</v>
      </c>
      <c r="AP16" s="118" t="str">
        <f t="shared" ca="1" si="11"/>
        <v>NA</v>
      </c>
      <c r="AQ16" s="74">
        <f ca="1">IFERROR(_xll.SNL.Clients.Office.Excel.Functions.SPG($L16, $AQ$3, AQ$2,$AQ$4)/1000,0)</f>
        <v>0</v>
      </c>
      <c r="AR16" s="74">
        <f ca="1">IFERROR(_xll.SNL.Clients.Office.Excel.Functions.SPG($L16, $AQ$3, AR$2,$AQ$4)/1000,0)</f>
        <v>0</v>
      </c>
      <c r="AS16" s="74">
        <f ca="1">IFERROR(_xll.SNL.Clients.Office.Excel.Functions.SPG($L16, $AT$3, AS$2,$AQ$4)/1000,0)</f>
        <v>0</v>
      </c>
      <c r="AT16" s="74">
        <f ca="1">IFERROR(_xll.SNL.Clients.Office.Excel.Functions.SPG($L16, $AT$3, AT$2,$AQ$4)/1000,0)</f>
        <v>0</v>
      </c>
      <c r="AU16" s="74">
        <f ca="1">IFERROR(_xll.SNL.Clients.Office.Excel.Functions.SPG($L16, $AT$3, AU$2,$AQ$4)/1000,0)</f>
        <v>0</v>
      </c>
      <c r="AV16" s="74">
        <f ca="1">IFERROR(_xll.SNL.Clients.Office.Excel.Functions.SPG($L16, $AT$3, AV$2,$AQ$4)/1000,0)</f>
        <v>0</v>
      </c>
      <c r="AW16" s="74">
        <f ca="1">IFERROR(_xll.SNL.Clients.Office.Excel.Functions.SPG($L16, $AW$3, AW$2,$AQ$4)/1000,0)</f>
        <v>0</v>
      </c>
      <c r="AX16" s="74">
        <f ca="1">IFERROR(_xll.SNL.Clients.Office.Excel.Functions.SPG($L16, $AW$3, AX$2,$AQ$4)/1000,0)</f>
        <v>0</v>
      </c>
      <c r="AY16" s="74">
        <f ca="1">IFERROR(_xll.SNL.Clients.Office.Excel.Functions.SPG($L16, $AZ$3, AY$2,$AQ$4)/1000,0)</f>
        <v>0</v>
      </c>
      <c r="AZ16" s="74">
        <f ca="1">IFERROR(_xll.SNL.Clients.Office.Excel.Functions.SPG($L16, $AZ$3, AZ$2,$AQ$4)/1000,0)</f>
        <v>0</v>
      </c>
      <c r="BA16" s="74">
        <f ca="1">IFERROR(_xll.SNL.Clients.Office.Excel.Functions.SPG($L16, $AZ$3, BA$2,$AQ$4)/1000,0)</f>
        <v>0</v>
      </c>
      <c r="BB16" s="74">
        <f ca="1">IFERROR(_xll.SNL.Clients.Office.Excel.Functions.SPG($L16, $AZ$3, BB$2,$AQ$4)/1000,0)</f>
        <v>0</v>
      </c>
      <c r="BC16" s="74">
        <f ca="1">IFERROR(_xll.SNL.Clients.Office.Excel.Functions.SPG($L16, $BC$3, BC$2,$AQ$4)/1000,0)</f>
        <v>0</v>
      </c>
      <c r="BD16" s="74">
        <f ca="1">IFERROR(_xll.SNL.Clients.Office.Excel.Functions.SPG($L16, $BC$3, BD$2,$AQ$4)/1000,0)</f>
        <v>0</v>
      </c>
      <c r="BE16" s="74">
        <f ca="1">IFERROR(_xll.SNL.Clients.Office.Excel.Functions.SPG($L16, $BF$3, BE$2,$AQ$4)/1000,0)</f>
        <v>0</v>
      </c>
      <c r="BF16" s="74">
        <f ca="1">IFERROR(_xll.SNL.Clients.Office.Excel.Functions.SPG($L16, $BF$3, BF$2,$AQ$4)/1000,0)</f>
        <v>0</v>
      </c>
      <c r="BG16" s="74">
        <f ca="1">IFERROR(_xll.SNL.Clients.Office.Excel.Functions.SPG($L16, $BF$3, BG$2,$AQ$4)/1000,0)</f>
        <v>0</v>
      </c>
      <c r="BH16" s="74">
        <f ca="1">IFERROR(_xll.SNL.Clients.Office.Excel.Functions.SPG($L16, $BF$3, BH$2,$AQ$4)/1000,0)</f>
        <v>0</v>
      </c>
      <c r="BI16" s="74">
        <f ca="1">AS16+AQ16*auprice/cuprice+AR16*agprice/cuprice+AT16*znprice/cuprice+AU16*pbprice/cuprice+AV16*niprice/cuprice</f>
        <v>0</v>
      </c>
      <c r="BJ16" s="74">
        <f ca="1">AY16+AW16*auprice/cuprice+AX16*agprice/cuprice+AZ16*znprice/cuprice+BA16*pbprice/cuprice+BB16*niprice/cuprice</f>
        <v>0</v>
      </c>
      <c r="BK16" s="74">
        <f ca="1">BE16+BC16*auprice/cuprice+BD16*agprice/cuprice+BF16*znprice/cuprice+BG16*pbprice/cuprice+BH16*niprice/cuprice</f>
        <v>0</v>
      </c>
      <c r="BL16" s="87" t="e">
        <f t="shared" ca="1" si="12"/>
        <v>#NAME?</v>
      </c>
      <c r="BM16" s="74" t="e">
        <f t="shared" ca="1" si="12"/>
        <v>#NAME?</v>
      </c>
      <c r="BN16" s="88" t="e">
        <f t="shared" ca="1" si="12"/>
        <v>#NAME?</v>
      </c>
      <c r="BO16" s="79" t="e" cm="1">
        <f t="array" aca="1" ref="BO16" ca="1">_xll.SNL.Clients.Office.Excel.Functions.SPG($L16, $BO$3,BO$2)</f>
        <v>#NAME?</v>
      </c>
      <c r="BP16" s="79" t="e" cm="1">
        <f t="array" aca="1" ref="BP16" ca="1">_xll.SNL.Clients.Office.Excel.Functions.SPG($L16, $BO$3,BP$2)</f>
        <v>#NAME?</v>
      </c>
      <c r="BQ16" s="80" t="e" cm="1">
        <f t="array" aca="1" ref="BQ16" ca="1">_xll.SNL.Clients.Office.Excel.Functions.SPG($L16, $BO$3,BQ$2)</f>
        <v>#NAME?</v>
      </c>
      <c r="BR16" s="79" t="e">
        <f ca="1">_xll.SNL.Clients.Office.Excel.Functions.SPG($L16, $BR$3, BR$2, "Cu", "Options:Curr=USD")</f>
        <v>#NAME?</v>
      </c>
      <c r="BS16" s="79" t="e">
        <f ca="1">_xll.SNL.Clients.Office.Excel.Functions.SPG($L16, $BR$3, BS$2, "Cu", "Options:Curr=USD")</f>
        <v>#NAME?</v>
      </c>
      <c r="BT16" s="79" t="e">
        <f ca="1">_xll.SNL.Clients.Office.Excel.Functions.SPG($L16, $BR$3, BT$2, "Cu", "Options:Curr=USD")</f>
        <v>#NAME?</v>
      </c>
      <c r="BU16" s="92" t="str">
        <f ca="1">IFERROR(AVERAGE(_xll.SNL.Clients.Office.Excel.Functions.SPG($L16,$BU$4,"Cu",BU$2,"Options:Curr=USD"),_xll.SNL.Clients.Office.Excel.Functions.SPG($L16,$BU$3,"Cu",BU$2, "Options:Curr=USD")),"NA")</f>
        <v>NA</v>
      </c>
      <c r="BV16" s="79" t="str">
        <f ca="1">IFERROR(AVERAGE(_xll.SNL.Clients.Office.Excel.Functions.SPG($L16,$BU$4,"Cu",BV$2,"Options:Curr=USD"),_xll.SNL.Clients.Office.Excel.Functions.SPG($L16,$BU$3,"Cu",BV$2, "Options:Curr=USD")),"NA")</f>
        <v>NA</v>
      </c>
      <c r="BW16" s="80" t="str">
        <f ca="1">IFERROR(AVERAGE(_xll.SNL.Clients.Office.Excel.Functions.SPG($L16,$BU$4,"Cu",BW$2,"Options:Curr=USD"),_xll.SNL.Clients.Office.Excel.Functions.SPG($L16,$BU$3,"Cu",BW$2, "Options:Curr=USD")),"NA")</f>
        <v>NA</v>
      </c>
      <c r="BY16" s="58" t="s">
        <v>94</v>
      </c>
      <c r="BZ16" s="83" t="s">
        <v>87</v>
      </c>
      <c r="CA16" s="46"/>
    </row>
    <row r="17" spans="1:80">
      <c r="A17" s="60"/>
      <c r="B17" s="60"/>
      <c r="C17" s="60"/>
      <c r="D17" s="60"/>
      <c r="E17" s="61"/>
      <c r="F17" s="61"/>
      <c r="G17" s="61"/>
      <c r="J17" s="119"/>
      <c r="K17" s="119"/>
      <c r="L17" s="99" t="s">
        <v>107</v>
      </c>
      <c r="M17" s="100" t="e">
        <f t="shared" ref="M17:AA17" ca="1" si="16">AVERAGE(M13:M16)</f>
        <v>#NAME?</v>
      </c>
      <c r="N17" s="101" t="e">
        <f t="shared" ca="1" si="16"/>
        <v>#NAME?</v>
      </c>
      <c r="O17" s="102" t="e">
        <f t="shared" ca="1" si="16"/>
        <v>#NAME?</v>
      </c>
      <c r="P17" s="102" t="e">
        <f t="shared" ca="1" si="16"/>
        <v>#NAME?</v>
      </c>
      <c r="Q17" s="104" t="e">
        <f t="shared" ca="1" si="16"/>
        <v>#NAME?</v>
      </c>
      <c r="R17" s="104" t="e">
        <f t="shared" ca="1" si="16"/>
        <v>#NAME?</v>
      </c>
      <c r="S17" s="104" t="e">
        <f t="shared" ca="1" si="16"/>
        <v>#NAME?</v>
      </c>
      <c r="T17" s="101" t="e">
        <f t="shared" ca="1" si="16"/>
        <v>#NAME?</v>
      </c>
      <c r="U17" s="102" t="e">
        <f t="shared" ca="1" si="16"/>
        <v>#NAME?</v>
      </c>
      <c r="V17" s="102" t="e">
        <f t="shared" ca="1" si="16"/>
        <v>#NAME?</v>
      </c>
      <c r="W17" s="102"/>
      <c r="X17" s="102"/>
      <c r="Y17" s="107" t="e">
        <f t="shared" ca="1" si="16"/>
        <v>#DIV/0!</v>
      </c>
      <c r="Z17" s="106" t="e">
        <f t="shared" ca="1" si="16"/>
        <v>#DIV/0!</v>
      </c>
      <c r="AA17" s="120" t="e">
        <f t="shared" ca="1" si="16"/>
        <v>#DIV/0!</v>
      </c>
      <c r="AB17" s="121"/>
      <c r="AC17" s="121"/>
      <c r="AD17" s="121"/>
      <c r="AE17" s="121"/>
      <c r="AF17" s="121"/>
      <c r="AG17" s="121"/>
      <c r="AH17" s="121"/>
      <c r="AI17" s="121"/>
      <c r="AJ17" s="121"/>
      <c r="AK17" s="106" t="e">
        <f t="shared" ref="AK17:AP17" ca="1" si="17">AVERAGE(AK13:AK16)</f>
        <v>#NAME?</v>
      </c>
      <c r="AL17" s="106" t="e">
        <f t="shared" ca="1" si="17"/>
        <v>#NAME?</v>
      </c>
      <c r="AM17" s="106" t="e">
        <f t="shared" ca="1" si="17"/>
        <v>#NAME?</v>
      </c>
      <c r="AN17" s="109" t="e">
        <f t="shared" ca="1" si="17"/>
        <v>#DIV/0!</v>
      </c>
      <c r="AO17" s="109" t="e">
        <f t="shared" ca="1" si="17"/>
        <v>#DIV/0!</v>
      </c>
      <c r="AP17" s="122" t="e">
        <f t="shared" ca="1" si="17"/>
        <v>#DIV/0!</v>
      </c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B17" s="109"/>
      <c r="BH17" s="109"/>
      <c r="BI17" s="74"/>
      <c r="BJ17" s="74"/>
      <c r="BK17" s="74"/>
      <c r="BL17" s="107" t="e">
        <f t="shared" ref="BL17:BW17" ca="1" si="18">AVERAGE(BL13:BL16)</f>
        <v>#NAME?</v>
      </c>
      <c r="BM17" s="106" t="e">
        <f t="shared" ca="1" si="18"/>
        <v>#NAME?</v>
      </c>
      <c r="BN17" s="108" t="e">
        <f t="shared" ca="1" si="18"/>
        <v>#NAME?</v>
      </c>
      <c r="BO17" s="101" t="e">
        <f t="shared" ca="1" si="18"/>
        <v>#NAME?</v>
      </c>
      <c r="BP17" s="102" t="e">
        <f t="shared" ca="1" si="18"/>
        <v>#NAME?</v>
      </c>
      <c r="BQ17" s="102" t="e">
        <f t="shared" ca="1" si="18"/>
        <v>#NAME?</v>
      </c>
      <c r="BR17" s="110" t="e">
        <f ca="1">AVERAGE(BR11:BR16)</f>
        <v>#NAME?</v>
      </c>
      <c r="BS17" s="110" t="e">
        <f ca="1">AVERAGE(BS11:BS16)</f>
        <v>#NAME?</v>
      </c>
      <c r="BT17" s="112" t="e">
        <f ca="1">AVERAGE(BT11:BT16)</f>
        <v>#NAME?</v>
      </c>
      <c r="BU17" s="111" t="e">
        <f t="shared" ca="1" si="18"/>
        <v>#DIV/0!</v>
      </c>
      <c r="BV17" s="106" t="e">
        <f t="shared" ca="1" si="18"/>
        <v>#DIV/0!</v>
      </c>
      <c r="BW17" s="120" t="e">
        <f t="shared" ca="1" si="18"/>
        <v>#DIV/0!</v>
      </c>
      <c r="BY17" s="58"/>
      <c r="BZ17" s="46"/>
      <c r="CA17" s="46"/>
    </row>
    <row r="18" spans="1:80" ht="16.8">
      <c r="A18" s="60"/>
      <c r="B18" s="60"/>
      <c r="C18" s="60"/>
      <c r="D18" s="60"/>
      <c r="E18" s="61"/>
      <c r="F18" s="61"/>
      <c r="G18" s="61"/>
      <c r="J18" s="123" t="s">
        <v>125</v>
      </c>
      <c r="K18" s="123"/>
      <c r="L18" s="53"/>
      <c r="M18" s="12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K18" s="114"/>
      <c r="AL18" s="114"/>
      <c r="AM18" s="114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5"/>
      <c r="BM18" s="56"/>
      <c r="BN18" s="57"/>
      <c r="BO18" s="114"/>
      <c r="BP18" s="114"/>
      <c r="BQ18" s="125"/>
      <c r="BR18" s="114"/>
      <c r="BS18" s="114"/>
      <c r="BT18" s="114"/>
      <c r="BU18" s="114"/>
      <c r="BV18" s="114"/>
      <c r="BW18" s="125"/>
      <c r="BY18" s="58"/>
      <c r="BZ18" s="46"/>
      <c r="CA18" s="46"/>
    </row>
    <row r="19" spans="1:80" ht="14.4">
      <c r="A19" s="60" t="e">
        <f ca="1">_xll.SNL.Clients.Office.Excel.Functions.SPG($L19, A$3)</f>
        <v>#NAME?</v>
      </c>
      <c r="B19" s="60" t="e">
        <f ca="1">_xll.BDP($K19,B$3)</f>
        <v>#NAME?</v>
      </c>
      <c r="C19" s="60" t="e">
        <f ca="1">_xll.BDP($K19,C$3)</f>
        <v>#NAME?</v>
      </c>
      <c r="D19" s="60" t="e">
        <f ca="1">_xll.BDP($K19,D$3)</f>
        <v>#NAME?</v>
      </c>
      <c r="E19" s="61" t="s">
        <v>126</v>
      </c>
      <c r="F19" s="61" t="s">
        <v>89</v>
      </c>
      <c r="G19" s="61" t="s">
        <v>90</v>
      </c>
      <c r="H19" s="62" t="e">
        <f ca="1">_xll.SNL.Clients.Office.Excel.Functions.SPG($L19, "IQ_TEV", "Options: Curr=USD")</f>
        <v>#NAME?</v>
      </c>
      <c r="I19" s="62" t="e">
        <f ca="1">_xll.SNL.Clients.Office.Excel.Functions.SPG($L19, "SP_MARKETCAP", "Options: Curr=USD")</f>
        <v>#NAME?</v>
      </c>
      <c r="J19" s="63" t="s">
        <v>127</v>
      </c>
      <c r="K19" s="28" t="s">
        <v>128</v>
      </c>
      <c r="L19" s="3" t="s">
        <v>129</v>
      </c>
      <c r="M19" s="64" t="str" cm="1">
        <f t="array" aca="1" ref="M19" ca="1">IFERROR(_xll.SNL.Clients.Office.Excel.Functions.SPG($L19, $M$3)/100,"NA")</f>
        <v>NA</v>
      </c>
      <c r="N19" s="65" t="e" cm="1">
        <f t="array" aca="1" ref="N19" ca="1">_xll.SNL.Clients.Office.Excel.Functions.SPG($L19, "SP_PCFPS_FWD",N$2)</f>
        <v>#NAME?</v>
      </c>
      <c r="O19" s="66" t="e" cm="1">
        <f t="array" aca="1" ref="O19" ca="1">_xll.SNL.Clients.Office.Excel.Functions.SPG($L19, "SP_PCFPS_FWD",O$2)</f>
        <v>#NAME?</v>
      </c>
      <c r="P19" s="67" t="e" cm="1">
        <f t="array" aca="1" ref="P19" ca="1">_xll.SNL.Clients.Office.Excel.Functions.SPG($L19, "SP_PCFPS_FWD",P$2)</f>
        <v>#NAME?</v>
      </c>
      <c r="Q19" s="68" t="str">
        <f ca="1">IFERROR(_xll.SNL.Clients.Office.Excel.Functions.SPG($L19, "SP_FCF_EST",Q$2, "Options: Curr=USD")/1000/I19,"NA")</f>
        <v>NA</v>
      </c>
      <c r="R19" s="68" t="str">
        <f ca="1">IFERROR(_xll.SNL.Clients.Office.Excel.Functions.SPG($L19, "SP_FCF_EST",R$2, "Options: Curr=USD")/1000/I19,"NA")</f>
        <v>NA</v>
      </c>
      <c r="S19" s="85" t="e">
        <f ca="1">_xll.SNL.Clients.Office.Excel.Functions.SPG($L19, "SP_FCF_EST",S$2, "Options: Curr=USD")/1000/$I19</f>
        <v>#NAME?</v>
      </c>
      <c r="T19" s="65" t="e" cm="1">
        <f t="array" aca="1" ref="T19" ca="1">_xll.SNL.Clients.Office.Excel.Functions.SPG($L19, "SP_PE_FWD",T$2)</f>
        <v>#NAME?</v>
      </c>
      <c r="U19" s="66" t="e" cm="1">
        <f t="array" aca="1" ref="U19" ca="1">_xll.SNL.Clients.Office.Excel.Functions.SPG($L19, "SP_PE_FWD",U$2)</f>
        <v>#NAME?</v>
      </c>
      <c r="V19" s="67" t="e" cm="1">
        <f t="array" aca="1" ref="V19" ca="1">_xll.SNL.Clients.Office.Excel.Functions.SPG($L19, "SP_PE_FWD",V$2)</f>
        <v>#NAME?</v>
      </c>
      <c r="W19" s="71" t="e" cm="1">
        <f t="array" aca="1" ref="W19" ca="1">IF((_xll.SNL.Clients.Office.Excel.Functions.SPG($L19,$W$3,W$4,"Options: Curr=USD") / _xll.SNL.Clients.Office.Excel.Functions.SPG($L19,"SP_EBITDA_EST",W$2,"Options: Curr=USD")) &lt; 0, "NM", (_xll.SNL.Clients.Office.Excel.Functions.SPG($L19,$W$3,W$4,"Options: Curr=USD") / _xll.SNL.Clients.Office.Excel.Functions.SPG($L19,"SP_EBITDA_EST",W$2,"Options: Curr=USD")))</f>
        <v>#NAME?</v>
      </c>
      <c r="X19" s="86" t="e" cm="1">
        <f t="array" aca="1" ref="X19" ca="1">_xll.SNL.Clients.Office.Excel.Functions.SPG($L19, $X$3,X$4)</f>
        <v>#NAME?</v>
      </c>
      <c r="Y19" s="87" t="str">
        <f ca="1">IFERROR(0.001*AVERAGE(_xll.SNL.Clients.Office.Excel.Functions.SPG($L19,$Y$4,"Cu",Y$2),_xll.SNL.Clients.Office.Excel.Functions.SPG($L19,$Y$3,"Cu",Y$2)),"NA")</f>
        <v>NA</v>
      </c>
      <c r="Z19" s="74" t="str">
        <f ca="1">IFERROR(0.001*AVERAGE(_xll.SNL.Clients.Office.Excel.Functions.SPG($L19,$Y$4,"Au",Z$2),_xll.SNL.Clients.Office.Excel.Functions.SPG($L19,$Y$3,"Au",Z$2)),"NA")</f>
        <v>NA</v>
      </c>
      <c r="AA19" s="88" t="str">
        <f ca="1">IFERROR(0.001*AVERAGE(_xll.SNL.Clients.Office.Excel.Functions.SPG($L19,$Y$4,"Au",AA$2),_xll.SNL.Clients.Office.Excel.Functions.SPG($L19,$Y$3,"Au",AA$2)),"NA")</f>
        <v>NA</v>
      </c>
      <c r="AB19" s="74" t="e">
        <f ca="1" xml:space="preserve"> IF(ISNUMBER(SEARCH("na",_xll.SNL.Clients.Office.Excel.Functions.SPG($L19, $AB$4, AB$2))), 0,_xll.SNL.Clients.Office.Excel.Functions.SPG($L19, $AB$4, AB$2))</f>
        <v>#NAME?</v>
      </c>
      <c r="AC19" s="74" t="e">
        <f ca="1" xml:space="preserve"> IF(ISNUMBER(SEARCH("na",_xll.SNL.Clients.Office.Excel.Functions.SPG($L19, $AB$4, AC$2))), 0,_xll.SNL.Clients.Office.Excel.Functions.SPG($L19, $AB$4, AC$2))</f>
        <v>#NAME?</v>
      </c>
      <c r="AD19" s="74" t="e">
        <f ca="1" xml:space="preserve"> IF(ISNUMBER(SEARCH("na",_xll.SNL.Clients.Office.Excel.Functions.SPG($L19, $AB$4, AD$2))), 0,_xll.SNL.Clients.Office.Excel.Functions.SPG($L19, $AB$4, AD$2))</f>
        <v>#NAME?</v>
      </c>
      <c r="AE19" s="74" t="e">
        <f ca="1" xml:space="preserve"> IF(ISNUMBER(SEARCH("na",_xll.SNL.Clients.Office.Excel.Functions.SPG($L19, $AE$4, AE$2))), 0,_xll.SNL.Clients.Office.Excel.Functions.SPG($L19, $AE$4, AE$2))</f>
        <v>#NAME?</v>
      </c>
      <c r="AF19" s="74" t="e">
        <f ca="1" xml:space="preserve"> IF(ISNUMBER(SEARCH("na",_xll.SNL.Clients.Office.Excel.Functions.SPG($L19, $AE$4, AF$2))), 0,_xll.SNL.Clients.Office.Excel.Functions.SPG($L19, $AE$4, AF$2))</f>
        <v>#NAME?</v>
      </c>
      <c r="AG19" s="74" t="e">
        <f ca="1" xml:space="preserve"> IF(ISNUMBER(SEARCH("na",_xll.SNL.Clients.Office.Excel.Functions.SPG($L19, $AE$4, AG$2))), 0,_xll.SNL.Clients.Office.Excel.Functions.SPG($L19, $AE$4, AG$2))</f>
        <v>#NAME?</v>
      </c>
      <c r="AH19" s="74" t="e">
        <f ca="1" xml:space="preserve"> IF(ISNUMBER(SEARCH("na",_xll.SNL.Clients.Office.Excel.Functions.SPG($L19, $AH$4, AH$2))), 0,_xll.SNL.Clients.Office.Excel.Functions.SPG($L19, $AH$4, AH$2))</f>
        <v>#NAME?</v>
      </c>
      <c r="AI19" s="74" t="e">
        <f ca="1" xml:space="preserve"> IF(ISNUMBER(SEARCH("na",_xll.SNL.Clients.Office.Excel.Functions.SPG($L19, $AH$4, AI$2))), 0,_xll.SNL.Clients.Office.Excel.Functions.SPG($L19, $AH$4, AI$2))</f>
        <v>#NAME?</v>
      </c>
      <c r="AJ19" s="74" t="e">
        <f ca="1" xml:space="preserve"> IF(ISNUMBER(SEARCH("na",_xll.SNL.Clients.Office.Excel.Functions.SPG($L19, $AH$4, AJ$2))), 0,_xll.SNL.Clients.Office.Excel.Functions.SPG($L19, $AH$4, AJ$2))</f>
        <v>#NAME?</v>
      </c>
      <c r="AK19" s="74" t="e">
        <f t="shared" ref="AK19:AM24" ca="1" si="19">AH19+AB19*auprice/cuprice+AE19*agprice/cuprice</f>
        <v>#NAME?</v>
      </c>
      <c r="AL19" s="74" t="e">
        <f t="shared" ca="1" si="19"/>
        <v>#NAME?</v>
      </c>
      <c r="AM19" s="74" t="e">
        <f t="shared" ca="1" si="19"/>
        <v>#NAME?</v>
      </c>
      <c r="AN19" s="89" t="str">
        <f t="shared" ref="AN19:AP27" ca="1" si="20">IFERROR($H19/AK19,"NA")</f>
        <v>NA</v>
      </c>
      <c r="AO19" s="90" t="str">
        <f t="shared" ca="1" si="20"/>
        <v>NA</v>
      </c>
      <c r="AP19" s="91" t="str">
        <f t="shared" ca="1" si="20"/>
        <v>NA</v>
      </c>
      <c r="AQ19" s="74">
        <f ca="1">IFERROR(_xll.SNL.Clients.Office.Excel.Functions.SPG($L19, $AQ$3, AQ$2,$AQ$4)/1000,0)</f>
        <v>0</v>
      </c>
      <c r="AR19" s="74">
        <f ca="1">IFERROR(_xll.SNL.Clients.Office.Excel.Functions.SPG($L19, $AQ$3, AR$2,$AQ$4)/1000,0)</f>
        <v>0</v>
      </c>
      <c r="AS19" s="74">
        <f ca="1">IFERROR(_xll.SNL.Clients.Office.Excel.Functions.SPG($L19, $AT$3, AS$2,$AQ$4)/1000,0)</f>
        <v>0</v>
      </c>
      <c r="AT19" s="74">
        <f ca="1">IFERROR(_xll.SNL.Clients.Office.Excel.Functions.SPG($L19, $AT$3, AT$2,$AQ$4)/1000,0)</f>
        <v>0</v>
      </c>
      <c r="AU19" s="74">
        <f ca="1">IFERROR(_xll.SNL.Clients.Office.Excel.Functions.SPG($L19, $AT$3, AU$2,$AQ$4)/1000,0)</f>
        <v>0</v>
      </c>
      <c r="AV19" s="74">
        <f ca="1">IFERROR(_xll.SNL.Clients.Office.Excel.Functions.SPG($L19, $AT$3, AV$2,$AQ$4)/1000,0)</f>
        <v>0</v>
      </c>
      <c r="AW19" s="74">
        <f ca="1">IFERROR(_xll.SNL.Clients.Office.Excel.Functions.SPG($L19, $AW$3, AW$2,$AQ$4)/1000,0)</f>
        <v>0</v>
      </c>
      <c r="AX19" s="74">
        <f ca="1">IFERROR(_xll.SNL.Clients.Office.Excel.Functions.SPG($L19, $AW$3, AX$2,$AQ$4)/1000,0)</f>
        <v>0</v>
      </c>
      <c r="AY19" s="74">
        <f ca="1">IFERROR(_xll.SNL.Clients.Office.Excel.Functions.SPG($L19, $AZ$3, AY$2,$AQ$4)/1000,0)</f>
        <v>0</v>
      </c>
      <c r="AZ19" s="74">
        <f ca="1">IFERROR(_xll.SNL.Clients.Office.Excel.Functions.SPG($L19, $AZ$3, AZ$2,$AQ$4)/1000,0)</f>
        <v>0</v>
      </c>
      <c r="BA19" s="74">
        <f ca="1">IFERROR(_xll.SNL.Clients.Office.Excel.Functions.SPG($L19, $AZ$3, BA$2,$AQ$4)/1000,0)</f>
        <v>0</v>
      </c>
      <c r="BB19" s="74">
        <f ca="1">IFERROR(_xll.SNL.Clients.Office.Excel.Functions.SPG($L19, $AZ$3, BB$2,$AQ$4)/1000,0)</f>
        <v>0</v>
      </c>
      <c r="BC19" s="74">
        <f ca="1">IFERROR(_xll.SNL.Clients.Office.Excel.Functions.SPG($L19, $BC$3, BC$2,$AQ$4)/1000,0)</f>
        <v>0</v>
      </c>
      <c r="BD19" s="74">
        <f ca="1">IFERROR(_xll.SNL.Clients.Office.Excel.Functions.SPG($L19, $BC$3, BD$2,$AQ$4)/1000,0)</f>
        <v>0</v>
      </c>
      <c r="BE19" s="74">
        <f ca="1">IFERROR(_xll.SNL.Clients.Office.Excel.Functions.SPG($L19, $BF$3, BE$2,$AQ$4)/1000,0)</f>
        <v>0</v>
      </c>
      <c r="BF19" s="74">
        <f ca="1">IFERROR(_xll.SNL.Clients.Office.Excel.Functions.SPG($L19, $BF$3, BF$2,$AQ$4)/1000,0)</f>
        <v>0</v>
      </c>
      <c r="BG19" s="74">
        <f ca="1">IFERROR(_xll.SNL.Clients.Office.Excel.Functions.SPG($L19, $BF$3, BG$2,$AQ$4)/1000,0)</f>
        <v>0</v>
      </c>
      <c r="BH19" s="74">
        <f ca="1">IFERROR(_xll.SNL.Clients.Office.Excel.Functions.SPG($L19, $BF$3, BH$2,$AQ$4)/1000,0)</f>
        <v>0</v>
      </c>
      <c r="BI19" s="74">
        <f t="shared" ref="BI19:BI24" ca="1" si="21">AS19+AQ19*auprice/cuprice+AR19*agprice/cuprice+AT19*znprice/cuprice+AU19*pbprice/cuprice+AV19*niprice/cuprice</f>
        <v>0</v>
      </c>
      <c r="BJ19" s="74">
        <f t="shared" ref="BJ19:BJ24" ca="1" si="22">AY19+AW19*auprice/cuprice+AX19*agprice/cuprice+AZ19*znprice/cuprice+BA19*pbprice/cuprice+BB19*niprice/cuprice</f>
        <v>0</v>
      </c>
      <c r="BK19" s="74">
        <f t="shared" ref="BK19:BK24" ca="1" si="23">BE19+BC19*auprice/cuprice+BD19*agprice/cuprice+BF19*znprice/cuprice+BG19*pbprice/cuprice+BH19*niprice/cuprice</f>
        <v>0</v>
      </c>
      <c r="BL19" s="87" t="e">
        <f t="shared" ref="BL19:BN26" ca="1" si="24">$H19*1000/BI19</f>
        <v>#NAME?</v>
      </c>
      <c r="BM19" s="74" t="e">
        <f t="shared" ca="1" si="24"/>
        <v>#NAME?</v>
      </c>
      <c r="BN19" s="88" t="e">
        <f t="shared" ca="1" si="24"/>
        <v>#NAME?</v>
      </c>
      <c r="BO19" s="79" t="e" cm="1">
        <f t="array" aca="1" ref="BO19" ca="1">_xll.SNL.Clients.Office.Excel.Functions.SPG($L19, $BO$3,BO$2)</f>
        <v>#NAME?</v>
      </c>
      <c r="BP19" s="79" t="e" cm="1">
        <f t="array" aca="1" ref="BP19" ca="1">_xll.SNL.Clients.Office.Excel.Functions.SPG($L19, $BO$3,BP$2)</f>
        <v>#NAME?</v>
      </c>
      <c r="BQ19" s="80" t="e" cm="1">
        <f t="array" aca="1" ref="BQ19" ca="1">_xll.SNL.Clients.Office.Excel.Functions.SPG($L19, $BO$3,BQ$2)</f>
        <v>#NAME?</v>
      </c>
      <c r="BR19" s="79" t="e">
        <f ca="1">_xll.SNL.Clients.Office.Excel.Functions.SPG($L19, $BR$3, BR$2, "Cu", "Options:Curr=USD")</f>
        <v>#NAME?</v>
      </c>
      <c r="BS19" s="79" t="e">
        <f ca="1">_xll.SNL.Clients.Office.Excel.Functions.SPG($L19, $BR$3, BS$2, "Cu", "Options:Curr=USD")</f>
        <v>#NAME?</v>
      </c>
      <c r="BT19" s="79" t="e">
        <f ca="1">_xll.SNL.Clients.Office.Excel.Functions.SPG($L19, $BR$3, BT$2, "Cu", "Options:Curr=USD")</f>
        <v>#NAME?</v>
      </c>
      <c r="BU19" s="92" t="str">
        <f ca="1">IFERROR(AVERAGE(_xll.SNL.Clients.Office.Excel.Functions.SPG($L19,$BU$4,"Cu",BU$2,"Options:Curr=USD"),_xll.SNL.Clients.Office.Excel.Functions.SPG($L19,$BU$3,"Cu",BU$2, "Options:Curr=USD")),"NA")</f>
        <v>NA</v>
      </c>
      <c r="BV19" s="79" t="str">
        <f ca="1">IFERROR(AVERAGE(_xll.SNL.Clients.Office.Excel.Functions.SPG($L19,$BU$4,"Cu",BV$2,"Options:Curr=USD"),_xll.SNL.Clients.Office.Excel.Functions.SPG($L19,$BU$3,"Cu",BV$2, "Options:Curr=USD")),"NA")</f>
        <v>NA</v>
      </c>
      <c r="BW19" s="80" t="str">
        <f ca="1">IFERROR(AVERAGE(_xll.SNL.Clients.Office.Excel.Functions.SPG($L19,$BU$4,"Cu",BW$2,"Options:Curr=USD"),_xll.SNL.Clients.Office.Excel.Functions.SPG($L19,$BU$3,"Cu",BW$2, "Options:Curr=USD")),"NA")</f>
        <v>NA</v>
      </c>
      <c r="BY19" s="82" t="s">
        <v>86</v>
      </c>
      <c r="BZ19" s="83" t="s">
        <v>87</v>
      </c>
      <c r="CA19" s="46"/>
    </row>
    <row r="20" spans="1:80" ht="14.4">
      <c r="A20" s="60" t="e">
        <f ca="1">_xll.SNL.Clients.Office.Excel.Functions.SPG($L20, A$3)</f>
        <v>#NAME?</v>
      </c>
      <c r="B20" s="60" t="e">
        <f ca="1">_xll.BDP($K20,B$3)</f>
        <v>#NAME?</v>
      </c>
      <c r="C20" s="60" t="e">
        <f ca="1">_xll.BDP($K20,C$3)</f>
        <v>#NAME?</v>
      </c>
      <c r="D20" s="60" t="e">
        <f ca="1">_xll.BDP($K20,D$3)</f>
        <v>#NAME?</v>
      </c>
      <c r="E20" s="61" t="s">
        <v>130</v>
      </c>
      <c r="F20" s="61" t="s">
        <v>89</v>
      </c>
      <c r="G20" s="61" t="s">
        <v>90</v>
      </c>
      <c r="H20" s="62" t="e">
        <f ca="1">_xll.SNL.Clients.Office.Excel.Functions.SPG($L20, "IQ_TEV", "Options: Curr=USD")</f>
        <v>#NAME?</v>
      </c>
      <c r="I20" s="62" t="e">
        <f ca="1">_xll.SNL.Clients.Office.Excel.Functions.SPG($L20, "SP_MARKETCAP", "Options: Curr=USD")</f>
        <v>#NAME?</v>
      </c>
      <c r="J20" s="63" t="s">
        <v>131</v>
      </c>
      <c r="K20" s="28" t="s">
        <v>132</v>
      </c>
      <c r="L20" s="3" t="s">
        <v>133</v>
      </c>
      <c r="M20" s="64" t="str" cm="1">
        <f t="array" aca="1" ref="M20" ca="1">IFERROR(_xll.SNL.Clients.Office.Excel.Functions.SPG($L20, $M$3)/100,"NA")</f>
        <v>NA</v>
      </c>
      <c r="N20" s="65" t="e" cm="1">
        <f t="array" aca="1" ref="N20" ca="1">_xll.SNL.Clients.Office.Excel.Functions.SPG($L20, "SP_PCFPS_FWD",N$2)</f>
        <v>#NAME?</v>
      </c>
      <c r="O20" s="66" t="e" cm="1">
        <f t="array" aca="1" ref="O20" ca="1">_xll.SNL.Clients.Office.Excel.Functions.SPG($L20, "SP_PCFPS_FWD",O$2)</f>
        <v>#NAME?</v>
      </c>
      <c r="P20" s="67" t="e" cm="1">
        <f t="array" aca="1" ref="P20" ca="1">_xll.SNL.Clients.Office.Excel.Functions.SPG($L20, "SP_PCFPS_FWD",P$2)</f>
        <v>#NAME?</v>
      </c>
      <c r="Q20" s="68" t="str">
        <f ca="1">IFERROR(_xll.SNL.Clients.Office.Excel.Functions.SPG($L20, "SP_FCF_EST",Q$2, "Options: Curr=USD")/1000/I20,"NA")</f>
        <v>NA</v>
      </c>
      <c r="R20" s="68" t="str">
        <f ca="1">IFERROR(_xll.SNL.Clients.Office.Excel.Functions.SPG($L20, "SP_FCF_EST",R$2, "Options: Curr=USD")/1000/I20,"NA")</f>
        <v>NA</v>
      </c>
      <c r="S20" s="85" t="e">
        <f ca="1">_xll.SNL.Clients.Office.Excel.Functions.SPG($L20, "SP_FCF_EST",S$2, "Options: Curr=USD")/1000/$I20</f>
        <v>#NAME?</v>
      </c>
      <c r="T20" s="65" t="e" cm="1">
        <f t="array" aca="1" ref="T20" ca="1">_xll.SNL.Clients.Office.Excel.Functions.SPG($L20, "SP_PE_FWD",T$2)</f>
        <v>#NAME?</v>
      </c>
      <c r="U20" s="66" t="e" cm="1">
        <f t="array" aca="1" ref="U20" ca="1">_xll.SNL.Clients.Office.Excel.Functions.SPG($L20, "SP_PE_FWD",U$2)</f>
        <v>#NAME?</v>
      </c>
      <c r="V20" s="67" t="e" cm="1">
        <f t="array" aca="1" ref="V20" ca="1">_xll.SNL.Clients.Office.Excel.Functions.SPG($L20, "SP_PE_FWD",V$2)</f>
        <v>#NAME?</v>
      </c>
      <c r="W20" s="71" t="e" cm="1">
        <f t="array" aca="1" ref="W20" ca="1">IF((_xll.SNL.Clients.Office.Excel.Functions.SPG($L20,$W$3,W$4,"Options: Curr=USD") / _xll.SNL.Clients.Office.Excel.Functions.SPG($L20,"SP_EBITDA_EST",W$2,"Options: Curr=USD")) &lt; 0, "NM", (_xll.SNL.Clients.Office.Excel.Functions.SPG($L20,$W$3,W$4,"Options: Curr=USD") / _xll.SNL.Clients.Office.Excel.Functions.SPG($L20,"SP_EBITDA_EST",W$2,"Options: Curr=USD")))</f>
        <v>#NAME?</v>
      </c>
      <c r="X20" s="86" t="e" cm="1">
        <f t="array" aca="1" ref="X20" ca="1">_xll.SNL.Clients.Office.Excel.Functions.SPG($L20, $X$3,X$4)</f>
        <v>#NAME?</v>
      </c>
      <c r="Y20" s="87" t="str">
        <f ca="1">IFERROR(0.001*AVERAGE(_xll.SNL.Clients.Office.Excel.Functions.SPG($L20,$Y$4,"Cu",Y$2),_xll.SNL.Clients.Office.Excel.Functions.SPG($L20,$Y$3,"Cu",Y$2)),"NA")</f>
        <v>NA</v>
      </c>
      <c r="Z20" s="74" t="str">
        <f ca="1">IFERROR(0.001*AVERAGE(_xll.SNL.Clients.Office.Excel.Functions.SPG($L20,$Y$4,"Au",Z$2),_xll.SNL.Clients.Office.Excel.Functions.SPG($L20,$Y$3,"Au",Z$2)),"NA")</f>
        <v>NA</v>
      </c>
      <c r="AA20" s="88" t="str">
        <f ca="1">IFERROR(0.001*AVERAGE(_xll.SNL.Clients.Office.Excel.Functions.SPG($L20,$Y$4,"Au",AA$2),_xll.SNL.Clients.Office.Excel.Functions.SPG($L20,$Y$3,"Au",AA$2)),"NA")</f>
        <v>NA</v>
      </c>
      <c r="AB20" s="74" t="e">
        <f ca="1" xml:space="preserve"> IF(ISNUMBER(SEARCH("na",_xll.SNL.Clients.Office.Excel.Functions.SPG($L20, $AB$4, AB$2))), 0,_xll.SNL.Clients.Office.Excel.Functions.SPG($L20, $AB$4, AB$2))</f>
        <v>#NAME?</v>
      </c>
      <c r="AC20" s="74" t="e">
        <f ca="1" xml:space="preserve"> IF(ISNUMBER(SEARCH("na",_xll.SNL.Clients.Office.Excel.Functions.SPG($L20, $AB$4, AC$2))), 0,_xll.SNL.Clients.Office.Excel.Functions.SPG($L20, $AB$4, AC$2))</f>
        <v>#NAME?</v>
      </c>
      <c r="AD20" s="74" t="e">
        <f ca="1" xml:space="preserve"> IF(ISNUMBER(SEARCH("na",_xll.SNL.Clients.Office.Excel.Functions.SPG($L20, $AB$4, AD$2))), 0,_xll.SNL.Clients.Office.Excel.Functions.SPG($L20, $AB$4, AD$2))</f>
        <v>#NAME?</v>
      </c>
      <c r="AE20" s="74" t="e">
        <f ca="1" xml:space="preserve"> IF(ISNUMBER(SEARCH("na",_xll.SNL.Clients.Office.Excel.Functions.SPG($L20, $AE$4, AE$2))), 0,_xll.SNL.Clients.Office.Excel.Functions.SPG($L20, $AE$4, AE$2))</f>
        <v>#NAME?</v>
      </c>
      <c r="AF20" s="74" t="e">
        <f ca="1" xml:space="preserve"> IF(ISNUMBER(SEARCH("na",_xll.SNL.Clients.Office.Excel.Functions.SPG($L20, $AE$4, AF$2))), 0,_xll.SNL.Clients.Office.Excel.Functions.SPG($L20, $AE$4, AF$2))</f>
        <v>#NAME?</v>
      </c>
      <c r="AG20" s="74" t="e">
        <f ca="1" xml:space="preserve"> IF(ISNUMBER(SEARCH("na",_xll.SNL.Clients.Office.Excel.Functions.SPG($L20, $AE$4, AG$2))), 0,_xll.SNL.Clients.Office.Excel.Functions.SPG($L20, $AE$4, AG$2))</f>
        <v>#NAME?</v>
      </c>
      <c r="AH20" s="74" t="e">
        <f ca="1" xml:space="preserve"> IF(ISNUMBER(SEARCH("na",_xll.SNL.Clients.Office.Excel.Functions.SPG($L20, $AH$4, AH$2))), 0,_xll.SNL.Clients.Office.Excel.Functions.SPG($L20, $AH$4, AH$2))</f>
        <v>#NAME?</v>
      </c>
      <c r="AI20" s="74" t="e">
        <f ca="1" xml:space="preserve"> IF(ISNUMBER(SEARCH("na",_xll.SNL.Clients.Office.Excel.Functions.SPG($L20, $AH$4, AI$2))), 0,_xll.SNL.Clients.Office.Excel.Functions.SPG($L20, $AH$4, AI$2))</f>
        <v>#NAME?</v>
      </c>
      <c r="AJ20" s="74" t="e">
        <f ca="1" xml:space="preserve"> IF(ISNUMBER(SEARCH("na",_xll.SNL.Clients.Office.Excel.Functions.SPG($L20, $AH$4, AJ$2))), 0,_xll.SNL.Clients.Office.Excel.Functions.SPG($L20, $AH$4, AJ$2))</f>
        <v>#NAME?</v>
      </c>
      <c r="AK20" s="74" t="e">
        <f t="shared" ref="AK20:AM25" ca="1" si="25">AH20+AB20*auprice/cuprice+AE20*agprice/cuprice</f>
        <v>#NAME?</v>
      </c>
      <c r="AL20" s="74" t="e">
        <f t="shared" ca="1" si="25"/>
        <v>#NAME?</v>
      </c>
      <c r="AM20" s="74" t="e">
        <f t="shared" ca="1" si="25"/>
        <v>#NAME?</v>
      </c>
      <c r="AN20" s="89" t="str">
        <f t="shared" ca="1" si="20"/>
        <v>NA</v>
      </c>
      <c r="AO20" s="90" t="str">
        <f t="shared" ca="1" si="20"/>
        <v>NA</v>
      </c>
      <c r="AP20" s="91" t="str">
        <f t="shared" ca="1" si="20"/>
        <v>NA</v>
      </c>
      <c r="AQ20" s="74">
        <f ca="1">IFERROR(_xll.SNL.Clients.Office.Excel.Functions.SPG($L20, $AQ$3, AQ$2,$AQ$4)/1000,0)</f>
        <v>0</v>
      </c>
      <c r="AR20" s="74">
        <f ca="1">IFERROR(_xll.SNL.Clients.Office.Excel.Functions.SPG($L20, $AQ$3, AR$2,$AQ$4)/1000,0)</f>
        <v>0</v>
      </c>
      <c r="AS20" s="74">
        <f ca="1">IFERROR(_xll.SNL.Clients.Office.Excel.Functions.SPG($L20, $AT$3, AS$2,$AQ$4)/1000,0)</f>
        <v>0</v>
      </c>
      <c r="AT20" s="74">
        <f ca="1">IFERROR(_xll.SNL.Clients.Office.Excel.Functions.SPG($L20, $AT$3, AT$2,$AQ$4)/1000,0)</f>
        <v>0</v>
      </c>
      <c r="AU20" s="74">
        <f ca="1">IFERROR(_xll.SNL.Clients.Office.Excel.Functions.SPG($L20, $AT$3, AU$2,$AQ$4)/1000,0)</f>
        <v>0</v>
      </c>
      <c r="AV20" s="74">
        <f ca="1">IFERROR(_xll.SNL.Clients.Office.Excel.Functions.SPG($L20, $AT$3, AV$2,$AQ$4)/1000,0)</f>
        <v>0</v>
      </c>
      <c r="AW20" s="74">
        <f ca="1">IFERROR(_xll.SNL.Clients.Office.Excel.Functions.SPG($L20, $AW$3, AW$2,$AQ$4)/1000,0)</f>
        <v>0</v>
      </c>
      <c r="AX20" s="74">
        <f ca="1">IFERROR(_xll.SNL.Clients.Office.Excel.Functions.SPG($L20, $AW$3, AX$2,$AQ$4)/1000,0)</f>
        <v>0</v>
      </c>
      <c r="AY20" s="74">
        <f ca="1">IFERROR(_xll.SNL.Clients.Office.Excel.Functions.SPG($L20, $AZ$3, AY$2,$AQ$4)/1000,0)</f>
        <v>0</v>
      </c>
      <c r="AZ20" s="74">
        <f ca="1">IFERROR(_xll.SNL.Clients.Office.Excel.Functions.SPG($L20, $AZ$3, AZ$2,$AQ$4)/1000,0)</f>
        <v>0</v>
      </c>
      <c r="BA20" s="74">
        <f ca="1">IFERROR(_xll.SNL.Clients.Office.Excel.Functions.SPG($L20, $AZ$3, BA$2,$AQ$4)/1000,0)</f>
        <v>0</v>
      </c>
      <c r="BB20" s="74">
        <f ca="1">IFERROR(_xll.SNL.Clients.Office.Excel.Functions.SPG($L20, $AZ$3, BB$2,$AQ$4)/1000,0)</f>
        <v>0</v>
      </c>
      <c r="BC20" s="74">
        <f ca="1">IFERROR(_xll.SNL.Clients.Office.Excel.Functions.SPG($L20, $BC$3, BC$2,$AQ$4)/1000,0)</f>
        <v>0</v>
      </c>
      <c r="BD20" s="74">
        <f ca="1">IFERROR(_xll.SNL.Clients.Office.Excel.Functions.SPG($L20, $BC$3, BD$2,$AQ$4)/1000,0)</f>
        <v>0</v>
      </c>
      <c r="BE20" s="74">
        <f ca="1">IFERROR(_xll.SNL.Clients.Office.Excel.Functions.SPG($L20, $BF$3, BE$2,$AQ$4)/1000,0)</f>
        <v>0</v>
      </c>
      <c r="BF20" s="74">
        <f ca="1">IFERROR(_xll.SNL.Clients.Office.Excel.Functions.SPG($L20, $BF$3, BF$2,$AQ$4)/1000,0)</f>
        <v>0</v>
      </c>
      <c r="BG20" s="74">
        <f ca="1">IFERROR(_xll.SNL.Clients.Office.Excel.Functions.SPG($L20, $BF$3, BG$2,$AQ$4)/1000,0)</f>
        <v>0</v>
      </c>
      <c r="BH20" s="74">
        <f ca="1">IFERROR(_xll.SNL.Clients.Office.Excel.Functions.SPG($L20, $BF$3, BH$2,$AQ$4)/1000,0)</f>
        <v>0</v>
      </c>
      <c r="BI20" s="74">
        <f t="shared" ref="BI20:BI25" ca="1" si="26">AS20+AQ20*auprice/cuprice+AR20*agprice/cuprice+AT20*znprice/cuprice+AU20*pbprice/cuprice+AV20*niprice/cuprice</f>
        <v>0</v>
      </c>
      <c r="BJ20" s="74">
        <f t="shared" ref="BJ20:BJ25" ca="1" si="27">AY20+AW20*auprice/cuprice+AX20*agprice/cuprice+AZ20*znprice/cuprice+BA20*pbprice/cuprice+BB20*niprice/cuprice</f>
        <v>0</v>
      </c>
      <c r="BK20" s="74">
        <f t="shared" ref="BK20:BK25" ca="1" si="28">BE20+BC20*auprice/cuprice+BD20*agprice/cuprice+BF20*znprice/cuprice+BG20*pbprice/cuprice+BH20*niprice/cuprice</f>
        <v>0</v>
      </c>
      <c r="BL20" s="87" t="e">
        <f t="shared" ca="1" si="24"/>
        <v>#NAME?</v>
      </c>
      <c r="BM20" s="74" t="e">
        <f t="shared" ca="1" si="24"/>
        <v>#NAME?</v>
      </c>
      <c r="BN20" s="88" t="e">
        <f t="shared" ca="1" si="24"/>
        <v>#NAME?</v>
      </c>
      <c r="BO20" s="79" t="e" cm="1">
        <f t="array" aca="1" ref="BO20" ca="1">_xll.SNL.Clients.Office.Excel.Functions.SPG($L20, $BO$3,BO$2)</f>
        <v>#NAME?</v>
      </c>
      <c r="BP20" s="79" t="e" cm="1">
        <f t="array" aca="1" ref="BP20" ca="1">_xll.SNL.Clients.Office.Excel.Functions.SPG($L20, $BO$3,BP$2)</f>
        <v>#NAME?</v>
      </c>
      <c r="BQ20" s="80" t="e" cm="1">
        <f t="array" aca="1" ref="BQ20" ca="1">_xll.SNL.Clients.Office.Excel.Functions.SPG($L20, $BO$3,BQ$2)</f>
        <v>#NAME?</v>
      </c>
      <c r="BR20" s="79" t="e">
        <f ca="1">_xll.SNL.Clients.Office.Excel.Functions.SPG($L20, $BR$3, BR$2, "Cu", "Options:Curr=USD")</f>
        <v>#NAME?</v>
      </c>
      <c r="BS20" s="79" t="e">
        <f ca="1">_xll.SNL.Clients.Office.Excel.Functions.SPG($L20, $BR$3, BS$2, "Cu", "Options:Curr=USD")</f>
        <v>#NAME?</v>
      </c>
      <c r="BT20" s="79" t="e">
        <f ca="1">_xll.SNL.Clients.Office.Excel.Functions.SPG($L20, $BR$3, BT$2, "Cu", "Options:Curr=USD")</f>
        <v>#NAME?</v>
      </c>
      <c r="BU20" s="92" t="str">
        <f ca="1">IFERROR(AVERAGE(_xll.SNL.Clients.Office.Excel.Functions.SPG($L20,$BU$4,"Cu",BU$2,"Options:Curr=USD"),_xll.SNL.Clients.Office.Excel.Functions.SPG($L20,$BU$3,"Cu",BU$2, "Options:Curr=USD")),"NA")</f>
        <v>NA</v>
      </c>
      <c r="BV20" s="79" t="str">
        <f ca="1">IFERROR(AVERAGE(_xll.SNL.Clients.Office.Excel.Functions.SPG($L20,$BU$4,"Cu",BV$2,"Options:Curr=USD"),_xll.SNL.Clients.Office.Excel.Functions.SPG($L20,$BU$3,"Cu",BV$2, "Options:Curr=USD")),"NA")</f>
        <v>NA</v>
      </c>
      <c r="BW20" s="80" t="str">
        <f ca="1">IFERROR(AVERAGE(_xll.SNL.Clients.Office.Excel.Functions.SPG($L20,$BU$4,"Cu",BW$2,"Options:Curr=USD"),_xll.SNL.Clients.Office.Excel.Functions.SPG($L20,$BU$3,"Cu",BW$2, "Options:Curr=USD")),"NA")</f>
        <v>NA</v>
      </c>
      <c r="BY20" s="58" t="s">
        <v>94</v>
      </c>
      <c r="BZ20" s="83" t="s">
        <v>87</v>
      </c>
      <c r="CA20" s="46"/>
    </row>
    <row r="21" spans="1:80" ht="14.4">
      <c r="A21" s="60" t="e">
        <f ca="1">_xll.SNL.Clients.Office.Excel.Functions.SPG($L21, A$3)</f>
        <v>#NAME?</v>
      </c>
      <c r="B21" s="60" t="e">
        <f ca="1">_xll.BDP($K21,B$3)</f>
        <v>#NAME?</v>
      </c>
      <c r="C21" s="60" t="e">
        <f ca="1">_xll.BDP($K21,C$3)</f>
        <v>#NAME?</v>
      </c>
      <c r="D21" s="60" t="e">
        <f ca="1">_xll.BDP($K21,D$3)</f>
        <v>#NAME?</v>
      </c>
      <c r="E21" s="61" t="s">
        <v>134</v>
      </c>
      <c r="F21" s="61" t="s">
        <v>81</v>
      </c>
      <c r="G21" s="61" t="s">
        <v>90</v>
      </c>
      <c r="H21" s="62" t="e">
        <f ca="1">_xll.SNL.Clients.Office.Excel.Functions.SPG($L21, "IQ_TEV", "Options: Curr=USD")</f>
        <v>#NAME?</v>
      </c>
      <c r="I21" s="62" t="e">
        <f ca="1">_xll.SNL.Clients.Office.Excel.Functions.SPG($L21, "SP_MARKETCAP", "Options: Curr=USD")</f>
        <v>#NAME?</v>
      </c>
      <c r="J21" s="63" t="s">
        <v>135</v>
      </c>
      <c r="K21" s="28" t="s">
        <v>136</v>
      </c>
      <c r="L21" s="3" t="s">
        <v>137</v>
      </c>
      <c r="M21" s="64" t="str" cm="1">
        <f t="array" aca="1" ref="M21" ca="1">IFERROR(_xll.SNL.Clients.Office.Excel.Functions.SPG($L21, $M$3)/100,"NA")</f>
        <v>NA</v>
      </c>
      <c r="N21" s="65" t="e" cm="1">
        <f t="array" aca="1" ref="N21" ca="1">_xll.SNL.Clients.Office.Excel.Functions.SPG($L21, "SP_PCFPS_FWD",N$2)</f>
        <v>#NAME?</v>
      </c>
      <c r="O21" s="66" t="e" cm="1">
        <f t="array" aca="1" ref="O21" ca="1">_xll.SNL.Clients.Office.Excel.Functions.SPG($L21, "SP_PCFPS_FWD",O$2)</f>
        <v>#NAME?</v>
      </c>
      <c r="P21" s="67" t="e" cm="1">
        <f t="array" aca="1" ref="P21" ca="1">_xll.SNL.Clients.Office.Excel.Functions.SPG($L21, "SP_PCFPS_FWD",P$2)</f>
        <v>#NAME?</v>
      </c>
      <c r="Q21" s="68" t="str">
        <f ca="1">IFERROR(_xll.SNL.Clients.Office.Excel.Functions.SPG($L21, "SP_FCF_EST",Q$2, "Options: Curr=USD")/1000/I21,"NA")</f>
        <v>NA</v>
      </c>
      <c r="R21" s="68" t="str">
        <f ca="1">IFERROR(_xll.SNL.Clients.Office.Excel.Functions.SPG($L21, "SP_FCF_EST",R$2, "Options: Curr=USD")/1000/I21,"NA")</f>
        <v>NA</v>
      </c>
      <c r="S21" s="85" t="e">
        <f ca="1">_xll.SNL.Clients.Office.Excel.Functions.SPG($L21, "SP_FCF_EST",S$2, "Options: Curr=USD")/1000/$I21</f>
        <v>#NAME?</v>
      </c>
      <c r="T21" s="65" t="e" cm="1">
        <f t="array" aca="1" ref="T21" ca="1">_xll.SNL.Clients.Office.Excel.Functions.SPG($L21, "SP_PE_FWD",T$2)</f>
        <v>#NAME?</v>
      </c>
      <c r="U21" s="66" t="e" cm="1">
        <f t="array" aca="1" ref="U21" ca="1">_xll.SNL.Clients.Office.Excel.Functions.SPG($L21, "SP_PE_FWD",U$2)</f>
        <v>#NAME?</v>
      </c>
      <c r="V21" s="67" t="e" cm="1">
        <f t="array" aca="1" ref="V21" ca="1">_xll.SNL.Clients.Office.Excel.Functions.SPG($L21, "SP_PE_FWD",V$2)</f>
        <v>#NAME?</v>
      </c>
      <c r="W21" s="71" t="e" cm="1">
        <f t="array" aca="1" ref="W21" ca="1">IF((_xll.SNL.Clients.Office.Excel.Functions.SPG($L21,$W$3,W$4,"Options: Curr=USD") / _xll.SNL.Clients.Office.Excel.Functions.SPG($L21,"SP_EBITDA_EST",W$2,"Options: Curr=USD")) &lt; 0, "NM", (_xll.SNL.Clients.Office.Excel.Functions.SPG($L21,$W$3,W$4,"Options: Curr=USD") / _xll.SNL.Clients.Office.Excel.Functions.SPG($L21,"SP_EBITDA_EST",W$2,"Options: Curr=USD")))</f>
        <v>#NAME?</v>
      </c>
      <c r="X21" s="86" t="e" cm="1">
        <f t="array" aca="1" ref="X21" ca="1">_xll.SNL.Clients.Office.Excel.Functions.SPG($L21, $X$3,X$4)</f>
        <v>#NAME?</v>
      </c>
      <c r="Y21" s="87" t="str">
        <f ca="1">IFERROR(0.001*AVERAGE(_xll.SNL.Clients.Office.Excel.Functions.SPG($L21,$Y$4,"Cu",Y$2),_xll.SNL.Clients.Office.Excel.Functions.SPG($L21,$Y$3,"Cu",Y$2)),"NA")</f>
        <v>NA</v>
      </c>
      <c r="Z21" s="74" t="str">
        <f ca="1">IFERROR(0.001*AVERAGE(_xll.SNL.Clients.Office.Excel.Functions.SPG($L21,$Y$4,"Au",Z$2),_xll.SNL.Clients.Office.Excel.Functions.SPG($L21,$Y$3,"Au",Z$2)),"NA")</f>
        <v>NA</v>
      </c>
      <c r="AA21" s="88" t="str">
        <f ca="1">IFERROR(0.001*AVERAGE(_xll.SNL.Clients.Office.Excel.Functions.SPG($L21,$Y$4,"Au",AA$2),_xll.SNL.Clients.Office.Excel.Functions.SPG($L21,$Y$3,"Au",AA$2)),"NA")</f>
        <v>NA</v>
      </c>
      <c r="AB21" s="74" t="e">
        <f ca="1" xml:space="preserve"> IF(ISNUMBER(SEARCH("na",_xll.SNL.Clients.Office.Excel.Functions.SPG($L21, $AB$4, AB$2))), 0,_xll.SNL.Clients.Office.Excel.Functions.SPG($L21, $AB$4, AB$2))</f>
        <v>#NAME?</v>
      </c>
      <c r="AC21" s="74" t="e">
        <f ca="1" xml:space="preserve"> IF(ISNUMBER(SEARCH("na",_xll.SNL.Clients.Office.Excel.Functions.SPG($L21, $AB$4, AC$2))), 0,_xll.SNL.Clients.Office.Excel.Functions.SPG($L21, $AB$4, AC$2))</f>
        <v>#NAME?</v>
      </c>
      <c r="AD21" s="74" t="e">
        <f ca="1" xml:space="preserve"> IF(ISNUMBER(SEARCH("na",_xll.SNL.Clients.Office.Excel.Functions.SPG($L21, $AB$4, AD$2))), 0,_xll.SNL.Clients.Office.Excel.Functions.SPG($L21, $AB$4, AD$2))</f>
        <v>#NAME?</v>
      </c>
      <c r="AE21" s="74" t="e">
        <f ca="1" xml:space="preserve"> IF(ISNUMBER(SEARCH("na",_xll.SNL.Clients.Office.Excel.Functions.SPG($L21, $AE$4, AE$2))), 0,_xll.SNL.Clients.Office.Excel.Functions.SPG($L21, $AE$4, AE$2))</f>
        <v>#NAME?</v>
      </c>
      <c r="AF21" s="74" t="e">
        <f ca="1" xml:space="preserve"> IF(ISNUMBER(SEARCH("na",_xll.SNL.Clients.Office.Excel.Functions.SPG($L21, $AE$4, AF$2))), 0,_xll.SNL.Clients.Office.Excel.Functions.SPG($L21, $AE$4, AF$2))</f>
        <v>#NAME?</v>
      </c>
      <c r="AG21" s="74" t="e">
        <f ca="1" xml:space="preserve"> IF(ISNUMBER(SEARCH("na",_xll.SNL.Clients.Office.Excel.Functions.SPG($L21, $AE$4, AG$2))), 0,_xll.SNL.Clients.Office.Excel.Functions.SPG($L21, $AE$4, AG$2))</f>
        <v>#NAME?</v>
      </c>
      <c r="AH21" s="74" t="e">
        <f ca="1" xml:space="preserve"> IF(ISNUMBER(SEARCH("na",_xll.SNL.Clients.Office.Excel.Functions.SPG($L21, $AH$4, AH$2))), 0,_xll.SNL.Clients.Office.Excel.Functions.SPG($L21, $AH$4, AH$2))</f>
        <v>#NAME?</v>
      </c>
      <c r="AI21" s="74" t="e">
        <f ca="1" xml:space="preserve"> IF(ISNUMBER(SEARCH("na",_xll.SNL.Clients.Office.Excel.Functions.SPG($L21, $AH$4, AI$2))), 0,_xll.SNL.Clients.Office.Excel.Functions.SPG($L21, $AH$4, AI$2))</f>
        <v>#NAME?</v>
      </c>
      <c r="AJ21" s="74" t="e">
        <f ca="1" xml:space="preserve"> IF(ISNUMBER(SEARCH("na",_xll.SNL.Clients.Office.Excel.Functions.SPG($L21, $AH$4, AJ$2))), 0,_xll.SNL.Clients.Office.Excel.Functions.SPG($L21, $AH$4, AJ$2))</f>
        <v>#NAME?</v>
      </c>
      <c r="AK21" s="74" t="e">
        <f t="shared" ref="AK21:AM26" ca="1" si="29">AH21+AB21*auprice/cuprice+AE21*agprice/cuprice</f>
        <v>#NAME?</v>
      </c>
      <c r="AL21" s="74" t="e">
        <f t="shared" ca="1" si="29"/>
        <v>#NAME?</v>
      </c>
      <c r="AM21" s="74" t="e">
        <f t="shared" ca="1" si="29"/>
        <v>#NAME?</v>
      </c>
      <c r="AN21" s="89" t="str">
        <f t="shared" ca="1" si="20"/>
        <v>NA</v>
      </c>
      <c r="AO21" s="90" t="str">
        <f t="shared" ca="1" si="20"/>
        <v>NA</v>
      </c>
      <c r="AP21" s="91" t="str">
        <f t="shared" ca="1" si="20"/>
        <v>NA</v>
      </c>
      <c r="AQ21" s="74">
        <f ca="1">IFERROR(_xll.SNL.Clients.Office.Excel.Functions.SPG($L21, $AQ$3, AQ$2,$AQ$4)/1000,0)</f>
        <v>0</v>
      </c>
      <c r="AR21" s="74">
        <f ca="1">IFERROR(_xll.SNL.Clients.Office.Excel.Functions.SPG($L21, $AQ$3, AR$2,$AQ$4)/1000,0)</f>
        <v>0</v>
      </c>
      <c r="AS21" s="74">
        <f ca="1">IFERROR(_xll.SNL.Clients.Office.Excel.Functions.SPG($L21, $AT$3, AS$2,$AQ$4)/1000,0)</f>
        <v>0</v>
      </c>
      <c r="AT21" s="74">
        <f ca="1">IFERROR(_xll.SNL.Clients.Office.Excel.Functions.SPG($L21, $AT$3, AT$2,$AQ$4)/1000,0)</f>
        <v>0</v>
      </c>
      <c r="AU21" s="74">
        <f ca="1">IFERROR(_xll.SNL.Clients.Office.Excel.Functions.SPG($L21, $AT$3, AU$2,$AQ$4)/1000,0)</f>
        <v>0</v>
      </c>
      <c r="AV21" s="74">
        <f ca="1">IFERROR(_xll.SNL.Clients.Office.Excel.Functions.SPG($L21, $AT$3, AV$2,$AQ$4)/1000,0)</f>
        <v>0</v>
      </c>
      <c r="AW21" s="74">
        <f ca="1">IFERROR(_xll.SNL.Clients.Office.Excel.Functions.SPG($L21, $AW$3, AW$2,$AQ$4)/1000,0)</f>
        <v>0</v>
      </c>
      <c r="AX21" s="74">
        <f ca="1">IFERROR(_xll.SNL.Clients.Office.Excel.Functions.SPG($L21, $AW$3, AX$2,$AQ$4)/1000,0)</f>
        <v>0</v>
      </c>
      <c r="AY21" s="74">
        <f ca="1">IFERROR(_xll.SNL.Clients.Office.Excel.Functions.SPG($L21, $AZ$3, AY$2,$AQ$4)/1000,0)</f>
        <v>0</v>
      </c>
      <c r="AZ21" s="74">
        <f ca="1">IFERROR(_xll.SNL.Clients.Office.Excel.Functions.SPG($L21, $AZ$3, AZ$2,$AQ$4)/1000,0)</f>
        <v>0</v>
      </c>
      <c r="BA21" s="74">
        <f ca="1">IFERROR(_xll.SNL.Clients.Office.Excel.Functions.SPG($L21, $AZ$3, BA$2,$AQ$4)/1000,0)</f>
        <v>0</v>
      </c>
      <c r="BB21" s="74">
        <f ca="1">IFERROR(_xll.SNL.Clients.Office.Excel.Functions.SPG($L21, $AZ$3, BB$2,$AQ$4)/1000,0)</f>
        <v>0</v>
      </c>
      <c r="BC21" s="74">
        <f ca="1">IFERROR(_xll.SNL.Clients.Office.Excel.Functions.SPG($L21, $BC$3, BC$2,$AQ$4)/1000,0)</f>
        <v>0</v>
      </c>
      <c r="BD21" s="74">
        <f ca="1">IFERROR(_xll.SNL.Clients.Office.Excel.Functions.SPG($L21, $BC$3, BD$2,$AQ$4)/1000,0)</f>
        <v>0</v>
      </c>
      <c r="BE21" s="74">
        <f ca="1">IFERROR(_xll.SNL.Clients.Office.Excel.Functions.SPG($L21, $BF$3, BE$2,$AQ$4)/1000,0)</f>
        <v>0</v>
      </c>
      <c r="BF21" s="74">
        <f ca="1">IFERROR(_xll.SNL.Clients.Office.Excel.Functions.SPG($L21, $BF$3, BF$2,$AQ$4)/1000,0)</f>
        <v>0</v>
      </c>
      <c r="BG21" s="74">
        <f ca="1">IFERROR(_xll.SNL.Clients.Office.Excel.Functions.SPG($L21, $BF$3, BG$2,$AQ$4)/1000,0)</f>
        <v>0</v>
      </c>
      <c r="BH21" s="74">
        <f ca="1">IFERROR(_xll.SNL.Clients.Office.Excel.Functions.SPG($L21, $BF$3, BH$2,$AQ$4)/1000,0)</f>
        <v>0</v>
      </c>
      <c r="BI21" s="74">
        <f t="shared" ref="BI21:BI26" ca="1" si="30">AS21+AQ21*auprice/cuprice+AR21*agprice/cuprice+AT21*znprice/cuprice+AU21*pbprice/cuprice+AV21*niprice/cuprice</f>
        <v>0</v>
      </c>
      <c r="BJ21" s="74">
        <f t="shared" ref="BJ21:BJ26" ca="1" si="31">AY21+AW21*auprice/cuprice+AX21*agprice/cuprice+AZ21*znprice/cuprice+BA21*pbprice/cuprice+BB21*niprice/cuprice</f>
        <v>0</v>
      </c>
      <c r="BK21" s="74">
        <f t="shared" ref="BK21:BK26" ca="1" si="32">BE21+BC21*auprice/cuprice+BD21*agprice/cuprice+BF21*znprice/cuprice+BG21*pbprice/cuprice+BH21*niprice/cuprice</f>
        <v>0</v>
      </c>
      <c r="BL21" s="87" t="e">
        <f t="shared" ca="1" si="24"/>
        <v>#NAME?</v>
      </c>
      <c r="BM21" s="74" t="e">
        <f t="shared" ca="1" si="24"/>
        <v>#NAME?</v>
      </c>
      <c r="BN21" s="88" t="e">
        <f t="shared" ca="1" si="24"/>
        <v>#NAME?</v>
      </c>
      <c r="BO21" s="79" t="e" cm="1">
        <f t="array" aca="1" ref="BO21" ca="1">_xll.SNL.Clients.Office.Excel.Functions.SPG($L21, $BO$3,BO$2)</f>
        <v>#NAME?</v>
      </c>
      <c r="BP21" s="79" t="e" cm="1">
        <f t="array" aca="1" ref="BP21" ca="1">_xll.SNL.Clients.Office.Excel.Functions.SPG($L21, $BO$3,BP$2)</f>
        <v>#NAME?</v>
      </c>
      <c r="BQ21" s="80" t="e" cm="1">
        <f t="array" aca="1" ref="BQ21" ca="1">_xll.SNL.Clients.Office.Excel.Functions.SPG($L21, $BO$3,BQ$2)</f>
        <v>#NAME?</v>
      </c>
      <c r="BR21" s="79" t="e">
        <f ca="1">_xll.SNL.Clients.Office.Excel.Functions.SPG($L21, $BR$3, BR$2, "Cu", "Options:Curr=USD")</f>
        <v>#NAME?</v>
      </c>
      <c r="BS21" s="79" t="e">
        <f ca="1">_xll.SNL.Clients.Office.Excel.Functions.SPG($L21, $BR$3, BS$2, "Cu", "Options:Curr=USD")</f>
        <v>#NAME?</v>
      </c>
      <c r="BT21" s="79" t="e">
        <f ca="1">_xll.SNL.Clients.Office.Excel.Functions.SPG($L21, $BR$3, BT$2, "Cu", "Options:Curr=USD")</f>
        <v>#NAME?</v>
      </c>
      <c r="BU21" s="92" t="str">
        <f ca="1">IFERROR(AVERAGE(_xll.SNL.Clients.Office.Excel.Functions.SPG($L21,$BU$4,"Cu",BU$2,"Options:Curr=USD"),_xll.SNL.Clients.Office.Excel.Functions.SPG($L21,$BU$3,"Cu",BU$2, "Options:Curr=USD")),"NA")</f>
        <v>NA</v>
      </c>
      <c r="BV21" s="79" t="str">
        <f ca="1">IFERROR(AVERAGE(_xll.SNL.Clients.Office.Excel.Functions.SPG($L21,$BU$4,"Cu",BV$2,"Options:Curr=USD"),_xll.SNL.Clients.Office.Excel.Functions.SPG($L21,$BU$3,"Cu",BV$2, "Options:Curr=USD")),"NA")</f>
        <v>NA</v>
      </c>
      <c r="BW21" s="80" t="str">
        <f ca="1">IFERROR(AVERAGE(_xll.SNL.Clients.Office.Excel.Functions.SPG($L21,$BU$4,"Cu",BW$2,"Options:Curr=USD"),_xll.SNL.Clients.Office.Excel.Functions.SPG($L21,$BU$3,"Cu",BW$2, "Options:Curr=USD")),"NA")</f>
        <v>NA</v>
      </c>
      <c r="BY21" s="82" t="s">
        <v>86</v>
      </c>
      <c r="BZ21" s="83" t="s">
        <v>87</v>
      </c>
      <c r="CA21" s="46"/>
    </row>
    <row r="22" spans="1:80" ht="14.4">
      <c r="A22" s="60" t="e">
        <f ca="1">_xll.SNL.Clients.Office.Excel.Functions.SPG($L22, A$3)</f>
        <v>#NAME?</v>
      </c>
      <c r="B22" s="60" t="e">
        <f ca="1">_xll.BDP($K22,B$3)</f>
        <v>#NAME?</v>
      </c>
      <c r="C22" s="60" t="e">
        <f ca="1">_xll.BDP($K22,C$3)</f>
        <v>#NAME?</v>
      </c>
      <c r="D22" s="60" t="e">
        <f ca="1">_xll.BDP($K22,D$3)</f>
        <v>#NAME?</v>
      </c>
      <c r="E22" s="61" t="s">
        <v>138</v>
      </c>
      <c r="F22" s="61" t="s">
        <v>81</v>
      </c>
      <c r="G22" s="61" t="s">
        <v>139</v>
      </c>
      <c r="H22" s="62" t="e">
        <f ca="1">_xll.SNL.Clients.Office.Excel.Functions.SPG($L22, "IQ_TEV", "Options: Curr=USD")</f>
        <v>#NAME?</v>
      </c>
      <c r="I22" s="62" t="e">
        <f ca="1">_xll.SNL.Clients.Office.Excel.Functions.SPG($L22, "SP_MARKETCAP", "Options: Curr=USD")</f>
        <v>#NAME?</v>
      </c>
      <c r="J22" s="63" t="s">
        <v>140</v>
      </c>
      <c r="K22" s="28" t="s">
        <v>141</v>
      </c>
      <c r="L22" s="3" t="s">
        <v>142</v>
      </c>
      <c r="M22" s="64" t="str" cm="1">
        <f t="array" aca="1" ref="M22" ca="1">IFERROR(_xll.SNL.Clients.Office.Excel.Functions.SPG($L22, $M$3)/100,"NA")</f>
        <v>NA</v>
      </c>
      <c r="N22" s="65" t="e" cm="1">
        <f t="array" aca="1" ref="N22" ca="1">_xll.SNL.Clients.Office.Excel.Functions.SPG($L22, "SP_PCFPS_FWD",N$2)</f>
        <v>#NAME?</v>
      </c>
      <c r="O22" s="66" t="e" cm="1">
        <f t="array" aca="1" ref="O22" ca="1">_xll.SNL.Clients.Office.Excel.Functions.SPG($L22, "SP_PCFPS_FWD",O$2)</f>
        <v>#NAME?</v>
      </c>
      <c r="P22" s="67" t="e" cm="1">
        <f t="array" aca="1" ref="P22" ca="1">_xll.SNL.Clients.Office.Excel.Functions.SPG($L22, "SP_PCFPS_FWD",P$2)</f>
        <v>#NAME?</v>
      </c>
      <c r="Q22" s="68" t="str">
        <f ca="1">IFERROR(_xll.SNL.Clients.Office.Excel.Functions.SPG($L22, "SP_FCF_EST",Q$2, "Options: Curr=USD")/1000/I22,"NA")</f>
        <v>NA</v>
      </c>
      <c r="R22" s="68" t="str">
        <f ca="1">IFERROR(_xll.SNL.Clients.Office.Excel.Functions.SPG($L22, "SP_FCF_EST",R$2, "Options: Curr=USD")/1000/I22,"NA")</f>
        <v>NA</v>
      </c>
      <c r="S22" s="85" t="e">
        <f ca="1">_xll.SNL.Clients.Office.Excel.Functions.SPG($L22, "SP_FCF_EST",S$2, "Options: Curr=USD")/1000/$I22</f>
        <v>#NAME?</v>
      </c>
      <c r="T22" s="65" t="e" cm="1">
        <f t="array" aca="1" ref="T22" ca="1">_xll.SNL.Clients.Office.Excel.Functions.SPG($L22, "SP_PE_FWD",T$2)</f>
        <v>#NAME?</v>
      </c>
      <c r="U22" s="66" t="e" cm="1">
        <f t="array" aca="1" ref="U22" ca="1">_xll.SNL.Clients.Office.Excel.Functions.SPG($L22, "SP_PE_FWD",U$2)</f>
        <v>#NAME?</v>
      </c>
      <c r="V22" s="67" t="e" cm="1">
        <f t="array" aca="1" ref="V22" ca="1">_xll.SNL.Clients.Office.Excel.Functions.SPG($L22, "SP_PE_FWD",V$2)</f>
        <v>#NAME?</v>
      </c>
      <c r="W22" s="71" t="e" cm="1">
        <f t="array" aca="1" ref="W22" ca="1">IF((_xll.SNL.Clients.Office.Excel.Functions.SPG($L22,$W$3,W$4,"Options: Curr=USD") / _xll.SNL.Clients.Office.Excel.Functions.SPG($L22,"SP_EBITDA_EST",W$2,"Options: Curr=USD")) &lt; 0, "NM", (_xll.SNL.Clients.Office.Excel.Functions.SPG($L22,$W$3,W$4,"Options: Curr=USD") / _xll.SNL.Clients.Office.Excel.Functions.SPG($L22,"SP_EBITDA_EST",W$2,"Options: Curr=USD")))</f>
        <v>#NAME?</v>
      </c>
      <c r="X22" s="86" t="e" cm="1">
        <f t="array" aca="1" ref="X22" ca="1">_xll.SNL.Clients.Office.Excel.Functions.SPG($L22, $X$3,X$4)</f>
        <v>#NAME?</v>
      </c>
      <c r="Y22" s="87" t="str">
        <f ca="1">IFERROR(0.001*AVERAGE(_xll.SNL.Clients.Office.Excel.Functions.SPG($L22,$Y$4,"Cu",Y$2),_xll.SNL.Clients.Office.Excel.Functions.SPG($L22,$Y$3,"Cu",Y$2)),"NA")</f>
        <v>NA</v>
      </c>
      <c r="Z22" s="74" t="str">
        <f ca="1">IFERROR(0.001*AVERAGE(_xll.SNL.Clients.Office.Excel.Functions.SPG($L22,$Y$4,"Au",Z$2),_xll.SNL.Clients.Office.Excel.Functions.SPG($L22,$Y$3,"Au",Z$2)),"NA")</f>
        <v>NA</v>
      </c>
      <c r="AA22" s="88" t="str">
        <f ca="1">IFERROR(0.001*AVERAGE(_xll.SNL.Clients.Office.Excel.Functions.SPG($L22,$Y$4,"Au",AA$2),_xll.SNL.Clients.Office.Excel.Functions.SPG($L22,$Y$3,"Au",AA$2)),"NA")</f>
        <v>NA</v>
      </c>
      <c r="AB22" s="74" t="e">
        <f ca="1" xml:space="preserve"> IF(ISNUMBER(SEARCH("na",_xll.SNL.Clients.Office.Excel.Functions.SPG($L22, $AB$4, AB$2))), 0,_xll.SNL.Clients.Office.Excel.Functions.SPG($L22, $AB$4, AB$2))</f>
        <v>#NAME?</v>
      </c>
      <c r="AC22" s="74" t="e">
        <f ca="1" xml:space="preserve"> IF(ISNUMBER(SEARCH("na",_xll.SNL.Clients.Office.Excel.Functions.SPG($L22, $AB$4, AC$2))), 0,_xll.SNL.Clients.Office.Excel.Functions.SPG($L22, $AB$4, AC$2))</f>
        <v>#NAME?</v>
      </c>
      <c r="AD22" s="74" t="e">
        <f ca="1" xml:space="preserve"> IF(ISNUMBER(SEARCH("na",_xll.SNL.Clients.Office.Excel.Functions.SPG($L22, $AB$4, AD$2))), 0,_xll.SNL.Clients.Office.Excel.Functions.SPG($L22, $AB$4, AD$2))</f>
        <v>#NAME?</v>
      </c>
      <c r="AE22" s="74" t="e">
        <f ca="1" xml:space="preserve"> IF(ISNUMBER(SEARCH("na",_xll.SNL.Clients.Office.Excel.Functions.SPG($L22, $AE$4, AE$2))), 0,_xll.SNL.Clients.Office.Excel.Functions.SPG($L22, $AE$4, AE$2))</f>
        <v>#NAME?</v>
      </c>
      <c r="AF22" s="74" t="e">
        <f ca="1" xml:space="preserve"> IF(ISNUMBER(SEARCH("na",_xll.SNL.Clients.Office.Excel.Functions.SPG($L22, $AE$4, AF$2))), 0,_xll.SNL.Clients.Office.Excel.Functions.SPG($L22, $AE$4, AF$2))</f>
        <v>#NAME?</v>
      </c>
      <c r="AG22" s="74" t="e">
        <f ca="1" xml:space="preserve"> IF(ISNUMBER(SEARCH("na",_xll.SNL.Clients.Office.Excel.Functions.SPG($L22, $AE$4, AG$2))), 0,_xll.SNL.Clients.Office.Excel.Functions.SPG($L22, $AE$4, AG$2))</f>
        <v>#NAME?</v>
      </c>
      <c r="AH22" s="74" t="e">
        <f ca="1" xml:space="preserve"> IF(ISNUMBER(SEARCH("na",_xll.SNL.Clients.Office.Excel.Functions.SPG($L22, $AH$4, AH$2))), 0,_xll.SNL.Clients.Office.Excel.Functions.SPG($L22, $AH$4, AH$2))</f>
        <v>#NAME?</v>
      </c>
      <c r="AI22" s="74" t="e">
        <f ca="1" xml:space="preserve"> IF(ISNUMBER(SEARCH("na",_xll.SNL.Clients.Office.Excel.Functions.SPG($L22, $AH$4, AI$2))), 0,_xll.SNL.Clients.Office.Excel.Functions.SPG($L22, $AH$4, AI$2))</f>
        <v>#NAME?</v>
      </c>
      <c r="AJ22" s="74" t="e">
        <f ca="1" xml:space="preserve"> IF(ISNUMBER(SEARCH("na",_xll.SNL.Clients.Office.Excel.Functions.SPG($L22, $AH$4, AJ$2))), 0,_xll.SNL.Clients.Office.Excel.Functions.SPG($L22, $AH$4, AJ$2))</f>
        <v>#NAME?</v>
      </c>
      <c r="AK22" s="74" t="e">
        <f t="shared" ref="AK22:AM27" ca="1" si="33">AH22+AB22*auprice/cuprice+AE22*agprice/cuprice</f>
        <v>#NAME?</v>
      </c>
      <c r="AL22" s="74" t="e">
        <f t="shared" ca="1" si="33"/>
        <v>#NAME?</v>
      </c>
      <c r="AM22" s="74" t="e">
        <f t="shared" ca="1" si="33"/>
        <v>#NAME?</v>
      </c>
      <c r="AN22" s="89" t="str">
        <f t="shared" ca="1" si="20"/>
        <v>NA</v>
      </c>
      <c r="AO22" s="90" t="str">
        <f t="shared" ca="1" si="20"/>
        <v>NA</v>
      </c>
      <c r="AP22" s="91" t="str">
        <f t="shared" ca="1" si="20"/>
        <v>NA</v>
      </c>
      <c r="AQ22" s="74">
        <f ca="1">IFERROR(_xll.SNL.Clients.Office.Excel.Functions.SPG($L22, $AQ$3, AQ$2,$AQ$4)/1000,0)</f>
        <v>0</v>
      </c>
      <c r="AR22" s="74">
        <f ca="1">IFERROR(_xll.SNL.Clients.Office.Excel.Functions.SPG($L22, $AQ$3, AR$2,$AQ$4)/1000,0)</f>
        <v>0</v>
      </c>
      <c r="AS22" s="74">
        <f ca="1">IFERROR(_xll.SNL.Clients.Office.Excel.Functions.SPG($L22, $AT$3, AS$2,$AQ$4)/1000,0)</f>
        <v>0</v>
      </c>
      <c r="AT22" s="74">
        <f ca="1">IFERROR(_xll.SNL.Clients.Office.Excel.Functions.SPG($L22, $AT$3, AT$2,$AQ$4)/1000,0)</f>
        <v>0</v>
      </c>
      <c r="AU22" s="74">
        <f ca="1">IFERROR(_xll.SNL.Clients.Office.Excel.Functions.SPG($L22, $AT$3, AU$2,$AQ$4)/1000,0)</f>
        <v>0</v>
      </c>
      <c r="AV22" s="74">
        <f ca="1">IFERROR(_xll.SNL.Clients.Office.Excel.Functions.SPG($L22, $AT$3, AV$2,$AQ$4)/1000,0)</f>
        <v>0</v>
      </c>
      <c r="AW22" s="74">
        <f ca="1">IFERROR(_xll.SNL.Clients.Office.Excel.Functions.SPG($L22, $AW$3, AW$2,$AQ$4)/1000,0)</f>
        <v>0</v>
      </c>
      <c r="AX22" s="74">
        <f ca="1">IFERROR(_xll.SNL.Clients.Office.Excel.Functions.SPG($L22, $AW$3, AX$2,$AQ$4)/1000,0)</f>
        <v>0</v>
      </c>
      <c r="AY22" s="74">
        <f ca="1">IFERROR(_xll.SNL.Clients.Office.Excel.Functions.SPG($L22, $AZ$3, AY$2,$AQ$4)/1000,0)</f>
        <v>0</v>
      </c>
      <c r="AZ22" s="74">
        <f ca="1">IFERROR(_xll.SNL.Clients.Office.Excel.Functions.SPG($L22, $AZ$3, AZ$2,$AQ$4)/1000,0)</f>
        <v>0</v>
      </c>
      <c r="BA22" s="74">
        <f ca="1">IFERROR(_xll.SNL.Clients.Office.Excel.Functions.SPG($L22, $AZ$3, BA$2,$AQ$4)/1000,0)</f>
        <v>0</v>
      </c>
      <c r="BB22" s="74">
        <f ca="1">IFERROR(_xll.SNL.Clients.Office.Excel.Functions.SPG($L22, $AZ$3, BB$2,$AQ$4)/1000,0)</f>
        <v>0</v>
      </c>
      <c r="BC22" s="74">
        <f ca="1">IFERROR(_xll.SNL.Clients.Office.Excel.Functions.SPG($L22, $BC$3, BC$2,$AQ$4)/1000,0)</f>
        <v>0</v>
      </c>
      <c r="BD22" s="74">
        <f ca="1">IFERROR(_xll.SNL.Clients.Office.Excel.Functions.SPG($L22, $BC$3, BD$2,$AQ$4)/1000,0)</f>
        <v>0</v>
      </c>
      <c r="BE22" s="74">
        <f ca="1">IFERROR(_xll.SNL.Clients.Office.Excel.Functions.SPG($L22, $BF$3, BE$2,$AQ$4)/1000,0)</f>
        <v>0</v>
      </c>
      <c r="BF22" s="74">
        <f ca="1">IFERROR(_xll.SNL.Clients.Office.Excel.Functions.SPG($L22, $BF$3, BF$2,$AQ$4)/1000,0)</f>
        <v>0</v>
      </c>
      <c r="BG22" s="74">
        <f ca="1">IFERROR(_xll.SNL.Clients.Office.Excel.Functions.SPG($L22, $BF$3, BG$2,$AQ$4)/1000,0)</f>
        <v>0</v>
      </c>
      <c r="BH22" s="74">
        <f ca="1">IFERROR(_xll.SNL.Clients.Office.Excel.Functions.SPG($L22, $BF$3, BH$2,$AQ$4)/1000,0)</f>
        <v>0</v>
      </c>
      <c r="BI22" s="74">
        <f t="shared" ref="BI22:BI27" ca="1" si="34">AS22+AQ22*auprice/cuprice+AR22*agprice/cuprice+AT22*znprice/cuprice+AU22*pbprice/cuprice+AV22*niprice/cuprice</f>
        <v>0</v>
      </c>
      <c r="BJ22" s="74">
        <f t="shared" ref="BJ22:BJ27" ca="1" si="35">AY22+AW22*auprice/cuprice+AX22*agprice/cuprice+AZ22*znprice/cuprice+BA22*pbprice/cuprice+BB22*niprice/cuprice</f>
        <v>0</v>
      </c>
      <c r="BK22" s="74">
        <f t="shared" ref="BK22:BK27" ca="1" si="36">BE22+BC22*auprice/cuprice+BD22*agprice/cuprice+BF22*znprice/cuprice+BG22*pbprice/cuprice+BH22*niprice/cuprice</f>
        <v>0</v>
      </c>
      <c r="BL22" s="87" t="e">
        <f t="shared" ca="1" si="24"/>
        <v>#NAME?</v>
      </c>
      <c r="BM22" s="74" t="e">
        <f t="shared" ca="1" si="24"/>
        <v>#NAME?</v>
      </c>
      <c r="BN22" s="88" t="e">
        <f t="shared" ca="1" si="24"/>
        <v>#NAME?</v>
      </c>
      <c r="BO22" s="79" t="e" cm="1">
        <f t="array" aca="1" ref="BO22" ca="1">_xll.SNL.Clients.Office.Excel.Functions.SPG($L22, $BO$3,BO$2)</f>
        <v>#NAME?</v>
      </c>
      <c r="BP22" s="79" t="e" cm="1">
        <f t="array" aca="1" ref="BP22" ca="1">_xll.SNL.Clients.Office.Excel.Functions.SPG($L22, $BO$3,BP$2)</f>
        <v>#NAME?</v>
      </c>
      <c r="BQ22" s="80" t="e" cm="1">
        <f t="array" aca="1" ref="BQ22" ca="1">_xll.SNL.Clients.Office.Excel.Functions.SPG($L22, $BO$3,BQ$2)</f>
        <v>#NAME?</v>
      </c>
      <c r="BR22" s="79" t="e">
        <f ca="1">_xll.SNL.Clients.Office.Excel.Functions.SPG($L22, $BR$3, BR$2, "Cu", "Options:Curr=USD")</f>
        <v>#NAME?</v>
      </c>
      <c r="BS22" s="79" t="e">
        <f ca="1">_xll.SNL.Clients.Office.Excel.Functions.SPG($L22, $BR$3, BS$2, "Cu", "Options:Curr=USD")</f>
        <v>#NAME?</v>
      </c>
      <c r="BT22" s="79" t="e">
        <f ca="1">_xll.SNL.Clients.Office.Excel.Functions.SPG($L22, $BR$3, BT$2, "Cu", "Options:Curr=USD")</f>
        <v>#NAME?</v>
      </c>
      <c r="BU22" s="92" t="str">
        <f ca="1">IFERROR(AVERAGE(_xll.SNL.Clients.Office.Excel.Functions.SPG($L22,$BU$4,"Cu",BU$2,"Options:Curr=USD"),_xll.SNL.Clients.Office.Excel.Functions.SPG($L22,$BU$3,"Cu",BU$2, "Options:Curr=USD")),"NA")</f>
        <v>NA</v>
      </c>
      <c r="BV22" s="79" t="str">
        <f ca="1">IFERROR(AVERAGE(_xll.SNL.Clients.Office.Excel.Functions.SPG($L22,$BU$4,"Cu",BV$2,"Options:Curr=USD"),_xll.SNL.Clients.Office.Excel.Functions.SPG($L22,$BU$3,"Cu",BV$2, "Options:Curr=USD")),"NA")</f>
        <v>NA</v>
      </c>
      <c r="BW22" s="80" t="str">
        <f ca="1">IFERROR(AVERAGE(_xll.SNL.Clients.Office.Excel.Functions.SPG($L22,$BU$4,"Cu",BW$2,"Options:Curr=USD"),_xll.SNL.Clients.Office.Excel.Functions.SPG($L22,$BU$3,"Cu",BW$2, "Options:Curr=USD")),"NA")</f>
        <v>NA</v>
      </c>
      <c r="BY22" s="82" t="s">
        <v>86</v>
      </c>
      <c r="BZ22" s="83" t="s">
        <v>87</v>
      </c>
      <c r="CA22" s="46"/>
      <c r="CB22" s="84"/>
    </row>
    <row r="23" spans="1:80" ht="14.4">
      <c r="A23" s="60" t="e">
        <f ca="1">_xll.SNL.Clients.Office.Excel.Functions.SPG($L23, A$3)</f>
        <v>#NAME?</v>
      </c>
      <c r="B23" s="60" t="e">
        <f ca="1">_xll.BDP($K23,B$3)</f>
        <v>#NAME?</v>
      </c>
      <c r="C23" s="60" t="e">
        <f ca="1">_xll.BDP($K23,C$3)</f>
        <v>#NAME?</v>
      </c>
      <c r="D23" s="60" t="e">
        <f ca="1">_xll.BDP($K23,D$3)</f>
        <v>#NAME?</v>
      </c>
      <c r="E23" s="61" t="s">
        <v>109</v>
      </c>
      <c r="F23" s="61" t="s">
        <v>89</v>
      </c>
      <c r="G23" s="61" t="s">
        <v>90</v>
      </c>
      <c r="H23" s="62" t="e">
        <f ca="1">_xll.SNL.Clients.Office.Excel.Functions.SPG($L23, "IQ_TEV", "Options: Curr=USD")</f>
        <v>#NAME?</v>
      </c>
      <c r="I23" s="62" t="e">
        <f ca="1">_xll.SNL.Clients.Office.Excel.Functions.SPG($L23, "SP_MARKETCAP", $I$3, "Options: Curr=USD")</f>
        <v>#NAME?</v>
      </c>
      <c r="J23" s="63" t="s">
        <v>143</v>
      </c>
      <c r="K23" s="28" t="s">
        <v>144</v>
      </c>
      <c r="L23" s="28" t="s">
        <v>145</v>
      </c>
      <c r="M23" s="64" t="str" cm="1">
        <f t="array" aca="1" ref="M23" ca="1">IFERROR(_xll.SNL.Clients.Office.Excel.Functions.SPG($L23, $M$3)/100,"NA")</f>
        <v>NA</v>
      </c>
      <c r="N23" s="65" t="e" cm="1">
        <f t="array" aca="1" ref="N23" ca="1">_xll.SNL.Clients.Office.Excel.Functions.SPG($L23, "SP_PCFPS_FWD",N$2)</f>
        <v>#NAME?</v>
      </c>
      <c r="O23" s="66" t="e" cm="1">
        <f t="array" aca="1" ref="O23" ca="1">_xll.SNL.Clients.Office.Excel.Functions.SPG($L23, "SP_PCFPS_FWD",O$2)</f>
        <v>#NAME?</v>
      </c>
      <c r="P23" s="67" t="e" cm="1">
        <f t="array" aca="1" ref="P23" ca="1">_xll.SNL.Clients.Office.Excel.Functions.SPG($L23, "SP_PCFPS_FWD",P$2)</f>
        <v>#NAME?</v>
      </c>
      <c r="Q23" s="68" t="str">
        <f ca="1">IFERROR(_xll.SNL.Clients.Office.Excel.Functions.SPG($L23, "SP_FCF_EST",Q$2, "Options: Curr=USD")/1000/I23,"NA")</f>
        <v>NA</v>
      </c>
      <c r="R23" s="68" t="str">
        <f ca="1">IFERROR(_xll.SNL.Clients.Office.Excel.Functions.SPG($L23, "SP_FCF_EST",R$2, "Options: Curr=USD")/1000/I23,"NA")</f>
        <v>NA</v>
      </c>
      <c r="S23" s="85" t="e">
        <f ca="1">_xll.SNL.Clients.Office.Excel.Functions.SPG($L23, "SP_FCF_EST",S$2, "Options: Curr=USD")/1000/$I23</f>
        <v>#NAME?</v>
      </c>
      <c r="T23" s="65" t="e" cm="1">
        <f t="array" aca="1" ref="T23" ca="1">_xll.SNL.Clients.Office.Excel.Functions.SPG($L23, "SP_PE_FWD",T$2)</f>
        <v>#NAME?</v>
      </c>
      <c r="U23" s="66" t="e" cm="1">
        <f t="array" aca="1" ref="U23" ca="1">_xll.SNL.Clients.Office.Excel.Functions.SPG($L23, "SP_PE_FWD",U$2)</f>
        <v>#NAME?</v>
      </c>
      <c r="V23" s="67" t="e" cm="1">
        <f t="array" aca="1" ref="V23" ca="1">_xll.SNL.Clients.Office.Excel.Functions.SPG($L23, "SP_PE_FWD",V$2)</f>
        <v>#NAME?</v>
      </c>
      <c r="W23" s="71" t="e" cm="1">
        <f t="array" aca="1" ref="W23" ca="1">IF((_xll.SNL.Clients.Office.Excel.Functions.SPG($L23,$W$3,W$4,"Options: Curr=USD") / _xll.SNL.Clients.Office.Excel.Functions.SPG($L23,"SP_EBITDA_EST",W$2,"Options: Curr=USD")) &lt; 0, "NM", (_xll.SNL.Clients.Office.Excel.Functions.SPG($L23,$W$3,W$4,"Options: Curr=USD") / _xll.SNL.Clients.Office.Excel.Functions.SPG($L23,"SP_EBITDA_EST",W$2,"Options: Curr=USD")))</f>
        <v>#NAME?</v>
      </c>
      <c r="X23" s="86" t="e" cm="1">
        <f t="array" aca="1" ref="X23" ca="1">_xll.SNL.Clients.Office.Excel.Functions.SPG($L23, $X$3,X$4)</f>
        <v>#NAME?</v>
      </c>
      <c r="Y23" s="87" t="str">
        <f ca="1">IFERROR(0.001*AVERAGE(_xll.SNL.Clients.Office.Excel.Functions.SPG($L23,$Y$4,"Cu",Y$2),_xll.SNL.Clients.Office.Excel.Functions.SPG($L23,$Y$3,"Cu",Y$2)),"NA")</f>
        <v>NA</v>
      </c>
      <c r="Z23" s="74" t="str">
        <f ca="1">IFERROR(0.001*AVERAGE(_xll.SNL.Clients.Office.Excel.Functions.SPG($L23,$Y$4,"Au",Z$2),_xll.SNL.Clients.Office.Excel.Functions.SPG($L23,$Y$3,"Au",Z$2)),"NA")</f>
        <v>NA</v>
      </c>
      <c r="AA23" s="88" t="str">
        <f ca="1">IFERROR(0.001*AVERAGE(_xll.SNL.Clients.Office.Excel.Functions.SPG($L23,$Y$4,"Au",AA$2),_xll.SNL.Clients.Office.Excel.Functions.SPG($L23,$Y$3,"Au",AA$2)),"NA")</f>
        <v>NA</v>
      </c>
      <c r="AB23" s="74" t="e">
        <f ca="1" xml:space="preserve"> IF(ISNUMBER(SEARCH("na",_xll.SNL.Clients.Office.Excel.Functions.SPG($L23, $AB$4, AB$2))), 0,_xll.SNL.Clients.Office.Excel.Functions.SPG($L23, $AB$4, AB$2))</f>
        <v>#NAME?</v>
      </c>
      <c r="AC23" s="74" t="e">
        <f ca="1" xml:space="preserve"> IF(ISNUMBER(SEARCH("na",_xll.SNL.Clients.Office.Excel.Functions.SPG($L23, $AB$4, AC$2))), 0,_xll.SNL.Clients.Office.Excel.Functions.SPG($L23, $AB$4, AC$2))</f>
        <v>#NAME?</v>
      </c>
      <c r="AD23" s="74" t="e">
        <f ca="1" xml:space="preserve"> IF(ISNUMBER(SEARCH("na",_xll.SNL.Clients.Office.Excel.Functions.SPG($L23, $AB$4, AD$2))), 0,_xll.SNL.Clients.Office.Excel.Functions.SPG($L23, $AB$4, AD$2))</f>
        <v>#NAME?</v>
      </c>
      <c r="AE23" s="74" t="e">
        <f ca="1" xml:space="preserve"> IF(ISNUMBER(SEARCH("na",_xll.SNL.Clients.Office.Excel.Functions.SPG($L23, $AE$4, AE$2))), 0,_xll.SNL.Clients.Office.Excel.Functions.SPG($L23, $AE$4, AE$2))</f>
        <v>#NAME?</v>
      </c>
      <c r="AF23" s="74" t="e">
        <f ca="1" xml:space="preserve"> IF(ISNUMBER(SEARCH("na",_xll.SNL.Clients.Office.Excel.Functions.SPG($L23, $AE$4, AF$2))), 0,_xll.SNL.Clients.Office.Excel.Functions.SPG($L23, $AE$4, AF$2))</f>
        <v>#NAME?</v>
      </c>
      <c r="AG23" s="74" t="e">
        <f ca="1" xml:space="preserve"> IF(ISNUMBER(SEARCH("na",_xll.SNL.Clients.Office.Excel.Functions.SPG($L23, $AE$4, AG$2))), 0,_xll.SNL.Clients.Office.Excel.Functions.SPG($L23, $AE$4, AG$2))</f>
        <v>#NAME?</v>
      </c>
      <c r="AH23" s="74" t="e">
        <f ca="1" xml:space="preserve"> IF(ISNUMBER(SEARCH("na",_xll.SNL.Clients.Office.Excel.Functions.SPG($L23, $AH$4, AH$2))), 0,_xll.SNL.Clients.Office.Excel.Functions.SPG($L23, $AH$4, AH$2))</f>
        <v>#NAME?</v>
      </c>
      <c r="AI23" s="74" t="e">
        <f ca="1" xml:space="preserve"> IF(ISNUMBER(SEARCH("na",_xll.SNL.Clients.Office.Excel.Functions.SPG($L23, $AH$4, AI$2))), 0,_xll.SNL.Clients.Office.Excel.Functions.SPG($L23, $AH$4, AI$2))</f>
        <v>#NAME?</v>
      </c>
      <c r="AJ23" s="74" t="e">
        <f ca="1" xml:space="preserve"> IF(ISNUMBER(SEARCH("na",_xll.SNL.Clients.Office.Excel.Functions.SPG($L23, $AH$4, AJ$2))), 0,_xll.SNL.Clients.Office.Excel.Functions.SPG($L23, $AH$4, AJ$2))</f>
        <v>#NAME?</v>
      </c>
      <c r="AK23" s="74" t="e">
        <f t="shared" ref="AK23:AM28" ca="1" si="37">AH23+AB23*auprice/cuprice+AE23*agprice/cuprice</f>
        <v>#NAME?</v>
      </c>
      <c r="AL23" s="74" t="e">
        <f t="shared" ca="1" si="37"/>
        <v>#NAME?</v>
      </c>
      <c r="AM23" s="74" t="e">
        <f t="shared" ca="1" si="37"/>
        <v>#NAME?</v>
      </c>
      <c r="AN23" s="89" t="str">
        <f t="shared" ca="1" si="20"/>
        <v>NA</v>
      </c>
      <c r="AO23" s="90" t="str">
        <f t="shared" ca="1" si="20"/>
        <v>NA</v>
      </c>
      <c r="AP23" s="91" t="str">
        <f t="shared" ca="1" si="20"/>
        <v>NA</v>
      </c>
      <c r="AQ23" s="74">
        <f ca="1">IFERROR(_xll.SNL.Clients.Office.Excel.Functions.SPG($L23, $AQ$3, AQ$2,$AQ$4)/1000,0)</f>
        <v>0</v>
      </c>
      <c r="AR23" s="74">
        <f ca="1">IFERROR(_xll.SNL.Clients.Office.Excel.Functions.SPG($L23, $AQ$3, AR$2,$AQ$4)/1000,0)</f>
        <v>0</v>
      </c>
      <c r="AS23" s="74">
        <f ca="1">IFERROR(_xll.SNL.Clients.Office.Excel.Functions.SPG($L23, $AT$3, AS$2,$AQ$4)/1000,0)</f>
        <v>0</v>
      </c>
      <c r="AT23" s="74">
        <f ca="1">IFERROR(_xll.SNL.Clients.Office.Excel.Functions.SPG($L23, $AT$3, AT$2,$AQ$4)/1000,0)</f>
        <v>0</v>
      </c>
      <c r="AU23" s="74">
        <f ca="1">IFERROR(_xll.SNL.Clients.Office.Excel.Functions.SPG($L23, $AT$3, AU$2,$AQ$4)/1000,0)</f>
        <v>0</v>
      </c>
      <c r="AV23" s="74">
        <f ca="1">IFERROR(_xll.SNL.Clients.Office.Excel.Functions.SPG($L23, $AT$3, AV$2,$AQ$4)/1000,0)</f>
        <v>0</v>
      </c>
      <c r="AW23" s="74">
        <f ca="1">IFERROR(_xll.SNL.Clients.Office.Excel.Functions.SPG($L23, $AW$3, AW$2,$AQ$4)/1000,0)</f>
        <v>0</v>
      </c>
      <c r="AX23" s="74">
        <f ca="1">IFERROR(_xll.SNL.Clients.Office.Excel.Functions.SPG($L23, $AW$3, AX$2,$AQ$4)/1000,0)</f>
        <v>0</v>
      </c>
      <c r="AY23" s="74">
        <f ca="1">IFERROR(_xll.SNL.Clients.Office.Excel.Functions.SPG($L23, $AZ$3, AY$2,$AQ$4)/1000,0)</f>
        <v>0</v>
      </c>
      <c r="AZ23" s="74">
        <f ca="1">IFERROR(_xll.SNL.Clients.Office.Excel.Functions.SPG($L23, $AZ$3, AZ$2,$AQ$4)/1000,0)</f>
        <v>0</v>
      </c>
      <c r="BA23" s="74">
        <f ca="1">IFERROR(_xll.SNL.Clients.Office.Excel.Functions.SPG($L23, $AZ$3, BA$2,$AQ$4)/1000,0)</f>
        <v>0</v>
      </c>
      <c r="BB23" s="74">
        <f ca="1">IFERROR(_xll.SNL.Clients.Office.Excel.Functions.SPG($L23, $AZ$3, BB$2,$AQ$4)/1000,0)</f>
        <v>0</v>
      </c>
      <c r="BC23" s="74">
        <f ca="1">IFERROR(_xll.SNL.Clients.Office.Excel.Functions.SPG($L23, $BC$3, BC$2,$AQ$4)/1000,0)</f>
        <v>0</v>
      </c>
      <c r="BD23" s="74">
        <f ca="1">IFERROR(_xll.SNL.Clients.Office.Excel.Functions.SPG($L23, $BC$3, BD$2,$AQ$4)/1000,0)</f>
        <v>0</v>
      </c>
      <c r="BE23" s="74">
        <f ca="1">IFERROR(_xll.SNL.Clients.Office.Excel.Functions.SPG($L23, $BF$3, BE$2,$AQ$4)/1000,0)</f>
        <v>0</v>
      </c>
      <c r="BF23" s="74">
        <f ca="1">IFERROR(_xll.SNL.Clients.Office.Excel.Functions.SPG($L23, $BF$3, BF$2,$AQ$4)/1000,0)</f>
        <v>0</v>
      </c>
      <c r="BG23" s="74">
        <f ca="1">IFERROR(_xll.SNL.Clients.Office.Excel.Functions.SPG($L23, $BF$3, BG$2,$AQ$4)/1000,0)</f>
        <v>0</v>
      </c>
      <c r="BH23" s="74">
        <f ca="1">IFERROR(_xll.SNL.Clients.Office.Excel.Functions.SPG($L23, $BF$3, BH$2,$AQ$4)/1000,0)</f>
        <v>0</v>
      </c>
      <c r="BI23" s="74">
        <f t="shared" ref="BI23:BI28" ca="1" si="38">AS23+AQ23*auprice/cuprice+AR23*agprice/cuprice+AT23*znprice/cuprice+AU23*pbprice/cuprice+AV23*niprice/cuprice</f>
        <v>0</v>
      </c>
      <c r="BJ23" s="74">
        <f t="shared" ref="BJ23:BJ28" ca="1" si="39">AY23+AW23*auprice/cuprice+AX23*agprice/cuprice+AZ23*znprice/cuprice+BA23*pbprice/cuprice+BB23*niprice/cuprice</f>
        <v>0</v>
      </c>
      <c r="BK23" s="74">
        <f t="shared" ref="BK23:BK28" ca="1" si="40">BE23+BC23*auprice/cuprice+BD23*agprice/cuprice+BF23*znprice/cuprice+BG23*pbprice/cuprice+BH23*niprice/cuprice</f>
        <v>0</v>
      </c>
      <c r="BL23" s="87" t="e">
        <f t="shared" ca="1" si="24"/>
        <v>#NAME?</v>
      </c>
      <c r="BM23" s="74" t="e">
        <f t="shared" ca="1" si="24"/>
        <v>#NAME?</v>
      </c>
      <c r="BN23" s="88" t="e">
        <f t="shared" ca="1" si="24"/>
        <v>#NAME?</v>
      </c>
      <c r="BO23" s="79" t="e" cm="1">
        <f t="array" aca="1" ref="BO23" ca="1">_xll.SNL.Clients.Office.Excel.Functions.SPG($L23, $BO$3,BO$2)</f>
        <v>#NAME?</v>
      </c>
      <c r="BP23" s="79" t="e" cm="1">
        <f t="array" aca="1" ref="BP23" ca="1">_xll.SNL.Clients.Office.Excel.Functions.SPG($L23, $BO$3,BP$2)</f>
        <v>#NAME?</v>
      </c>
      <c r="BQ23" s="80" t="e" cm="1">
        <f t="array" aca="1" ref="BQ23" ca="1">_xll.SNL.Clients.Office.Excel.Functions.SPG($L23, $BO$3,BQ$2)</f>
        <v>#NAME?</v>
      </c>
      <c r="BR23" s="79" t="e">
        <f ca="1">_xll.SNL.Clients.Office.Excel.Functions.SPG($L23, $BR$3, BR$2, "Cu", "Options:Curr=USD")</f>
        <v>#NAME?</v>
      </c>
      <c r="BS23" s="79" t="e">
        <f ca="1">_xll.SNL.Clients.Office.Excel.Functions.SPG($L23, $BR$3, BS$2, "Cu", "Options:Curr=USD")</f>
        <v>#NAME?</v>
      </c>
      <c r="BT23" s="79" t="e">
        <f ca="1">_xll.SNL.Clients.Office.Excel.Functions.SPG($L23, $BR$3, BT$2, "Cu", "Options:Curr=USD")</f>
        <v>#NAME?</v>
      </c>
      <c r="BU23" s="92" t="str">
        <f ca="1">IFERROR(AVERAGE(_xll.SNL.Clients.Office.Excel.Functions.SPG($L23,$BU$4,"Cu",BU$2,"Options:Curr=USD"),_xll.SNL.Clients.Office.Excel.Functions.SPG($L23,$BU$3,"Cu",BU$2, "Options:Curr=USD")),"NA")</f>
        <v>NA</v>
      </c>
      <c r="BV23" s="79" t="str">
        <f ca="1">IFERROR(AVERAGE(_xll.SNL.Clients.Office.Excel.Functions.SPG($L23,$BU$4,"Cu",BV$2,"Options:Curr=USD"),_xll.SNL.Clients.Office.Excel.Functions.SPG($L23,$BU$3,"Cu",BV$2, "Options:Curr=USD")),"NA")</f>
        <v>NA</v>
      </c>
      <c r="BW23" s="80" t="str">
        <f ca="1">IFERROR(AVERAGE(_xll.SNL.Clients.Office.Excel.Functions.SPG($L23,$BU$4,"Cu",BW$2,"Options:Curr=USD"),_xll.SNL.Clients.Office.Excel.Functions.SPG($L23,$BU$3,"Cu",BW$2, "Options:Curr=USD")),"NA")</f>
        <v>NA</v>
      </c>
      <c r="BY23" s="82" t="s">
        <v>86</v>
      </c>
      <c r="BZ23" s="83" t="s">
        <v>87</v>
      </c>
      <c r="CA23" s="46"/>
      <c r="CB23" s="84"/>
    </row>
    <row r="24" spans="1:80" ht="14.4">
      <c r="A24" s="60" t="e">
        <f ca="1">_xll.SNL.Clients.Office.Excel.Functions.SPG($L24, A$3)</f>
        <v>#NAME?</v>
      </c>
      <c r="B24" s="60" t="e">
        <f ca="1">_xll.BDP($K24,B$3)</f>
        <v>#NAME?</v>
      </c>
      <c r="C24" s="60" t="e">
        <f ca="1">_xll.BDP($K24,C$3)</f>
        <v>#NAME?</v>
      </c>
      <c r="D24" s="60" t="e">
        <f ca="1">_xll.BDP($K24,D$3)</f>
        <v>#NAME?</v>
      </c>
      <c r="E24" s="61" t="s">
        <v>139</v>
      </c>
      <c r="F24" s="61" t="s">
        <v>81</v>
      </c>
      <c r="G24" s="61" t="s">
        <v>90</v>
      </c>
      <c r="H24" s="62" t="e">
        <f ca="1">_xll.SNL.Clients.Office.Excel.Functions.SPG($L24, "IQ_TEV", "Options: Curr=USD")</f>
        <v>#NAME?</v>
      </c>
      <c r="I24" s="62" t="e">
        <f ca="1">_xll.SNL.Clients.Office.Excel.Functions.SPG($L24, "SP_MARKETCAP", "Options: Curr=USD")</f>
        <v>#NAME?</v>
      </c>
      <c r="J24" s="63" t="s">
        <v>146</v>
      </c>
      <c r="K24" s="28" t="s">
        <v>147</v>
      </c>
      <c r="L24" s="3" t="s">
        <v>148</v>
      </c>
      <c r="M24" s="64" t="str" cm="1">
        <f t="array" aca="1" ref="M24" ca="1">IFERROR(_xll.SNL.Clients.Office.Excel.Functions.SPG($L24, $M$3)/100,"NA")</f>
        <v>NA</v>
      </c>
      <c r="N24" s="65" t="e" cm="1">
        <f t="array" aca="1" ref="N24" ca="1">_xll.SNL.Clients.Office.Excel.Functions.SPG($L24, "SP_PCFPS_FWD",N$2)</f>
        <v>#NAME?</v>
      </c>
      <c r="O24" s="66" t="e" cm="1">
        <f t="array" aca="1" ref="O24" ca="1">_xll.SNL.Clients.Office.Excel.Functions.SPG($L24, "SP_PCFPS_FWD",O$2)</f>
        <v>#NAME?</v>
      </c>
      <c r="P24" s="67" t="e" cm="1">
        <f t="array" aca="1" ref="P24" ca="1">_xll.SNL.Clients.Office.Excel.Functions.SPG($L24, "SP_PCFPS_FWD",P$2)</f>
        <v>#NAME?</v>
      </c>
      <c r="Q24" s="68" t="str">
        <f ca="1">IFERROR(_xll.SNL.Clients.Office.Excel.Functions.SPG($L24, "SP_FCF_EST",Q$2, "Options: Curr=USD")/1000/I24,"NA")</f>
        <v>NA</v>
      </c>
      <c r="R24" s="68" t="str">
        <f ca="1">IFERROR(_xll.SNL.Clients.Office.Excel.Functions.SPG($L24, "SP_FCF_EST",R$2, "Options: Curr=USD")/1000/I24,"NA")</f>
        <v>NA</v>
      </c>
      <c r="S24" s="85" t="e">
        <f ca="1">_xll.SNL.Clients.Office.Excel.Functions.SPG($L24, "SP_FCF_EST",S$2, "Options: Curr=USD")/1000/$I24</f>
        <v>#NAME?</v>
      </c>
      <c r="T24" s="65" t="e" cm="1">
        <f t="array" aca="1" ref="T24" ca="1">_xll.SNL.Clients.Office.Excel.Functions.SPG($L24, "SP_PE_FWD",T$2)</f>
        <v>#NAME?</v>
      </c>
      <c r="U24" s="66" t="e" cm="1">
        <f t="array" aca="1" ref="U24" ca="1">_xll.SNL.Clients.Office.Excel.Functions.SPG($L24, "SP_PE_FWD",U$2)</f>
        <v>#NAME?</v>
      </c>
      <c r="V24" s="67" t="e" cm="1">
        <f t="array" aca="1" ref="V24" ca="1">_xll.SNL.Clients.Office.Excel.Functions.SPG($L24, "SP_PE_FWD",V$2)</f>
        <v>#NAME?</v>
      </c>
      <c r="W24" s="71" t="e" cm="1">
        <f t="array" aca="1" ref="W24" ca="1">IF((_xll.SNL.Clients.Office.Excel.Functions.SPG($L24,$W$3,W$4,"Options: Curr=USD") / _xll.SNL.Clients.Office.Excel.Functions.SPG($L24,"SP_EBITDA_EST",W$2,"Options: Curr=USD")) &lt; 0, "NM", (_xll.SNL.Clients.Office.Excel.Functions.SPG($L24,$W$3,W$4,"Options: Curr=USD") / _xll.SNL.Clients.Office.Excel.Functions.SPG($L24,"SP_EBITDA_EST",W$2,"Options: Curr=USD")))</f>
        <v>#NAME?</v>
      </c>
      <c r="X24" s="86" t="e" cm="1">
        <f t="array" aca="1" ref="X24" ca="1">_xll.SNL.Clients.Office.Excel.Functions.SPG($L24, $X$3,X$4)</f>
        <v>#NAME?</v>
      </c>
      <c r="Y24" s="87" t="str">
        <f ca="1">IFERROR(0.001*AVERAGE(_xll.SNL.Clients.Office.Excel.Functions.SPG($L24,$Y$4,"Cu",Y$2),_xll.SNL.Clients.Office.Excel.Functions.SPG($L24,$Y$3,"Cu",Y$2)),"NA")</f>
        <v>NA</v>
      </c>
      <c r="Z24" s="74" t="str">
        <f ca="1">IFERROR(0.001*AVERAGE(_xll.SNL.Clients.Office.Excel.Functions.SPG($L24,$Y$4,"Au",Z$2),_xll.SNL.Clients.Office.Excel.Functions.SPG($L24,$Y$3,"Au",Z$2)),"NA")</f>
        <v>NA</v>
      </c>
      <c r="AA24" s="88" t="str">
        <f ca="1">IFERROR(0.001*AVERAGE(_xll.SNL.Clients.Office.Excel.Functions.SPG($L24,$Y$4,"Au",AA$2),_xll.SNL.Clients.Office.Excel.Functions.SPG($L24,$Y$3,"Au",AA$2)),"NA")</f>
        <v>NA</v>
      </c>
      <c r="AB24" s="74" t="e">
        <f ca="1" xml:space="preserve"> IF(ISNUMBER(SEARCH("na",_xll.SNL.Clients.Office.Excel.Functions.SPG($L24, $AB$4, AB$2))), 0,_xll.SNL.Clients.Office.Excel.Functions.SPG($L24, $AB$4, AB$2))</f>
        <v>#NAME?</v>
      </c>
      <c r="AC24" s="74" t="e">
        <f ca="1" xml:space="preserve"> IF(ISNUMBER(SEARCH("na",_xll.SNL.Clients.Office.Excel.Functions.SPG($L24, $AB$4, AC$2))), 0,_xll.SNL.Clients.Office.Excel.Functions.SPG($L24, $AB$4, AC$2))</f>
        <v>#NAME?</v>
      </c>
      <c r="AD24" s="74" t="e">
        <f ca="1" xml:space="preserve"> IF(ISNUMBER(SEARCH("na",_xll.SNL.Clients.Office.Excel.Functions.SPG($L24, $AB$4, AD$2))), 0,_xll.SNL.Clients.Office.Excel.Functions.SPG($L24, $AB$4, AD$2))</f>
        <v>#NAME?</v>
      </c>
      <c r="AE24" s="74" t="e">
        <f ca="1" xml:space="preserve"> IF(ISNUMBER(SEARCH("na",_xll.SNL.Clients.Office.Excel.Functions.SPG($L24, $AE$4, AE$2))), 0,_xll.SNL.Clients.Office.Excel.Functions.SPG($L24, $AE$4, AE$2))</f>
        <v>#NAME?</v>
      </c>
      <c r="AF24" s="74" t="e">
        <f ca="1" xml:space="preserve"> IF(ISNUMBER(SEARCH("na",_xll.SNL.Clients.Office.Excel.Functions.SPG($L24, $AE$4, AF$2))), 0,_xll.SNL.Clients.Office.Excel.Functions.SPG($L24, $AE$4, AF$2))</f>
        <v>#NAME?</v>
      </c>
      <c r="AG24" s="74" t="e">
        <f ca="1" xml:space="preserve"> IF(ISNUMBER(SEARCH("na",_xll.SNL.Clients.Office.Excel.Functions.SPG($L24, $AE$4, AG$2))), 0,_xll.SNL.Clients.Office.Excel.Functions.SPG($L24, $AE$4, AG$2))</f>
        <v>#NAME?</v>
      </c>
      <c r="AH24" s="74" t="e">
        <f ca="1" xml:space="preserve"> IF(ISNUMBER(SEARCH("na",_xll.SNL.Clients.Office.Excel.Functions.SPG($L24, $AH$4, AH$2))), 0,_xll.SNL.Clients.Office.Excel.Functions.SPG($L24, $AH$4, AH$2))</f>
        <v>#NAME?</v>
      </c>
      <c r="AI24" s="74" t="e">
        <f ca="1" xml:space="preserve"> IF(ISNUMBER(SEARCH("na",_xll.SNL.Clients.Office.Excel.Functions.SPG($L24, $AH$4, AI$2))), 0,_xll.SNL.Clients.Office.Excel.Functions.SPG($L24, $AH$4, AI$2))</f>
        <v>#NAME?</v>
      </c>
      <c r="AJ24" s="74" t="e">
        <f ca="1" xml:space="preserve"> IF(ISNUMBER(SEARCH("na",_xll.SNL.Clients.Office.Excel.Functions.SPG($L24, $AH$4, AJ$2))), 0,_xll.SNL.Clients.Office.Excel.Functions.SPG($L24, $AH$4, AJ$2))</f>
        <v>#NAME?</v>
      </c>
      <c r="AK24" s="74" t="e">
        <f t="shared" ref="AK24:AM29" ca="1" si="41">AH24+AB24*auprice/cuprice+AE24*agprice/cuprice</f>
        <v>#NAME?</v>
      </c>
      <c r="AL24" s="74" t="e">
        <f t="shared" ca="1" si="41"/>
        <v>#NAME?</v>
      </c>
      <c r="AM24" s="74" t="e">
        <f t="shared" ca="1" si="41"/>
        <v>#NAME?</v>
      </c>
      <c r="AN24" s="89" t="str">
        <f t="shared" ca="1" si="20"/>
        <v>NA</v>
      </c>
      <c r="AO24" s="90" t="str">
        <f t="shared" ca="1" si="20"/>
        <v>NA</v>
      </c>
      <c r="AP24" s="91" t="str">
        <f t="shared" ca="1" si="20"/>
        <v>NA</v>
      </c>
      <c r="AQ24" s="74">
        <f ca="1">IFERROR(_xll.SNL.Clients.Office.Excel.Functions.SPG($L24, $AQ$3, AQ$2,$AQ$4)/1000,0)</f>
        <v>0</v>
      </c>
      <c r="AR24" s="74">
        <f ca="1">IFERROR(_xll.SNL.Clients.Office.Excel.Functions.SPG($L24, $AQ$3, AR$2,$AQ$4)/1000,0)</f>
        <v>0</v>
      </c>
      <c r="AS24" s="74">
        <f ca="1">IFERROR(_xll.SNL.Clients.Office.Excel.Functions.SPG($L24, $AT$3, AS$2,$AQ$4)/1000,0)</f>
        <v>0</v>
      </c>
      <c r="AT24" s="74">
        <f ca="1">IFERROR(_xll.SNL.Clients.Office.Excel.Functions.SPG($L24, $AT$3, AT$2,$AQ$4)/1000,0)</f>
        <v>0</v>
      </c>
      <c r="AU24" s="74">
        <f ca="1">IFERROR(_xll.SNL.Clients.Office.Excel.Functions.SPG($L24, $AT$3, AU$2,$AQ$4)/1000,0)</f>
        <v>0</v>
      </c>
      <c r="AV24" s="74">
        <f ca="1">IFERROR(_xll.SNL.Clients.Office.Excel.Functions.SPG($L24, $AT$3, AV$2,$AQ$4)/1000,0)</f>
        <v>0</v>
      </c>
      <c r="AW24" s="74">
        <f ca="1">IFERROR(_xll.SNL.Clients.Office.Excel.Functions.SPG($L24, $AW$3, AW$2,$AQ$4)/1000,0)</f>
        <v>0</v>
      </c>
      <c r="AX24" s="74">
        <f ca="1">IFERROR(_xll.SNL.Clients.Office.Excel.Functions.SPG($L24, $AW$3, AX$2,$AQ$4)/1000,0)</f>
        <v>0</v>
      </c>
      <c r="AY24" s="74">
        <f ca="1">IFERROR(_xll.SNL.Clients.Office.Excel.Functions.SPG($L24, $AZ$3, AY$2,$AQ$4)/1000,0)</f>
        <v>0</v>
      </c>
      <c r="AZ24" s="74">
        <f ca="1">IFERROR(_xll.SNL.Clients.Office.Excel.Functions.SPG($L24, $AZ$3, AZ$2,$AQ$4)/1000,0)</f>
        <v>0</v>
      </c>
      <c r="BA24" s="74">
        <f ca="1">IFERROR(_xll.SNL.Clients.Office.Excel.Functions.SPG($L24, $AZ$3, BA$2,$AQ$4)/1000,0)</f>
        <v>0</v>
      </c>
      <c r="BB24" s="74">
        <f ca="1">IFERROR(_xll.SNL.Clients.Office.Excel.Functions.SPG($L24, $AZ$3, BB$2,$AQ$4)/1000,0)</f>
        <v>0</v>
      </c>
      <c r="BC24" s="74">
        <f ca="1">IFERROR(_xll.SNL.Clients.Office.Excel.Functions.SPG($L24, $BC$3, BC$2,$AQ$4)/1000,0)</f>
        <v>0</v>
      </c>
      <c r="BD24" s="74">
        <f ca="1">IFERROR(_xll.SNL.Clients.Office.Excel.Functions.SPG($L24, $BC$3, BD$2,$AQ$4)/1000,0)</f>
        <v>0</v>
      </c>
      <c r="BE24" s="74">
        <f ca="1">IFERROR(_xll.SNL.Clients.Office.Excel.Functions.SPG($L24, $BF$3, BE$2,$AQ$4)/1000,0)</f>
        <v>0</v>
      </c>
      <c r="BF24" s="74">
        <f ca="1">IFERROR(_xll.SNL.Clients.Office.Excel.Functions.SPG($L24, $BF$3, BF$2,$AQ$4)/1000,0)</f>
        <v>0</v>
      </c>
      <c r="BG24" s="74">
        <f ca="1">IFERROR(_xll.SNL.Clients.Office.Excel.Functions.SPG($L24, $BF$3, BG$2,$AQ$4)/1000,0)</f>
        <v>0</v>
      </c>
      <c r="BH24" s="74">
        <f ca="1">IFERROR(_xll.SNL.Clients.Office.Excel.Functions.SPG($L24, $BF$3, BH$2,$AQ$4)/1000,0)</f>
        <v>0</v>
      </c>
      <c r="BI24" s="74">
        <f t="shared" ref="BI24:BI29" ca="1" si="42">AS24+AQ24*auprice/cuprice+AR24*agprice/cuprice+AT24*znprice/cuprice+AU24*pbprice/cuprice+AV24*niprice/cuprice</f>
        <v>0</v>
      </c>
      <c r="BJ24" s="74">
        <f t="shared" ref="BJ24:BJ29" ca="1" si="43">AY24+AW24*auprice/cuprice+AX24*agprice/cuprice+AZ24*znprice/cuprice+BA24*pbprice/cuprice+BB24*niprice/cuprice</f>
        <v>0</v>
      </c>
      <c r="BK24" s="74">
        <f t="shared" ref="BK24:BK29" ca="1" si="44">BE24+BC24*auprice/cuprice+BD24*agprice/cuprice+BF24*znprice/cuprice+BG24*pbprice/cuprice+BH24*niprice/cuprice</f>
        <v>0</v>
      </c>
      <c r="BL24" s="87" t="e">
        <f t="shared" ca="1" si="24"/>
        <v>#NAME?</v>
      </c>
      <c r="BM24" s="74" t="e">
        <f t="shared" ca="1" si="24"/>
        <v>#NAME?</v>
      </c>
      <c r="BN24" s="88" t="e">
        <f t="shared" ca="1" si="24"/>
        <v>#NAME?</v>
      </c>
      <c r="BO24" s="79" t="e" cm="1">
        <f t="array" aca="1" ref="BO24" ca="1">_xll.SNL.Clients.Office.Excel.Functions.SPG($L24, $BO$3,BO$2)</f>
        <v>#NAME?</v>
      </c>
      <c r="BP24" s="79" t="e" cm="1">
        <f t="array" aca="1" ref="BP24" ca="1">_xll.SNL.Clients.Office.Excel.Functions.SPG($L24, $BO$3,BP$2)</f>
        <v>#NAME?</v>
      </c>
      <c r="BQ24" s="80" t="e" cm="1">
        <f t="array" aca="1" ref="BQ24" ca="1">_xll.SNL.Clients.Office.Excel.Functions.SPG($L24, $BO$3,BQ$2)</f>
        <v>#NAME?</v>
      </c>
      <c r="BR24" s="79" t="e">
        <f ca="1">_xll.SNL.Clients.Office.Excel.Functions.SPG($L24, $BR$3, BR$2, "Cu", "Options:Curr=USD")</f>
        <v>#NAME?</v>
      </c>
      <c r="BS24" s="79" t="e">
        <f ca="1">_xll.SNL.Clients.Office.Excel.Functions.SPG($L24, $BR$3, BS$2, "Cu", "Options:Curr=USD")</f>
        <v>#NAME?</v>
      </c>
      <c r="BT24" s="79" t="e">
        <f ca="1">_xll.SNL.Clients.Office.Excel.Functions.SPG($L24, $BR$3, BT$2, "Cu", "Options:Curr=USD")</f>
        <v>#NAME?</v>
      </c>
      <c r="BU24" s="92" t="str">
        <f ca="1">IFERROR(AVERAGE(_xll.SNL.Clients.Office.Excel.Functions.SPG($L24,$BU$4,"Cu",BU$2,"Options:Curr=USD"),_xll.SNL.Clients.Office.Excel.Functions.SPG($L24,$BU$3,"Cu",BU$2, "Options:Curr=USD")),"NA")</f>
        <v>NA</v>
      </c>
      <c r="BV24" s="79" t="str">
        <f ca="1">IFERROR(AVERAGE(_xll.SNL.Clients.Office.Excel.Functions.SPG($L24,$BU$4,"Cu",BV$2,"Options:Curr=USD"),_xll.SNL.Clients.Office.Excel.Functions.SPG($L24,$BU$3,"Cu",BV$2, "Options:Curr=USD")),"NA")</f>
        <v>NA</v>
      </c>
      <c r="BW24" s="80" t="str">
        <f ca="1">IFERROR(AVERAGE(_xll.SNL.Clients.Office.Excel.Functions.SPG($L24,$BU$4,"Cu",BW$2,"Options:Curr=USD"),_xll.SNL.Clients.Office.Excel.Functions.SPG($L24,$BU$3,"Cu",BW$2, "Options:Curr=USD")),"NA")</f>
        <v>NA</v>
      </c>
      <c r="BY24" s="82" t="s">
        <v>86</v>
      </c>
      <c r="BZ24" s="83" t="s">
        <v>87</v>
      </c>
      <c r="CA24" s="46"/>
    </row>
    <row r="25" spans="1:80" ht="14.4">
      <c r="A25" s="60" t="e">
        <f ca="1">_xll.SNL.Clients.Office.Excel.Functions.SPG($L25, A$3)</f>
        <v>#NAME?</v>
      </c>
      <c r="B25" s="60" t="e">
        <f ca="1">_xll.BDP($K25,B$3)</f>
        <v>#NAME?</v>
      </c>
      <c r="C25" s="60" t="e">
        <f ca="1">_xll.BDP($K25,C$3)</f>
        <v>#NAME?</v>
      </c>
      <c r="D25" s="60" t="e">
        <f ca="1">_xll.BDP($K25,D$3)</f>
        <v>#NAME?</v>
      </c>
      <c r="E25" s="61" t="s">
        <v>149</v>
      </c>
      <c r="F25" s="61" t="s">
        <v>89</v>
      </c>
      <c r="G25" s="61" t="s">
        <v>139</v>
      </c>
      <c r="H25" s="62" t="e">
        <f ca="1">_xll.SNL.Clients.Office.Excel.Functions.SPG($L25, "IQ_TEV", "Options: Curr=USD")</f>
        <v>#NAME?</v>
      </c>
      <c r="I25" s="62" t="e">
        <f ca="1">_xll.SNL.Clients.Office.Excel.Functions.SPG($L25, "SP_MARKETCAP", "Options: Curr=USD")</f>
        <v>#NAME?</v>
      </c>
      <c r="J25" s="63" t="s">
        <v>150</v>
      </c>
      <c r="K25" s="28" t="s">
        <v>151</v>
      </c>
      <c r="L25" s="3" t="s">
        <v>152</v>
      </c>
      <c r="M25" s="64" t="str" cm="1">
        <f t="array" aca="1" ref="M25" ca="1">IFERROR(_xll.SNL.Clients.Office.Excel.Functions.SPG($L25, $M$3)/100,"NA")</f>
        <v>NA</v>
      </c>
      <c r="N25" s="65" t="e" cm="1">
        <f t="array" aca="1" ref="N25" ca="1">_xll.SNL.Clients.Office.Excel.Functions.SPG($L25, "SP_PCFPS_FWD",N$2)</f>
        <v>#NAME?</v>
      </c>
      <c r="O25" s="66" t="e" cm="1">
        <f t="array" aca="1" ref="O25" ca="1">_xll.SNL.Clients.Office.Excel.Functions.SPG($L25, "SP_PCFPS_FWD",O$2)</f>
        <v>#NAME?</v>
      </c>
      <c r="P25" s="67" t="e" cm="1">
        <f t="array" aca="1" ref="P25" ca="1">_xll.SNL.Clients.Office.Excel.Functions.SPG($L25, "SP_PCFPS_FWD",P$2)</f>
        <v>#NAME?</v>
      </c>
      <c r="Q25" s="68" t="str">
        <f ca="1">IFERROR(_xll.SNL.Clients.Office.Excel.Functions.SPG($L25, "SP_FCF_EST",Q$2, "Options: Curr=USD")/1000/I25,"NA")</f>
        <v>NA</v>
      </c>
      <c r="R25" s="68" t="str">
        <f ca="1">IFERROR(_xll.SNL.Clients.Office.Excel.Functions.SPG($L25, "SP_FCF_EST",R$2, "Options: Curr=USD")/1000/I25,"NA")</f>
        <v>NA</v>
      </c>
      <c r="S25" s="85" t="e">
        <f ca="1">_xll.SNL.Clients.Office.Excel.Functions.SPG($L25, "SP_FCF_EST",S$2, "Options: Curr=USD")/1000/$I25</f>
        <v>#NAME?</v>
      </c>
      <c r="T25" s="65" t="e" cm="1">
        <f t="array" aca="1" ref="T25" ca="1">_xll.SNL.Clients.Office.Excel.Functions.SPG($L25, "SP_PE_FWD",T$2)</f>
        <v>#NAME?</v>
      </c>
      <c r="U25" s="66" t="e" cm="1">
        <f t="array" aca="1" ref="U25" ca="1">_xll.SNL.Clients.Office.Excel.Functions.SPG($L25, "SP_PE_FWD",U$2)</f>
        <v>#NAME?</v>
      </c>
      <c r="V25" s="67" t="e" cm="1">
        <f t="array" aca="1" ref="V25" ca="1">_xll.SNL.Clients.Office.Excel.Functions.SPG($L25, "SP_PE_FWD",V$2)</f>
        <v>#NAME?</v>
      </c>
      <c r="W25" s="71" t="e" cm="1">
        <f t="array" aca="1" ref="W25" ca="1">IF((_xll.SNL.Clients.Office.Excel.Functions.SPG($L25,$W$3,W$4,"Options: Curr=USD") / _xll.SNL.Clients.Office.Excel.Functions.SPG($L25,"SP_EBITDA_EST",W$2,"Options: Curr=USD")) &lt; 0, "NM", (_xll.SNL.Clients.Office.Excel.Functions.SPG($L25,$W$3,W$4,"Options: Curr=USD") / _xll.SNL.Clients.Office.Excel.Functions.SPG($L25,"SP_EBITDA_EST",W$2,"Options: Curr=USD")))</f>
        <v>#NAME?</v>
      </c>
      <c r="X25" s="86" t="e" cm="1">
        <f t="array" aca="1" ref="X25" ca="1">_xll.SNL.Clients.Office.Excel.Functions.SPG($L25, $X$3,X$4)</f>
        <v>#NAME?</v>
      </c>
      <c r="Y25" s="73" t="str">
        <f ca="1">IFERROR(0.001*AVERAGE(_xll.SNL.Clients.Office.Excel.Functions.SPG($L25,$Y$4,"Cu",Y$2),_xll.SNL.Clients.Office.Excel.Functions.SPG($L25,$Y$3,"Cu",Y$2)),"NA")</f>
        <v>NA</v>
      </c>
      <c r="Z25" s="74" t="str">
        <f ca="1">IFERROR(0.001*AVERAGE(_xll.SNL.Clients.Office.Excel.Functions.SPG($L25,$Y$4,"Au",Z$2),_xll.SNL.Clients.Office.Excel.Functions.SPG($L25,$Y$3,"Au",Z$2)),"NA")</f>
        <v>NA</v>
      </c>
      <c r="AA25" s="75" t="str">
        <f ca="1">IFERROR(0.001*AVERAGE(_xll.SNL.Clients.Office.Excel.Functions.SPG($L25,$Y$4,"Au",AA$2),_xll.SNL.Clients.Office.Excel.Functions.SPG($L25,$Y$3,"Au",AA$2)),"NA")</f>
        <v>NA</v>
      </c>
      <c r="AB25" s="74" t="e">
        <f ca="1" xml:space="preserve"> IF(ISNUMBER(SEARCH("na",_xll.SNL.Clients.Office.Excel.Functions.SPG($L25, $AB$4, AB$2))), 0,_xll.SNL.Clients.Office.Excel.Functions.SPG($L25, $AB$4, AB$2))</f>
        <v>#NAME?</v>
      </c>
      <c r="AC25" s="74" t="e">
        <f ca="1" xml:space="preserve"> IF(ISNUMBER(SEARCH("na",_xll.SNL.Clients.Office.Excel.Functions.SPG($L25, $AB$4, AC$2))), 0,_xll.SNL.Clients.Office.Excel.Functions.SPG($L25, $AB$4, AC$2))</f>
        <v>#NAME?</v>
      </c>
      <c r="AD25" s="74" t="e">
        <f ca="1" xml:space="preserve"> IF(ISNUMBER(SEARCH("na",_xll.SNL.Clients.Office.Excel.Functions.SPG($L25, $AB$4, AD$2))), 0,_xll.SNL.Clients.Office.Excel.Functions.SPG($L25, $AB$4, AD$2))</f>
        <v>#NAME?</v>
      </c>
      <c r="AE25" s="74" t="e">
        <f ca="1" xml:space="preserve"> IF(ISNUMBER(SEARCH("na",_xll.SNL.Clients.Office.Excel.Functions.SPG($L25, $AE$4, AE$2))), 0,_xll.SNL.Clients.Office.Excel.Functions.SPG($L25, $AE$4, AE$2))</f>
        <v>#NAME?</v>
      </c>
      <c r="AF25" s="74" t="e">
        <f ca="1" xml:space="preserve"> IF(ISNUMBER(SEARCH("na",_xll.SNL.Clients.Office.Excel.Functions.SPG($L25, $AE$4, AF$2))), 0,_xll.SNL.Clients.Office.Excel.Functions.SPG($L25, $AE$4, AF$2))</f>
        <v>#NAME?</v>
      </c>
      <c r="AG25" s="74" t="e">
        <f ca="1" xml:space="preserve"> IF(ISNUMBER(SEARCH("na",_xll.SNL.Clients.Office.Excel.Functions.SPG($L25, $AE$4, AG$2))), 0,_xll.SNL.Clients.Office.Excel.Functions.SPG($L25, $AE$4, AG$2))</f>
        <v>#NAME?</v>
      </c>
      <c r="AH25" s="74" t="e">
        <f ca="1" xml:space="preserve"> IF(ISNUMBER(SEARCH("na",_xll.SNL.Clients.Office.Excel.Functions.SPG($L25, $AH$4, AH$2))), 0,_xll.SNL.Clients.Office.Excel.Functions.SPG($L25, $AH$4, AH$2))</f>
        <v>#NAME?</v>
      </c>
      <c r="AI25" s="74" t="e">
        <f ca="1" xml:space="preserve"> IF(ISNUMBER(SEARCH("na",_xll.SNL.Clients.Office.Excel.Functions.SPG($L25, $AH$4, AI$2))), 0,_xll.SNL.Clients.Office.Excel.Functions.SPG($L25, $AH$4, AI$2))</f>
        <v>#NAME?</v>
      </c>
      <c r="AJ25" s="74" t="e">
        <f ca="1" xml:space="preserve"> IF(ISNUMBER(SEARCH("na",_xll.SNL.Clients.Office.Excel.Functions.SPG($L25, $AH$4, AJ$2))), 0,_xll.SNL.Clients.Office.Excel.Functions.SPG($L25, $AH$4, AJ$2))</f>
        <v>#NAME?</v>
      </c>
      <c r="AK25" s="74" t="e">
        <f t="shared" ref="AK25:AM26" ca="1" si="45">AH25+AB25*auprice/cuprice+AE25*agprice/cuprice</f>
        <v>#NAME?</v>
      </c>
      <c r="AL25" s="74" t="e">
        <f t="shared" ca="1" si="45"/>
        <v>#NAME?</v>
      </c>
      <c r="AM25" s="74" t="e">
        <f t="shared" ca="1" si="45"/>
        <v>#NAME?</v>
      </c>
      <c r="AN25" s="89" t="str">
        <f t="shared" ca="1" si="20"/>
        <v>NA</v>
      </c>
      <c r="AO25" s="90" t="str">
        <f t="shared" ca="1" si="20"/>
        <v>NA</v>
      </c>
      <c r="AP25" s="91" t="str">
        <f t="shared" ca="1" si="20"/>
        <v>NA</v>
      </c>
      <c r="AQ25" s="74">
        <f ca="1">IFERROR(_xll.SNL.Clients.Office.Excel.Functions.SPG($L25, $AQ$3, AQ$2,$AQ$4)/1000,0)</f>
        <v>0</v>
      </c>
      <c r="AR25" s="74">
        <f ca="1">IFERROR(_xll.SNL.Clients.Office.Excel.Functions.SPG($L25, $AQ$3, AR$2,$AQ$4)/1000,0)</f>
        <v>0</v>
      </c>
      <c r="AS25" s="74">
        <f ca="1">IFERROR(_xll.SNL.Clients.Office.Excel.Functions.SPG($L25, $AT$3, AS$2,$AQ$4)/1000,0)</f>
        <v>0</v>
      </c>
      <c r="AT25" s="74">
        <f ca="1">IFERROR(_xll.SNL.Clients.Office.Excel.Functions.SPG($L25, $AT$3, AT$2,$AQ$4)/1000,0)</f>
        <v>0</v>
      </c>
      <c r="AU25" s="74">
        <f ca="1">IFERROR(_xll.SNL.Clients.Office.Excel.Functions.SPG($L25, $AT$3, AU$2,$AQ$4)/1000,0)</f>
        <v>0</v>
      </c>
      <c r="AV25" s="74">
        <f ca="1">IFERROR(_xll.SNL.Clients.Office.Excel.Functions.SPG($L25, $AT$3, AV$2,$AQ$4)/1000,0)</f>
        <v>0</v>
      </c>
      <c r="AW25" s="74">
        <f ca="1">IFERROR(_xll.SNL.Clients.Office.Excel.Functions.SPG($L25, $AW$3, AW$2,$AQ$4)/1000,0)</f>
        <v>0</v>
      </c>
      <c r="AX25" s="74">
        <f ca="1">IFERROR(_xll.SNL.Clients.Office.Excel.Functions.SPG($L25, $AW$3, AX$2,$AQ$4)/1000,0)</f>
        <v>0</v>
      </c>
      <c r="AY25" s="74">
        <f ca="1">IFERROR(_xll.SNL.Clients.Office.Excel.Functions.SPG($L25, $AZ$3, AY$2,$AQ$4)/1000,0)</f>
        <v>0</v>
      </c>
      <c r="AZ25" s="74">
        <f ca="1">IFERROR(_xll.SNL.Clients.Office.Excel.Functions.SPG($L25, $AZ$3, AZ$2,$AQ$4)/1000,0)</f>
        <v>0</v>
      </c>
      <c r="BA25" s="74">
        <f ca="1">IFERROR(_xll.SNL.Clients.Office.Excel.Functions.SPG($L25, $AZ$3, BA$2,$AQ$4)/1000,0)</f>
        <v>0</v>
      </c>
      <c r="BB25" s="74">
        <f ca="1">IFERROR(_xll.SNL.Clients.Office.Excel.Functions.SPG($L25, $AZ$3, BB$2,$AQ$4)/1000,0)</f>
        <v>0</v>
      </c>
      <c r="BC25" s="74">
        <f ca="1">IFERROR(_xll.SNL.Clients.Office.Excel.Functions.SPG($L25, $BC$3, BC$2,$AQ$4)/1000,0)</f>
        <v>0</v>
      </c>
      <c r="BD25" s="74">
        <f ca="1">IFERROR(_xll.SNL.Clients.Office.Excel.Functions.SPG($L25, $BC$3, BD$2,$AQ$4)/1000,0)</f>
        <v>0</v>
      </c>
      <c r="BE25" s="74">
        <f ca="1">IFERROR(_xll.SNL.Clients.Office.Excel.Functions.SPG($L25, $BF$3, BE$2,$AQ$4)/1000,0)</f>
        <v>0</v>
      </c>
      <c r="BF25" s="74">
        <f ca="1">IFERROR(_xll.SNL.Clients.Office.Excel.Functions.SPG($L25, $BF$3, BF$2,$AQ$4)/1000,0)</f>
        <v>0</v>
      </c>
      <c r="BG25" s="74">
        <f ca="1">IFERROR(_xll.SNL.Clients.Office.Excel.Functions.SPG($L25, $BF$3, BG$2,$AQ$4)/1000,0)</f>
        <v>0</v>
      </c>
      <c r="BH25" s="74">
        <f ca="1">IFERROR(_xll.SNL.Clients.Office.Excel.Functions.SPG($L25, $BF$3, BH$2,$AQ$4)/1000,0)</f>
        <v>0</v>
      </c>
      <c r="BI25" s="74">
        <f t="shared" ref="BI25:BI26" ca="1" si="46">AS25+AQ25*auprice/cuprice+AR25*agprice/cuprice+AT25*znprice/cuprice+AU25*pbprice/cuprice+AV25*niprice/cuprice</f>
        <v>0</v>
      </c>
      <c r="BJ25" s="74">
        <f t="shared" ref="BJ25:BJ26" ca="1" si="47">AY25+AW25*auprice/cuprice+AX25*agprice/cuprice+AZ25*znprice/cuprice+BA25*pbprice/cuprice+BB25*niprice/cuprice</f>
        <v>0</v>
      </c>
      <c r="BK25" s="74">
        <f t="shared" ref="BK25:BK26" ca="1" si="48">BE25+BC25*auprice/cuprice+BD25*agprice/cuprice+BF25*znprice/cuprice+BG25*pbprice/cuprice+BH25*niprice/cuprice</f>
        <v>0</v>
      </c>
      <c r="BL25" s="87" t="e">
        <f t="shared" ca="1" si="24"/>
        <v>#NAME?</v>
      </c>
      <c r="BM25" s="74" t="e">
        <f t="shared" ca="1" si="24"/>
        <v>#NAME?</v>
      </c>
      <c r="BN25" s="88" t="e">
        <f t="shared" ca="1" si="24"/>
        <v>#NAME?</v>
      </c>
      <c r="BO25" s="79" t="e" cm="1">
        <f t="array" aca="1" ref="BO25" ca="1">_xll.SNL.Clients.Office.Excel.Functions.SPG($L25, $BO$3,BO$2)</f>
        <v>#NAME?</v>
      </c>
      <c r="BP25" s="79" t="e" cm="1">
        <f t="array" aca="1" ref="BP25" ca="1">_xll.SNL.Clients.Office.Excel.Functions.SPG($L25, $BO$3,BP$2)</f>
        <v>#NAME?</v>
      </c>
      <c r="BQ25" s="80" t="e" cm="1">
        <f t="array" aca="1" ref="BQ25" ca="1">_xll.SNL.Clients.Office.Excel.Functions.SPG($L25, $BO$3,BQ$2)</f>
        <v>#NAME?</v>
      </c>
      <c r="BR25" s="79" t="e">
        <f ca="1">_xll.SNL.Clients.Office.Excel.Functions.SPG($L25, $BR$3, BR$2, "Cu", "Options:Curr=USD")</f>
        <v>#NAME?</v>
      </c>
      <c r="BS25" s="79" t="e">
        <f ca="1">_xll.SNL.Clients.Office.Excel.Functions.SPG($L25, $BR$3, BS$2, "Cu", "Options:Curr=USD")</f>
        <v>#NAME?</v>
      </c>
      <c r="BT25" s="79" t="e">
        <f ca="1">_xll.SNL.Clients.Office.Excel.Functions.SPG($L25, $BR$3, BT$2, "Cu", "Options:Curr=USD")</f>
        <v>#NAME?</v>
      </c>
      <c r="BU25" s="92" t="str">
        <f ca="1">IFERROR(AVERAGE(_xll.SNL.Clients.Office.Excel.Functions.SPG($L25,$BU$4,"Cu",BU$2,"Options:Curr=USD"),_xll.SNL.Clients.Office.Excel.Functions.SPG($L25,$BU$3,"Cu",BU$2, "Options:Curr=USD")),"NA")</f>
        <v>NA</v>
      </c>
      <c r="BV25" s="79" t="str">
        <f ca="1">IFERROR(AVERAGE(_xll.SNL.Clients.Office.Excel.Functions.SPG($L25,$BU$4,"Cu",BV$2,"Options:Curr=USD"),_xll.SNL.Clients.Office.Excel.Functions.SPG($L25,$BU$3,"Cu",BV$2, "Options:Curr=USD")),"NA")</f>
        <v>NA</v>
      </c>
      <c r="BW25" s="80" t="str">
        <f ca="1">IFERROR(AVERAGE(_xll.SNL.Clients.Office.Excel.Functions.SPG($L25,$BU$4,"Cu",BW$2,"Options:Curr=USD"),_xll.SNL.Clients.Office.Excel.Functions.SPG($L25,$BU$3,"Cu",BW$2, "Options:Curr=USD")),"NA")</f>
        <v>NA</v>
      </c>
      <c r="BY25" s="58" t="s">
        <v>94</v>
      </c>
      <c r="BZ25" s="83" t="s">
        <v>153</v>
      </c>
      <c r="CA25" s="46"/>
    </row>
    <row r="26" spans="1:80" ht="14.4">
      <c r="A26" s="60" t="e">
        <f ca="1">_xll.SNL.Clients.Office.Excel.Functions.SPG($L26, A$3)</f>
        <v>#NAME?</v>
      </c>
      <c r="B26" s="60" t="e">
        <f ca="1">_xll.BDP($K26,B$3)</f>
        <v>#NAME?</v>
      </c>
      <c r="C26" s="60" t="e">
        <f ca="1">_xll.BDP($K26,C$3)</f>
        <v>#NAME?</v>
      </c>
      <c r="D26" s="60" t="e">
        <f ca="1">_xll.BDP($K26,D$3)</f>
        <v>#NAME?</v>
      </c>
      <c r="E26" s="61" t="s">
        <v>138</v>
      </c>
      <c r="F26" s="61" t="s">
        <v>89</v>
      </c>
      <c r="G26" s="61" t="s">
        <v>154</v>
      </c>
      <c r="H26" s="62" t="e">
        <f ca="1">_xll.SNL.Clients.Office.Excel.Functions.SPG($L26, "IQ_TEV", "Options: Curr=USD")</f>
        <v>#NAME?</v>
      </c>
      <c r="I26" s="62" t="e">
        <f ca="1">_xll.SNL.Clients.Office.Excel.Functions.SPG($L26, "SP_MARKETCAP", "Options: Curr=USD")</f>
        <v>#NAME?</v>
      </c>
      <c r="J26" s="63" t="s">
        <v>155</v>
      </c>
      <c r="K26" s="28" t="s">
        <v>156</v>
      </c>
      <c r="L26" s="28" t="s">
        <v>157</v>
      </c>
      <c r="M26" s="64" t="str" cm="1">
        <f t="array" aca="1" ref="M26" ca="1">IFERROR(_xll.SNL.Clients.Office.Excel.Functions.SPG($L26, $M$3)/100,"NA")</f>
        <v>NA</v>
      </c>
      <c r="N26" s="65" t="e" cm="1">
        <f t="array" aca="1" ref="N26" ca="1">_xll.SNL.Clients.Office.Excel.Functions.SPG($L26, "SP_PCFPS_FWD",N$2)</f>
        <v>#NAME?</v>
      </c>
      <c r="O26" s="66" t="e" cm="1">
        <f t="array" aca="1" ref="O26" ca="1">_xll.SNL.Clients.Office.Excel.Functions.SPG($L26, "SP_PCFPS_FWD",O$2)</f>
        <v>#NAME?</v>
      </c>
      <c r="P26" s="67" t="e" cm="1">
        <f t="array" aca="1" ref="P26" ca="1">_xll.SNL.Clients.Office.Excel.Functions.SPG($L26, "SP_PCFPS_FWD",P$2)</f>
        <v>#NAME?</v>
      </c>
      <c r="Q26" s="68" t="str">
        <f ca="1">IFERROR(_xll.SNL.Clients.Office.Excel.Functions.SPG($L26, "SP_FCF_EST",Q$2, "Options: Curr=USD")/1000/I26,"NA")</f>
        <v>NA</v>
      </c>
      <c r="R26" s="68" t="str">
        <f ca="1">IFERROR(_xll.SNL.Clients.Office.Excel.Functions.SPG($L26, "SP_FCF_EST",R$2, "Options: Curr=USD")/1000/I26,"NA")</f>
        <v>NA</v>
      </c>
      <c r="S26" s="85" t="e">
        <f ca="1">_xll.SNL.Clients.Office.Excel.Functions.SPG($L26, "SP_FCF_EST",S$2, "Options: Curr=USD")/1000/$I26</f>
        <v>#NAME?</v>
      </c>
      <c r="T26" s="65" t="e" cm="1">
        <f t="array" aca="1" ref="T26" ca="1">_xll.SNL.Clients.Office.Excel.Functions.SPG($L26, "SP_PE_FWD",T$2)</f>
        <v>#NAME?</v>
      </c>
      <c r="U26" s="66" t="e" cm="1">
        <f t="array" aca="1" ref="U26" ca="1">_xll.SNL.Clients.Office.Excel.Functions.SPG($L26, "SP_PE_FWD",U$2)</f>
        <v>#NAME?</v>
      </c>
      <c r="V26" s="67" t="e" cm="1">
        <f t="array" aca="1" ref="V26" ca="1">_xll.SNL.Clients.Office.Excel.Functions.SPG($L26, "SP_PE_FWD",V$2)</f>
        <v>#NAME?</v>
      </c>
      <c r="W26" s="71" t="e" cm="1">
        <f t="array" aca="1" ref="W26" ca="1">IF((_xll.SNL.Clients.Office.Excel.Functions.SPG($L26,$W$3,W$4,"Options: Curr=USD") / _xll.SNL.Clients.Office.Excel.Functions.SPG($L26,"SP_EBITDA_EST",W$2,"Options: Curr=USD")) &lt; 0, "NM", (_xll.SNL.Clients.Office.Excel.Functions.SPG($L26,$W$3,W$4,"Options: Curr=USD") / _xll.SNL.Clients.Office.Excel.Functions.SPG($L26,"SP_EBITDA_EST",W$2,"Options: Curr=USD")))</f>
        <v>#NAME?</v>
      </c>
      <c r="X26" s="86" t="e" cm="1">
        <f t="array" aca="1" ref="X26" ca="1">_xll.SNL.Clients.Office.Excel.Functions.SPG($L26, $X$3,X$4)</f>
        <v>#NAME?</v>
      </c>
      <c r="Y26" s="87" t="str">
        <f ca="1">IFERROR(0.001*AVERAGE(_xll.SNL.Clients.Office.Excel.Functions.SPG($L26,$Y$4,"Cu",Y$2),_xll.SNL.Clients.Office.Excel.Functions.SPG($L26,$Y$3,"Cu",Y$2)),"NA")</f>
        <v>NA</v>
      </c>
      <c r="Z26" s="74" t="str">
        <f ca="1">IFERROR(0.001*AVERAGE(_xll.SNL.Clients.Office.Excel.Functions.SPG($L26,$Y$4,"Au",Z$2),_xll.SNL.Clients.Office.Excel.Functions.SPG($L26,$Y$3,"Au",Z$2)),"NA")</f>
        <v>NA</v>
      </c>
      <c r="AA26" s="88" t="str">
        <f ca="1">IFERROR(0.001*AVERAGE(_xll.SNL.Clients.Office.Excel.Functions.SPG($L26,$Y$4,"Au",AA$2),_xll.SNL.Clients.Office.Excel.Functions.SPG($L26,$Y$3,"Au",AA$2)),"NA")</f>
        <v>NA</v>
      </c>
      <c r="AB26" s="74" t="e">
        <f ca="1" xml:space="preserve"> IF(ISNUMBER(SEARCH("na",_xll.SNL.Clients.Office.Excel.Functions.SPG($L26, $AB$4, AB$2))), 0,_xll.SNL.Clients.Office.Excel.Functions.SPG($L26, $AB$4, AB$2))</f>
        <v>#NAME?</v>
      </c>
      <c r="AC26" s="74" t="e">
        <f ca="1" xml:space="preserve"> IF(ISNUMBER(SEARCH("na",_xll.SNL.Clients.Office.Excel.Functions.SPG($L26, $AB$4, AC$2))), 0,_xll.SNL.Clients.Office.Excel.Functions.SPG($L26, $AB$4, AC$2))</f>
        <v>#NAME?</v>
      </c>
      <c r="AD26" s="74" t="e">
        <f ca="1" xml:space="preserve"> IF(ISNUMBER(SEARCH("na",_xll.SNL.Clients.Office.Excel.Functions.SPG($L26, $AB$4, AD$2))), 0,_xll.SNL.Clients.Office.Excel.Functions.SPG($L26, $AB$4, AD$2))</f>
        <v>#NAME?</v>
      </c>
      <c r="AE26" s="74" t="e">
        <f ca="1" xml:space="preserve"> IF(ISNUMBER(SEARCH("na",_xll.SNL.Clients.Office.Excel.Functions.SPG($L26, $AE$4, AE$2))), 0,_xll.SNL.Clients.Office.Excel.Functions.SPG($L26, $AE$4, AE$2))</f>
        <v>#NAME?</v>
      </c>
      <c r="AF26" s="74" t="e">
        <f ca="1" xml:space="preserve"> IF(ISNUMBER(SEARCH("na",_xll.SNL.Clients.Office.Excel.Functions.SPG($L26, $AE$4, AF$2))), 0,_xll.SNL.Clients.Office.Excel.Functions.SPG($L26, $AE$4, AF$2))</f>
        <v>#NAME?</v>
      </c>
      <c r="AG26" s="74" t="e">
        <f ca="1" xml:space="preserve"> IF(ISNUMBER(SEARCH("na",_xll.SNL.Clients.Office.Excel.Functions.SPG($L26, $AE$4, AG$2))), 0,_xll.SNL.Clients.Office.Excel.Functions.SPG($L26, $AE$4, AG$2))</f>
        <v>#NAME?</v>
      </c>
      <c r="AH26" s="74" t="e">
        <f ca="1" xml:space="preserve"> IF(ISNUMBER(SEARCH("na",_xll.SNL.Clients.Office.Excel.Functions.SPG($L26, $AH$4, AH$2))), 0,_xll.SNL.Clients.Office.Excel.Functions.SPG($L26, $AH$4, AH$2))</f>
        <v>#NAME?</v>
      </c>
      <c r="AI26" s="74" t="e">
        <f ca="1" xml:space="preserve"> IF(ISNUMBER(SEARCH("na",_xll.SNL.Clients.Office.Excel.Functions.SPG($L26, $AH$4, AI$2))), 0,_xll.SNL.Clients.Office.Excel.Functions.SPG($L26, $AH$4, AI$2))</f>
        <v>#NAME?</v>
      </c>
      <c r="AJ26" s="74" t="e">
        <f ca="1" xml:space="preserve"> IF(ISNUMBER(SEARCH("na",_xll.SNL.Clients.Office.Excel.Functions.SPG($L26, $AH$4, AJ$2))), 0,_xll.SNL.Clients.Office.Excel.Functions.SPG($L26, $AH$4, AJ$2))</f>
        <v>#NAME?</v>
      </c>
      <c r="AK26" s="74" t="e">
        <f t="shared" ref="AK26:AM27" ca="1" si="49">AH26+AB26*auprice/cuprice+AE26*agprice/cuprice</f>
        <v>#NAME?</v>
      </c>
      <c r="AL26" s="74" t="e">
        <f t="shared" ca="1" si="49"/>
        <v>#NAME?</v>
      </c>
      <c r="AM26" s="74" t="e">
        <f t="shared" ca="1" si="49"/>
        <v>#NAME?</v>
      </c>
      <c r="AN26" s="89" t="str">
        <f t="shared" ca="1" si="20"/>
        <v>NA</v>
      </c>
      <c r="AO26" s="90" t="str">
        <f t="shared" ca="1" si="20"/>
        <v>NA</v>
      </c>
      <c r="AP26" s="91" t="str">
        <f t="shared" ca="1" si="20"/>
        <v>NA</v>
      </c>
      <c r="AQ26" s="74">
        <f ca="1">IFERROR(_xll.SNL.Clients.Office.Excel.Functions.SPG($L26, $AQ$3, AQ$2,$AQ$4)/1000,0)</f>
        <v>0</v>
      </c>
      <c r="AR26" s="74">
        <f ca="1">IFERROR(_xll.SNL.Clients.Office.Excel.Functions.SPG($L26, $AQ$3, AR$2,$AQ$4)/1000,0)</f>
        <v>0</v>
      </c>
      <c r="AS26" s="74">
        <f ca="1">IFERROR(_xll.SNL.Clients.Office.Excel.Functions.SPG($L26, $AT$3, AS$2,$AQ$4)/1000,0)</f>
        <v>0</v>
      </c>
      <c r="AT26" s="74">
        <f ca="1">IFERROR(_xll.SNL.Clients.Office.Excel.Functions.SPG($L26, $AT$3, AT$2,$AQ$4)/1000,0)</f>
        <v>0</v>
      </c>
      <c r="AU26" s="74">
        <f ca="1">IFERROR(_xll.SNL.Clients.Office.Excel.Functions.SPG($L26, $AT$3, AU$2,$AQ$4)/1000,0)</f>
        <v>0</v>
      </c>
      <c r="AV26" s="74">
        <f ca="1">IFERROR(_xll.SNL.Clients.Office.Excel.Functions.SPG($L26, $AT$3, AV$2,$AQ$4)/1000,0)</f>
        <v>0</v>
      </c>
      <c r="AW26" s="74">
        <f ca="1">IFERROR(_xll.SNL.Clients.Office.Excel.Functions.SPG($L26, $AW$3, AW$2,$AQ$4)/1000,0)</f>
        <v>0</v>
      </c>
      <c r="AX26" s="74">
        <f ca="1">IFERROR(_xll.SNL.Clients.Office.Excel.Functions.SPG($L26, $AW$3, AX$2,$AQ$4)/1000,0)</f>
        <v>0</v>
      </c>
      <c r="AY26" s="74">
        <f ca="1">IFERROR(_xll.SNL.Clients.Office.Excel.Functions.SPG($L26, $AZ$3, AY$2,$AQ$4)/1000,0)</f>
        <v>0</v>
      </c>
      <c r="AZ26" s="74">
        <f ca="1">IFERROR(_xll.SNL.Clients.Office.Excel.Functions.SPG($L26, $AZ$3, AZ$2,$AQ$4)/1000,0)</f>
        <v>0</v>
      </c>
      <c r="BA26" s="74">
        <f ca="1">IFERROR(_xll.SNL.Clients.Office.Excel.Functions.SPG($L26, $AZ$3, BA$2,$AQ$4)/1000,0)</f>
        <v>0</v>
      </c>
      <c r="BB26" s="74">
        <f ca="1">IFERROR(_xll.SNL.Clients.Office.Excel.Functions.SPG($L26, $AZ$3, BB$2,$AQ$4)/1000,0)</f>
        <v>0</v>
      </c>
      <c r="BC26" s="74">
        <f ca="1">IFERROR(_xll.SNL.Clients.Office.Excel.Functions.SPG($L26, $BC$3, BC$2,$AQ$4)/1000,0)</f>
        <v>0</v>
      </c>
      <c r="BD26" s="74">
        <f ca="1">IFERROR(_xll.SNL.Clients.Office.Excel.Functions.SPG($L26, $BC$3, BD$2,$AQ$4)/1000,0)</f>
        <v>0</v>
      </c>
      <c r="BE26" s="74">
        <f ca="1">IFERROR(_xll.SNL.Clients.Office.Excel.Functions.SPG($L26, $BF$3, BE$2,$AQ$4)/1000,0)</f>
        <v>0</v>
      </c>
      <c r="BF26" s="74">
        <f ca="1">IFERROR(_xll.SNL.Clients.Office.Excel.Functions.SPG($L26, $BF$3, BF$2,$AQ$4)/1000,0)</f>
        <v>0</v>
      </c>
      <c r="BG26" s="74">
        <f ca="1">IFERROR(_xll.SNL.Clients.Office.Excel.Functions.SPG($L26, $BF$3, BG$2,$AQ$4)/1000,0)</f>
        <v>0</v>
      </c>
      <c r="BH26" s="74">
        <f ca="1">IFERROR(_xll.SNL.Clients.Office.Excel.Functions.SPG($L26, $BF$3, BH$2,$AQ$4)/1000,0)</f>
        <v>0</v>
      </c>
      <c r="BI26" s="74">
        <f t="shared" ref="BI26:BI27" ca="1" si="50">AS26+AQ26*auprice/cuprice+AR26*agprice/cuprice+AT26*znprice/cuprice+AU26*pbprice/cuprice+AV26*niprice/cuprice</f>
        <v>0</v>
      </c>
      <c r="BJ26" s="74">
        <f t="shared" ref="BJ26:BJ27" ca="1" si="51">AY26+AW26*auprice/cuprice+AX26*agprice/cuprice+AZ26*znprice/cuprice+BA26*pbprice/cuprice+BB26*niprice/cuprice</f>
        <v>0</v>
      </c>
      <c r="BK26" s="74">
        <f t="shared" ref="BK26:BK27" ca="1" si="52">BE26+BC26*auprice/cuprice+BD26*agprice/cuprice+BF26*znprice/cuprice+BG26*pbprice/cuprice+BH26*niprice/cuprice</f>
        <v>0</v>
      </c>
      <c r="BL26" s="87" t="e">
        <f t="shared" ca="1" si="24"/>
        <v>#NAME?</v>
      </c>
      <c r="BM26" s="74" t="e">
        <f t="shared" ca="1" si="24"/>
        <v>#NAME?</v>
      </c>
      <c r="BN26" s="88" t="e">
        <f t="shared" ca="1" si="24"/>
        <v>#NAME?</v>
      </c>
      <c r="BO26" s="79" t="e" cm="1">
        <f t="array" aca="1" ref="BO26" ca="1">_xll.SNL.Clients.Office.Excel.Functions.SPG($L26, $BO$3,BO$2)</f>
        <v>#NAME?</v>
      </c>
      <c r="BP26" s="79" t="e" cm="1">
        <f t="array" aca="1" ref="BP26" ca="1">_xll.SNL.Clients.Office.Excel.Functions.SPG($L26, $BO$3,BP$2)</f>
        <v>#NAME?</v>
      </c>
      <c r="BQ26" s="80" t="e" cm="1">
        <f t="array" aca="1" ref="BQ26" ca="1">_xll.SNL.Clients.Office.Excel.Functions.SPG($L26, $BO$3,BQ$2)</f>
        <v>#NAME?</v>
      </c>
      <c r="BR26" s="79" t="e">
        <f ca="1">_xll.SNL.Clients.Office.Excel.Functions.SPG($L26, $BR$3, BR$2, "Cu", "Options:Curr=USD")</f>
        <v>#NAME?</v>
      </c>
      <c r="BS26" s="79" t="e">
        <f ca="1">_xll.SNL.Clients.Office.Excel.Functions.SPG($L26, $BR$3, BS$2, "Cu", "Options:Curr=USD")</f>
        <v>#NAME?</v>
      </c>
      <c r="BT26" s="79" t="e">
        <f ca="1">_xll.SNL.Clients.Office.Excel.Functions.SPG($L26, $BR$3, BT$2, "Cu", "Options:Curr=USD")</f>
        <v>#NAME?</v>
      </c>
      <c r="BU26" s="92" t="str">
        <f ca="1">IFERROR(AVERAGE(_xll.SNL.Clients.Office.Excel.Functions.SPG($L26,$BU$4,"Cu",BU$2,"Options:Curr=USD"),_xll.SNL.Clients.Office.Excel.Functions.SPG($L26,$BU$3,"Cu",BU$2, "Options:Curr=USD")),"NA")</f>
        <v>NA</v>
      </c>
      <c r="BV26" s="79" t="str">
        <f ca="1">IFERROR(AVERAGE(_xll.SNL.Clients.Office.Excel.Functions.SPG($L26,$BU$4,"Cu",BV$2,"Options:Curr=USD"),_xll.SNL.Clients.Office.Excel.Functions.SPG($L26,$BU$3,"Cu",BV$2, "Options:Curr=USD")),"NA")</f>
        <v>NA</v>
      </c>
      <c r="BW26" s="80" t="str">
        <f ca="1">IFERROR(AVERAGE(_xll.SNL.Clients.Office.Excel.Functions.SPG($L26,$BU$4,"Cu",BW$2,"Options:Curr=USD"),_xll.SNL.Clients.Office.Excel.Functions.SPG($L26,$BU$3,"Cu",BW$2, "Options:Curr=USD")),"NA")</f>
        <v>NA</v>
      </c>
      <c r="BY26" s="58" t="s">
        <v>94</v>
      </c>
      <c r="BZ26" s="83" t="s">
        <v>153</v>
      </c>
      <c r="CA26" s="46"/>
    </row>
    <row r="27" spans="1:80" ht="14.4">
      <c r="A27" s="60" t="e">
        <f ca="1">_xll.SNL.Clients.Office.Excel.Functions.SPG($L27, A$3)</f>
        <v>#NAME?</v>
      </c>
      <c r="B27" s="60" t="e">
        <f ca="1">_xll.BDP($K27,B$3)</f>
        <v>#NAME?</v>
      </c>
      <c r="C27" s="60" t="e">
        <f ca="1">_xll.BDP($K27,C$3)</f>
        <v>#NAME?</v>
      </c>
      <c r="D27" s="60" t="e">
        <f ca="1">_xll.BDP($K27,D$3)</f>
        <v>#NAME?</v>
      </c>
      <c r="E27" s="61" t="s">
        <v>139</v>
      </c>
      <c r="F27" s="61" t="s">
        <v>89</v>
      </c>
      <c r="G27" s="61" t="s">
        <v>90</v>
      </c>
      <c r="H27" s="62" t="e">
        <f ca="1">_xll.SNL.Clients.Office.Excel.Functions.SPG($L27, "IQ_TEV", "Options: Curr=USD")</f>
        <v>#NAME?</v>
      </c>
      <c r="I27" s="62" t="e">
        <f ca="1">_xll.SNL.Clients.Office.Excel.Functions.SPG($L27, "SP_MARKETCAP", "Options: Curr=USD")</f>
        <v>#NAME?</v>
      </c>
      <c r="J27" s="63" t="s">
        <v>158</v>
      </c>
      <c r="K27" s="28" t="s">
        <v>159</v>
      </c>
      <c r="L27" s="28" t="s">
        <v>160</v>
      </c>
      <c r="M27" s="64" t="str" cm="1">
        <f t="array" aca="1" ref="M27" ca="1">IFERROR(_xll.SNL.Clients.Office.Excel.Functions.SPG($L27, $M$3)/100,"NA")</f>
        <v>NA</v>
      </c>
      <c r="N27" s="65" t="e" cm="1">
        <f t="array" aca="1" ref="N27" ca="1">_xll.SNL.Clients.Office.Excel.Functions.SPG($L27, "SP_PCFPS_FWD",N$2)</f>
        <v>#NAME?</v>
      </c>
      <c r="O27" s="66" t="e" cm="1">
        <f t="array" aca="1" ref="O27" ca="1">_xll.SNL.Clients.Office.Excel.Functions.SPG($L27, "SP_PCFPS_FWD",O$2)</f>
        <v>#NAME?</v>
      </c>
      <c r="P27" s="67" t="e" cm="1">
        <f t="array" aca="1" ref="P27" ca="1">_xll.SNL.Clients.Office.Excel.Functions.SPG($L27, "SP_PCFPS_FWD",P$2)</f>
        <v>#NAME?</v>
      </c>
      <c r="Q27" s="68" t="str">
        <f ca="1">IFERROR(_xll.SNL.Clients.Office.Excel.Functions.SPG($L27, "SP_FCF_EST",Q$2, "Options: Curr=USD")/1000/I27,"NA")</f>
        <v>NA</v>
      </c>
      <c r="R27" s="68" t="str">
        <f ca="1">IFERROR(_xll.SNL.Clients.Office.Excel.Functions.SPG($L27, "SP_FCF_EST",R$2, "Options: Curr=USD")/1000/I27,"NA")</f>
        <v>NA</v>
      </c>
      <c r="S27" s="85" t="e">
        <f ca="1">_xll.SNL.Clients.Office.Excel.Functions.SPG($L27, "SP_FCF_EST",S$2, "Options: Curr=USD")/1000/$I27</f>
        <v>#NAME?</v>
      </c>
      <c r="T27" s="65" t="e" cm="1">
        <f t="array" aca="1" ref="T27" ca="1">_xll.SNL.Clients.Office.Excel.Functions.SPG($L27, "SP_PE_FWD",T$2)</f>
        <v>#NAME?</v>
      </c>
      <c r="U27" s="66" t="e" cm="1">
        <f t="array" aca="1" ref="U27" ca="1">_xll.SNL.Clients.Office.Excel.Functions.SPG($L27, "SP_PE_FWD",U$2)</f>
        <v>#NAME?</v>
      </c>
      <c r="V27" s="67" t="e" cm="1">
        <f t="array" aca="1" ref="V27" ca="1">_xll.SNL.Clients.Office.Excel.Functions.SPG($L27, "SP_PE_FWD",V$2)</f>
        <v>#NAME?</v>
      </c>
      <c r="W27" s="71" t="e" cm="1">
        <f t="array" aca="1" ref="W27" ca="1">IF((_xll.SNL.Clients.Office.Excel.Functions.SPG($L27,$W$3,W$4,"Options: Curr=USD") / _xll.SNL.Clients.Office.Excel.Functions.SPG($L27,"SP_EBITDA_EST",W$2,"Options: Curr=USD")) &lt; 0, "NM", (_xll.SNL.Clients.Office.Excel.Functions.SPG($L27,$W$3,W$4,"Options: Curr=USD") / _xll.SNL.Clients.Office.Excel.Functions.SPG($L27,"SP_EBITDA_EST",W$2,"Options: Curr=USD")))</f>
        <v>#NAME?</v>
      </c>
      <c r="X27" s="86" t="e" cm="1">
        <f t="array" aca="1" ref="X27" ca="1">_xll.SNL.Clients.Office.Excel.Functions.SPG($L27, $X$3,X$4)</f>
        <v>#NAME?</v>
      </c>
      <c r="Y27" s="87" t="str">
        <f ca="1">IFERROR(0.001*AVERAGE(_xll.SNL.Clients.Office.Excel.Functions.SPG($L27,$Y$4,"Cu",Y$2),_xll.SNL.Clients.Office.Excel.Functions.SPG($L27,$Y$3,"Cu",Y$2)),"NA")</f>
        <v>NA</v>
      </c>
      <c r="Z27" s="74" t="str">
        <f ca="1">IFERROR(0.001*AVERAGE(_xll.SNL.Clients.Office.Excel.Functions.SPG($L27,$Y$4,"Au",Z$2),_xll.SNL.Clients.Office.Excel.Functions.SPG($L27,$Y$3,"Au",Z$2)),"NA")</f>
        <v>NA</v>
      </c>
      <c r="AA27" s="88" t="str">
        <f ca="1">IFERROR(0.001*AVERAGE(_xll.SNL.Clients.Office.Excel.Functions.SPG($L27,$Y$4,"Au",AA$2),_xll.SNL.Clients.Office.Excel.Functions.SPG($L27,$Y$3,"Au",AA$2)),"NA")</f>
        <v>NA</v>
      </c>
      <c r="AB27" s="74" t="e">
        <f ca="1" xml:space="preserve"> IF(ISNUMBER(SEARCH("na",_xll.SNL.Clients.Office.Excel.Functions.SPG($L27, $AB$4, AB$2))), 0,_xll.SNL.Clients.Office.Excel.Functions.SPG($L27, $AB$4, AB$2))</f>
        <v>#NAME?</v>
      </c>
      <c r="AC27" s="74" t="e">
        <f ca="1" xml:space="preserve"> IF(ISNUMBER(SEARCH("na",_xll.SNL.Clients.Office.Excel.Functions.SPG($L27, $AB$4, AC$2))), 0,_xll.SNL.Clients.Office.Excel.Functions.SPG($L27, $AB$4, AC$2))</f>
        <v>#NAME?</v>
      </c>
      <c r="AD27" s="74" t="e">
        <f ca="1" xml:space="preserve"> IF(ISNUMBER(SEARCH("na",_xll.SNL.Clients.Office.Excel.Functions.SPG($L27, $AB$4, AD$2))), 0,_xll.SNL.Clients.Office.Excel.Functions.SPG($L27, $AB$4, AD$2))</f>
        <v>#NAME?</v>
      </c>
      <c r="AE27" s="74" t="e">
        <f ca="1" xml:space="preserve"> IF(ISNUMBER(SEARCH("na",_xll.SNL.Clients.Office.Excel.Functions.SPG($L27, $AE$4, AE$2))), 0,_xll.SNL.Clients.Office.Excel.Functions.SPG($L27, $AE$4, AE$2))</f>
        <v>#NAME?</v>
      </c>
      <c r="AF27" s="74" t="e">
        <f ca="1" xml:space="preserve"> IF(ISNUMBER(SEARCH("na",_xll.SNL.Clients.Office.Excel.Functions.SPG($L27, $AE$4, AF$2))), 0,_xll.SNL.Clients.Office.Excel.Functions.SPG($L27, $AE$4, AF$2))</f>
        <v>#NAME?</v>
      </c>
      <c r="AG27" s="74" t="e">
        <f ca="1" xml:space="preserve"> IF(ISNUMBER(SEARCH("na",_xll.SNL.Clients.Office.Excel.Functions.SPG($L27, $AE$4, AG$2))), 0,_xll.SNL.Clients.Office.Excel.Functions.SPG($L27, $AE$4, AG$2))</f>
        <v>#NAME?</v>
      </c>
      <c r="AH27" s="74" t="e">
        <f ca="1" xml:space="preserve"> IF(ISNUMBER(SEARCH("na",_xll.SNL.Clients.Office.Excel.Functions.SPG($L27, $AH$4, AH$2))), 0,_xll.SNL.Clients.Office.Excel.Functions.SPG($L27, $AH$4, AH$2))</f>
        <v>#NAME?</v>
      </c>
      <c r="AI27" s="74" t="e">
        <f ca="1" xml:space="preserve"> IF(ISNUMBER(SEARCH("na",_xll.SNL.Clients.Office.Excel.Functions.SPG($L27, $AH$4, AI$2))), 0,_xll.SNL.Clients.Office.Excel.Functions.SPG($L27, $AH$4, AI$2))</f>
        <v>#NAME?</v>
      </c>
      <c r="AJ27" s="74" t="e">
        <f ca="1" xml:space="preserve"> IF(ISNUMBER(SEARCH("na",_xll.SNL.Clients.Office.Excel.Functions.SPG($L27, $AH$4, AJ$2))), 0,_xll.SNL.Clients.Office.Excel.Functions.SPG($L27, $AH$4, AJ$2))</f>
        <v>#NAME?</v>
      </c>
      <c r="AK27" s="74" t="e">
        <f ca="1">AH27+AB27*auprice/cuprice+AE27*agprice/cuprice</f>
        <v>#NAME?</v>
      </c>
      <c r="AL27" s="74" t="e">
        <f ca="1">AI27+AC27*auprice/cuprice+AF27*agprice/cuprice</f>
        <v>#NAME?</v>
      </c>
      <c r="AM27" s="74" t="e">
        <f ca="1">AJ27+AD27*auprice/cuprice+AG27*agprice/cuprice</f>
        <v>#NAME?</v>
      </c>
      <c r="AN27" s="89" t="str">
        <f t="shared" ca="1" si="20"/>
        <v>NA</v>
      </c>
      <c r="AO27" s="90" t="str">
        <f t="shared" ca="1" si="20"/>
        <v>NA</v>
      </c>
      <c r="AP27" s="91" t="str">
        <f t="shared" ca="1" si="20"/>
        <v>NA</v>
      </c>
      <c r="AQ27" s="74">
        <f ca="1">IFERROR(_xll.SNL.Clients.Office.Excel.Functions.SPG($L27, $AQ$3, AQ$2,$AQ$4)/1000,0)</f>
        <v>0</v>
      </c>
      <c r="AR27" s="74">
        <f ca="1">IFERROR(_xll.SNL.Clients.Office.Excel.Functions.SPG($L27, $AQ$3, AR$2,$AQ$4)/1000,0)</f>
        <v>0</v>
      </c>
      <c r="AS27" s="74">
        <f ca="1">IFERROR(_xll.SNL.Clients.Office.Excel.Functions.SPG($L27, $AT$3, AS$2,$AQ$4)/1000,0)</f>
        <v>0</v>
      </c>
      <c r="AT27" s="74">
        <f ca="1">IFERROR(_xll.SNL.Clients.Office.Excel.Functions.SPG($L27, $AT$3, AT$2,$AQ$4)/1000,0)</f>
        <v>0</v>
      </c>
      <c r="AU27" s="74">
        <f ca="1">IFERROR(_xll.SNL.Clients.Office.Excel.Functions.SPG($L27, $AT$3, AU$2,$AQ$4)/1000,0)</f>
        <v>0</v>
      </c>
      <c r="AV27" s="74">
        <f ca="1">IFERROR(_xll.SNL.Clients.Office.Excel.Functions.SPG($L27, $AT$3, AV$2,$AQ$4)/1000,0)</f>
        <v>0</v>
      </c>
      <c r="AW27" s="74">
        <f ca="1">IFERROR(_xll.SNL.Clients.Office.Excel.Functions.SPG($L27, $AW$3, AW$2,$AQ$4)/1000,0)</f>
        <v>0</v>
      </c>
      <c r="AX27" s="74">
        <f ca="1">IFERROR(_xll.SNL.Clients.Office.Excel.Functions.SPG($L27, $AW$3, AX$2,$AQ$4)/1000,0)</f>
        <v>0</v>
      </c>
      <c r="AY27" s="74">
        <f ca="1">IFERROR(_xll.SNL.Clients.Office.Excel.Functions.SPG($L27, $AZ$3, AY$2,$AQ$4)/1000,0)</f>
        <v>0</v>
      </c>
      <c r="AZ27" s="74">
        <f ca="1">IFERROR(_xll.SNL.Clients.Office.Excel.Functions.SPG($L27, $AZ$3, AZ$2,$AQ$4)/1000,0)</f>
        <v>0</v>
      </c>
      <c r="BA27" s="74">
        <f ca="1">IFERROR(_xll.SNL.Clients.Office.Excel.Functions.SPG($L27, $AZ$3, BA$2,$AQ$4)/1000,0)</f>
        <v>0</v>
      </c>
      <c r="BB27" s="74">
        <f ca="1">IFERROR(_xll.SNL.Clients.Office.Excel.Functions.SPG($L27, $AZ$3, BB$2,$AQ$4)/1000,0)</f>
        <v>0</v>
      </c>
      <c r="BC27" s="74">
        <f ca="1">IFERROR(_xll.SNL.Clients.Office.Excel.Functions.SPG($L27, $BC$3, BC$2,$AQ$4)/1000,0)</f>
        <v>0</v>
      </c>
      <c r="BD27" s="74">
        <f ca="1">IFERROR(_xll.SNL.Clients.Office.Excel.Functions.SPG($L27, $BC$3, BD$2,$AQ$4)/1000,0)</f>
        <v>0</v>
      </c>
      <c r="BE27" s="74">
        <f ca="1">IFERROR(_xll.SNL.Clients.Office.Excel.Functions.SPG($L27, $BF$3, BE$2,$AQ$4)/1000,0)</f>
        <v>0</v>
      </c>
      <c r="BF27" s="74">
        <f ca="1">IFERROR(_xll.SNL.Clients.Office.Excel.Functions.SPG($L27, $BF$3, BF$2,$AQ$4)/1000,0)</f>
        <v>0</v>
      </c>
      <c r="BG27" s="74">
        <f ca="1">IFERROR(_xll.SNL.Clients.Office.Excel.Functions.SPG($L27, $BF$3, BG$2,$AQ$4)/1000,0)</f>
        <v>0</v>
      </c>
      <c r="BH27" s="74">
        <f ca="1">IFERROR(_xll.SNL.Clients.Office.Excel.Functions.SPG($L27, $BF$3, BH$2,$AQ$4)/1000,0)</f>
        <v>0</v>
      </c>
      <c r="BI27" s="74">
        <f ca="1">AS27+AQ27*auprice/cuprice+AR27*agprice/cuprice+AT27*znprice/cuprice+AU27*pbprice/cuprice+AV27*niprice/cuprice</f>
        <v>0</v>
      </c>
      <c r="BJ27" s="74">
        <f ca="1">AY27+AW27*auprice/cuprice+AX27*agprice/cuprice+AZ27*znprice/cuprice+BA27*pbprice/cuprice+BB27*niprice/cuprice</f>
        <v>0</v>
      </c>
      <c r="BK27" s="74">
        <f ca="1">BE27+BC27*auprice/cuprice+BD27*agprice/cuprice+BF27*znprice/cuprice+BG27*pbprice/cuprice+BH27*niprice/cuprice</f>
        <v>0</v>
      </c>
      <c r="BL27" s="87" t="e">
        <f ca="1">$H27*1000/BI27</f>
        <v>#NAME?</v>
      </c>
      <c r="BM27" s="74" t="e">
        <f ca="1">$H27*1000/BJ27</f>
        <v>#NAME?</v>
      </c>
      <c r="BN27" s="88" t="e">
        <f ca="1">$H27*1000/BK27</f>
        <v>#NAME?</v>
      </c>
      <c r="BO27" s="79" t="e" cm="1">
        <f t="array" aca="1" ref="BO27" ca="1">_xll.SNL.Clients.Office.Excel.Functions.SPG($L27, $BO$3,BO$2)</f>
        <v>#NAME?</v>
      </c>
      <c r="BP27" s="79" t="e" cm="1">
        <f t="array" aca="1" ref="BP27" ca="1">_xll.SNL.Clients.Office.Excel.Functions.SPG($L27, $BO$3,BP$2)</f>
        <v>#NAME?</v>
      </c>
      <c r="BQ27" s="80" t="e" cm="1">
        <f t="array" aca="1" ref="BQ27" ca="1">_xll.SNL.Clients.Office.Excel.Functions.SPG($L27, $BO$3,BQ$2)</f>
        <v>#NAME?</v>
      </c>
      <c r="BR27" s="79" t="e">
        <f ca="1">_xll.SNL.Clients.Office.Excel.Functions.SPG($L27, $BR$3, BR$2, "Cu", "Options:Curr=USD")</f>
        <v>#NAME?</v>
      </c>
      <c r="BS27" s="79" t="e">
        <f ca="1">_xll.SNL.Clients.Office.Excel.Functions.SPG($L27, $BR$3, BS$2, "Cu", "Options:Curr=USD")</f>
        <v>#NAME?</v>
      </c>
      <c r="BT27" s="79" t="e">
        <f ca="1">_xll.SNL.Clients.Office.Excel.Functions.SPG($L27, $BR$3, BT$2, "Cu", "Options:Curr=USD")</f>
        <v>#NAME?</v>
      </c>
      <c r="BU27" s="92" t="str">
        <f ca="1">IFERROR(AVERAGE(_xll.SNL.Clients.Office.Excel.Functions.SPG($L27,$BU$4,"Cu",BU$2,"Options:Curr=USD"),_xll.SNL.Clients.Office.Excel.Functions.SPG($L27,$BU$3,"Cu",BU$2, "Options:Curr=USD")),"NA")</f>
        <v>NA</v>
      </c>
      <c r="BV27" s="79" t="str">
        <f ca="1">IFERROR(AVERAGE(_xll.SNL.Clients.Office.Excel.Functions.SPG($L27,$BU$4,"Cu",BV$2,"Options:Curr=USD"),_xll.SNL.Clients.Office.Excel.Functions.SPG($L27,$BU$3,"Cu",BV$2, "Options:Curr=USD")),"NA")</f>
        <v>NA</v>
      </c>
      <c r="BW27" s="80" t="str">
        <f ca="1">IFERROR(AVERAGE(_xll.SNL.Clients.Office.Excel.Functions.SPG($L27,$BU$4,"Cu",BW$2,"Options:Curr=USD"),_xll.SNL.Clients.Office.Excel.Functions.SPG($L27,$BU$3,"Cu",BW$2, "Options:Curr=USD")),"NA")</f>
        <v>NA</v>
      </c>
      <c r="BY27" s="58" t="s">
        <v>94</v>
      </c>
      <c r="BZ27" s="83" t="s">
        <v>153</v>
      </c>
      <c r="CA27" s="46"/>
    </row>
    <row r="28" spans="1:80">
      <c r="A28" s="60"/>
      <c r="B28" s="60"/>
      <c r="C28" s="60"/>
      <c r="D28" s="60"/>
      <c r="E28" s="60"/>
      <c r="F28" s="60"/>
      <c r="G28" s="60"/>
      <c r="H28" s="126"/>
      <c r="I28" s="126"/>
      <c r="J28" s="99"/>
      <c r="K28" s="99"/>
      <c r="L28" s="99" t="s">
        <v>107</v>
      </c>
      <c r="M28" s="127" t="e">
        <f ca="1">AVERAGE(M19:M27)</f>
        <v>#DIV/0!</v>
      </c>
      <c r="N28" s="101" t="e" cm="1">
        <f t="array" aca="1" ref="N28" ca="1">AVERAGE(IFERROR(N19:N27, ""))</f>
        <v>#DIV/0!</v>
      </c>
      <c r="O28" s="102" t="e" cm="1">
        <f t="array" aca="1" ref="O28" ca="1">AVERAGE(IFERROR(O19:O27, ""))</f>
        <v>#DIV/0!</v>
      </c>
      <c r="P28" s="103" t="e" cm="1">
        <f t="array" aca="1" ref="P28" ca="1">AVERAGE(IFERROR(P19:P27, ""))</f>
        <v>#DIV/0!</v>
      </c>
      <c r="Q28" s="104" t="e">
        <f ca="1">AVERAGE(Q19:Q27)</f>
        <v>#DIV/0!</v>
      </c>
      <c r="R28" s="104" t="e">
        <f ca="1">AVERAGE(R19:R27)</f>
        <v>#DIV/0!</v>
      </c>
      <c r="S28" s="104" t="e">
        <f ca="1">AVERAGE(S19:S27)</f>
        <v>#NAME?</v>
      </c>
      <c r="T28" s="101" t="e" cm="1">
        <f t="array" aca="1" ref="T28" ca="1">AVERAGE(IFERROR(T19:T27, ""))</f>
        <v>#DIV/0!</v>
      </c>
      <c r="U28" s="102" t="e" cm="1">
        <f t="array" aca="1" ref="U28" ca="1">AVERAGE(IFERROR(U19:U27, ""))</f>
        <v>#DIV/0!</v>
      </c>
      <c r="V28" s="103" t="e" cm="1">
        <f t="array" aca="1" ref="V28" ca="1">AVERAGE(IFERROR(V19:V27, ""))</f>
        <v>#DIV/0!</v>
      </c>
      <c r="W28" s="102"/>
      <c r="X28" s="102"/>
      <c r="Y28" s="107" t="e" cm="1">
        <f t="array" aca="1" ref="Y28" ca="1">AVERAGE(IFERROR(Y19:Y27, ""))</f>
        <v>#DIV/0!</v>
      </c>
      <c r="Z28" s="106" t="e" cm="1">
        <f t="array" aca="1" ref="Z28" ca="1">AVERAGE(IFERROR(Z19:Z27, ""))</f>
        <v>#DIV/0!</v>
      </c>
      <c r="AA28" s="120" t="e" cm="1">
        <f t="array" aca="1" ref="AA28" ca="1">AVERAGE(IFERROR(AA19:AA27, ""))</f>
        <v>#DIV/0!</v>
      </c>
      <c r="AB28" s="121"/>
      <c r="AC28" s="121"/>
      <c r="AD28" s="121"/>
      <c r="AE28" s="121"/>
      <c r="AF28" s="121"/>
      <c r="AG28" s="121"/>
      <c r="AH28" s="121"/>
      <c r="AI28" s="121"/>
      <c r="AJ28" s="121"/>
      <c r="AK28" s="106" t="e" cm="1">
        <f t="array" aca="1" ref="AK28" ca="1">AVERAGE(IFERROR(AK19:AK27, ""))</f>
        <v>#DIV/0!</v>
      </c>
      <c r="AL28" s="106" t="e" cm="1">
        <f t="array" aca="1" ref="AL28" ca="1">AVERAGE(IFERROR(AL19:AL27, ""))</f>
        <v>#DIV/0!</v>
      </c>
      <c r="AM28" s="120" t="e" cm="1">
        <f t="array" aca="1" ref="AM28" ca="1">AVERAGE(IFERROR(AM19:AM27, ""))</f>
        <v>#DIV/0!</v>
      </c>
      <c r="AN28" s="106" t="e" cm="1">
        <f t="array" aca="1" ref="AN28" ca="1">AVERAGE(IFERROR(AN19:AN27, ""))</f>
        <v>#DIV/0!</v>
      </c>
      <c r="AO28" s="106" t="e" cm="1">
        <f t="array" aca="1" ref="AO28" ca="1">AVERAGE(IFERROR(AO19:AO27, ""))</f>
        <v>#DIV/0!</v>
      </c>
      <c r="AP28" s="120" t="e" cm="1">
        <f t="array" aca="1" ref="AP28" ca="1">AVERAGE(IFERROR(AP19:AP27, ""))</f>
        <v>#DIV/0!</v>
      </c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B28" s="109"/>
      <c r="BH28" s="109"/>
      <c r="BL28" s="106" t="e" cm="1">
        <f t="array" aca="1" ref="BL28" ca="1">AVERAGE(IFERROR(BL19:BL27, ""))</f>
        <v>#DIV/0!</v>
      </c>
      <c r="BM28" s="106" t="e" cm="1">
        <f t="array" aca="1" ref="BM28" ca="1">AVERAGE(IFERROR(BM19:BM27, ""))</f>
        <v>#DIV/0!</v>
      </c>
      <c r="BN28" s="106" t="e" cm="1">
        <f t="array" aca="1" ref="BN28" ca="1">AVERAGE(IFERROR(BN19:BN27, ""))</f>
        <v>#DIV/0!</v>
      </c>
      <c r="BO28" s="110" t="e" cm="1">
        <f t="array" aca="1" ref="BO28" ca="1">AVERAGE(IFERROR(BO19:BO27, ""))</f>
        <v>#DIV/0!</v>
      </c>
      <c r="BP28" s="110" t="e" cm="1">
        <f t="array" aca="1" ref="BP28" ca="1">AVERAGE(IFERROR(BP19:BP27, ""))</f>
        <v>#DIV/0!</v>
      </c>
      <c r="BQ28" s="112" t="e" cm="1">
        <f t="array" aca="1" ref="BQ28" ca="1">AVERAGE(IFERROR(BQ19:BQ27, ""))</f>
        <v>#DIV/0!</v>
      </c>
      <c r="BR28" s="110" t="e" cm="1">
        <f t="array" aca="1" ref="BR28" ca="1">AVERAGE(IFERROR(BR19:BR27, ""))</f>
        <v>#DIV/0!</v>
      </c>
      <c r="BS28" s="110" t="e" cm="1">
        <f t="array" aca="1" ref="BS28" ca="1">AVERAGE(IFERROR(BS19:BS27, ""))</f>
        <v>#DIV/0!</v>
      </c>
      <c r="BT28" s="110" t="e" cm="1">
        <f t="array" aca="1" ref="BT28" ca="1">AVERAGE(IFERROR(BT19:BT27, ""))</f>
        <v>#DIV/0!</v>
      </c>
      <c r="BU28" s="111" t="e" cm="1">
        <f t="array" aca="1" ref="BU28" ca="1">AVERAGE(IFERROR(BU19:BU27, ""))</f>
        <v>#DIV/0!</v>
      </c>
      <c r="BV28" s="110" t="e" cm="1">
        <f t="array" aca="1" ref="BV28" ca="1">AVERAGE(IFERROR(BV19:BV27, ""))</f>
        <v>#DIV/0!</v>
      </c>
      <c r="BW28" s="112" t="e" cm="1">
        <f t="array" aca="1" ref="BW28" ca="1">AVERAGE(IFERROR(BW19:BW27, ""))</f>
        <v>#DIV/0!</v>
      </c>
      <c r="BY28" s="58" t="s">
        <v>94</v>
      </c>
      <c r="BZ28" s="83"/>
      <c r="CA28" s="46"/>
    </row>
    <row r="29" spans="1:80" s="128" customFormat="1">
      <c r="A29" s="60"/>
      <c r="B29" s="60"/>
      <c r="C29" s="60"/>
      <c r="D29" s="60"/>
      <c r="E29" s="60"/>
      <c r="F29" s="60"/>
      <c r="G29" s="60"/>
      <c r="J29" s="129"/>
      <c r="K29" s="129"/>
      <c r="L29" s="129"/>
      <c r="M29" s="130"/>
      <c r="N29" s="131"/>
      <c r="O29" s="131"/>
      <c r="P29" s="131"/>
      <c r="Q29" s="132"/>
      <c r="R29" s="132"/>
      <c r="S29" s="132"/>
      <c r="T29" s="131"/>
      <c r="U29" s="131"/>
      <c r="V29" s="131"/>
      <c r="W29" s="131"/>
      <c r="X29" s="131"/>
      <c r="Y29" s="133"/>
      <c r="Z29" s="133"/>
      <c r="AA29" s="133"/>
      <c r="AB29" s="134"/>
      <c r="AC29" s="134"/>
      <c r="AD29" s="134"/>
      <c r="AE29" s="134"/>
      <c r="AF29" s="134"/>
      <c r="AG29" s="134"/>
      <c r="AH29" s="134"/>
      <c r="AI29" s="134"/>
      <c r="AJ29" s="134"/>
      <c r="AK29" s="133"/>
      <c r="AL29" s="133"/>
      <c r="AM29" s="133"/>
      <c r="AN29" s="135"/>
      <c r="AO29" s="135"/>
      <c r="AP29" s="135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B29" s="133"/>
      <c r="BH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Y29" s="58"/>
      <c r="BZ29" s="46"/>
      <c r="CA29" s="46"/>
    </row>
    <row r="30" spans="1:80" ht="16.8">
      <c r="A30" s="60"/>
      <c r="B30" s="60"/>
      <c r="C30" s="60"/>
      <c r="D30" s="60"/>
      <c r="E30" s="61"/>
      <c r="F30" s="61"/>
      <c r="G30" s="61"/>
      <c r="J30" s="123" t="s">
        <v>161</v>
      </c>
      <c r="K30" s="123"/>
      <c r="L30" s="53"/>
      <c r="M30" s="12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K30" s="114"/>
      <c r="AL30" s="114"/>
      <c r="AM30" s="114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5"/>
      <c r="BM30" s="56"/>
      <c r="BN30" s="57"/>
      <c r="BO30" s="114"/>
      <c r="BP30" s="114"/>
      <c r="BQ30" s="125"/>
      <c r="BR30" s="114"/>
      <c r="BS30" s="114"/>
      <c r="BT30" s="114"/>
      <c r="BU30" s="136"/>
      <c r="BV30" s="136"/>
      <c r="BW30" s="137"/>
      <c r="BY30" s="58"/>
      <c r="BZ30" s="46"/>
      <c r="CA30" s="46"/>
    </row>
    <row r="31" spans="1:80" ht="14.4">
      <c r="A31" s="60"/>
      <c r="B31" s="60"/>
      <c r="C31" s="60"/>
      <c r="D31" s="60"/>
      <c r="E31" s="60"/>
      <c r="F31" s="60"/>
      <c r="G31" s="60"/>
      <c r="H31" s="62" t="e">
        <f ca="1">_xll.SNL.Clients.Office.Excel.Functions.SPG($L31, "IQ_TEV", "Options: Curr=USD")</f>
        <v>#NAME?</v>
      </c>
      <c r="I31" s="62" t="e">
        <f ca="1">_xll.SNL.Clients.Office.Excel.Functions.SPG($L31, "SP_MARKETCAP", $I$3, "Options: Curr=USD")</f>
        <v>#NAME?</v>
      </c>
      <c r="J31" s="3" t="s">
        <v>162</v>
      </c>
      <c r="L31" s="138" t="s">
        <v>163</v>
      </c>
      <c r="M31" s="64" t="str" cm="1">
        <f t="array" aca="1" ref="M31" ca="1">IFERROR(_xll.SNL.Clients.Office.Excel.Functions.SPG($L31, $M$3)/100,"NA")</f>
        <v>NA</v>
      </c>
      <c r="N31" s="65" t="e" cm="1">
        <f t="array" aca="1" ref="N31" ca="1">_xll.SNL.Clients.Office.Excel.Functions.SPG($L31, "SP_PCFPS_FWD",N$2)</f>
        <v>#NAME?</v>
      </c>
      <c r="O31" s="66" t="e" cm="1">
        <f t="array" aca="1" ref="O31" ca="1">_xll.SNL.Clients.Office.Excel.Functions.SPG($L31, "SP_PCFPS_FWD",O$2)</f>
        <v>#NAME?</v>
      </c>
      <c r="P31" s="67" t="e" cm="1">
        <f t="array" aca="1" ref="P31" ca="1">_xll.SNL.Clients.Office.Excel.Functions.SPG($L31, "SP_PCFPS_FWD",P$2)</f>
        <v>#NAME?</v>
      </c>
      <c r="Q31" s="68" t="str">
        <f ca="1">IFERROR(_xll.SNL.Clients.Office.Excel.Functions.SPG($L31, "SP_FCF_EST",Q$2, "Options: Curr=USD")/1000/I31,"NA")</f>
        <v>NA</v>
      </c>
      <c r="R31" s="68" t="str">
        <f ca="1">IFERROR(_xll.SNL.Clients.Office.Excel.Functions.SPG($L31, "SP_FCF_EST",R$2, "Options: Curr=USD")/1000/I31,"NA")</f>
        <v>NA</v>
      </c>
      <c r="S31" s="85" t="e">
        <f ca="1">_xll.SNL.Clients.Office.Excel.Functions.SPG($L31, "SP_FCF_EST",S$2, "Options: Curr=USD")/1000/$I31</f>
        <v>#NAME?</v>
      </c>
      <c r="T31" s="65" t="e" cm="1">
        <f t="array" aca="1" ref="T31" ca="1">_xll.SNL.Clients.Office.Excel.Functions.SPG($L31, "SP_PE_FWD",T$2)</f>
        <v>#NAME?</v>
      </c>
      <c r="U31" s="66" t="e" cm="1">
        <f t="array" aca="1" ref="U31" ca="1">_xll.SNL.Clients.Office.Excel.Functions.SPG($L31, "SP_PE_FWD",U$2)</f>
        <v>#NAME?</v>
      </c>
      <c r="V31" s="67" t="e" cm="1">
        <f t="array" aca="1" ref="V31" ca="1">_xll.SNL.Clients.Office.Excel.Functions.SPG($L31, "SP_PE_FWD",V$2)</f>
        <v>#NAME?</v>
      </c>
      <c r="W31" s="71" t="e" cm="1">
        <f t="array" aca="1" ref="W31" ca="1">IF((_xll.SNL.Clients.Office.Excel.Functions.SPG($L31,$W$3,W$4,"Options: Curr=USD") / _xll.SNL.Clients.Office.Excel.Functions.SPG($L31,"SP_EBITDA_EST",W$2,"Options: Curr=USD")) &lt; 0, "NM", (_xll.SNL.Clients.Office.Excel.Functions.SPG($L31,$W$3,W$4,"Options: Curr=USD") / _xll.SNL.Clients.Office.Excel.Functions.SPG($L31,"SP_EBITDA_EST",W$2,"Options: Curr=USD")))</f>
        <v>#NAME?</v>
      </c>
      <c r="X31" s="72" t="e" cm="1">
        <f t="array" aca="1" ref="X31" ca="1">_xll.SNL.Clients.Office.Excel.Functions.SPG($L31, $X$3,X$4)</f>
        <v>#NAME?</v>
      </c>
      <c r="Y31" s="87" t="str">
        <f ca="1">IFERROR(0.001*AVERAGE(_xll.SNL.Clients.Office.Excel.Functions.SPG($L31,$Y$4,"Cu",Y$2),_xll.SNL.Clients.Office.Excel.Functions.SPG($L31,$Y$3,"Cu",Y$2)),"NA")</f>
        <v>NA</v>
      </c>
      <c r="Z31" s="74" t="str">
        <f ca="1">IFERROR(0.001*AVERAGE(_xll.SNL.Clients.Office.Excel.Functions.SPG($L31,$Y$4,"Au",Z$2),_xll.SNL.Clients.Office.Excel.Functions.SPG($L31,$Y$3,"Au",Z$2)),"NA")</f>
        <v>NA</v>
      </c>
      <c r="AA31" s="88" t="str">
        <f ca="1">IFERROR(0.001*AVERAGE(_xll.SNL.Clients.Office.Excel.Functions.SPG($L31,$Y$4,"Au",AA$2),_xll.SNL.Clients.Office.Excel.Functions.SPG($L31,$Y$3,"Au",AA$2)),"NA")</f>
        <v>NA</v>
      </c>
      <c r="AB31" s="74" t="e">
        <f ca="1" xml:space="preserve"> IF(ISNUMBER(SEARCH("na",_xll.SNL.Clients.Office.Excel.Functions.SPG($L31, $AB$4, AB$2))), 0,_xll.SNL.Clients.Office.Excel.Functions.SPG($L31, $AB$4, AB$2))</f>
        <v>#NAME?</v>
      </c>
      <c r="AC31" s="74" t="e">
        <f ca="1" xml:space="preserve"> IF(ISNUMBER(SEARCH("na",_xll.SNL.Clients.Office.Excel.Functions.SPG($L31, $AB$4, AC$2))), 0,_xll.SNL.Clients.Office.Excel.Functions.SPG($L31, $AB$4, AC$2))</f>
        <v>#NAME?</v>
      </c>
      <c r="AD31" s="74" t="e">
        <f ca="1" xml:space="preserve"> IF(ISNUMBER(SEARCH("na",_xll.SNL.Clients.Office.Excel.Functions.SPG($L31, $AB$4, AD$2))), 0,_xll.SNL.Clients.Office.Excel.Functions.SPG($L31, $AB$4, AD$2))</f>
        <v>#NAME?</v>
      </c>
      <c r="AE31" s="74" t="e">
        <f ca="1" xml:space="preserve"> IF(ISNUMBER(SEARCH("na",_xll.SNL.Clients.Office.Excel.Functions.SPG($L31, $AE$4, AE$2))), 0,_xll.SNL.Clients.Office.Excel.Functions.SPG($L31, $AE$4, AE$2))</f>
        <v>#NAME?</v>
      </c>
      <c r="AF31" s="74" t="e">
        <f ca="1" xml:space="preserve"> IF(ISNUMBER(SEARCH("na",_xll.SNL.Clients.Office.Excel.Functions.SPG($L31, $AE$4, AF$2))), 0,_xll.SNL.Clients.Office.Excel.Functions.SPG($L31, $AE$4, AF$2))</f>
        <v>#NAME?</v>
      </c>
      <c r="AG31" s="74" t="e">
        <f ca="1" xml:space="preserve"> IF(ISNUMBER(SEARCH("na",_xll.SNL.Clients.Office.Excel.Functions.SPG($L31, $AE$4, AG$2))), 0,_xll.SNL.Clients.Office.Excel.Functions.SPG($L31, $AE$4, AG$2))</f>
        <v>#NAME?</v>
      </c>
      <c r="AH31" s="74" t="e">
        <f ca="1" xml:space="preserve"> IF(ISNUMBER(SEARCH("na",_xll.SNL.Clients.Office.Excel.Functions.SPG($L31, $AH$4, AH$2))), 0,_xll.SNL.Clients.Office.Excel.Functions.SPG($L31, $AH$4, AH$2))</f>
        <v>#NAME?</v>
      </c>
      <c r="AI31" s="74" t="e">
        <f ca="1" xml:space="preserve"> IF(ISNUMBER(SEARCH("na",_xll.SNL.Clients.Office.Excel.Functions.SPG($L31, $AH$4, AI$2))), 0,_xll.SNL.Clients.Office.Excel.Functions.SPG($L31, $AH$4, AI$2))</f>
        <v>#NAME?</v>
      </c>
      <c r="AJ31" s="74" t="e">
        <f ca="1" xml:space="preserve"> IF(ISNUMBER(SEARCH("na",_xll.SNL.Clients.Office.Excel.Functions.SPG($L31, $AH$4, AJ$2))), 0,_xll.SNL.Clients.Office.Excel.Functions.SPG($L31, $AH$4, AJ$2))</f>
        <v>#NAME?</v>
      </c>
      <c r="AK31" s="74" t="e">
        <f t="shared" ref="AK31:AM32" ca="1" si="53">AH31+AB31*auprice/cuprice+AE31*agprice/cuprice</f>
        <v>#NAME?</v>
      </c>
      <c r="AL31" s="74" t="e">
        <f t="shared" ca="1" si="53"/>
        <v>#NAME?</v>
      </c>
      <c r="AM31" s="74" t="e">
        <f t="shared" ca="1" si="53"/>
        <v>#NAME?</v>
      </c>
      <c r="AN31" s="89" t="str">
        <f t="shared" ref="AN31:AP32" ca="1" si="54">IFERROR($H31/AK31,"NA")</f>
        <v>NA</v>
      </c>
      <c r="AO31" s="90" t="str">
        <f t="shared" ca="1" si="54"/>
        <v>NA</v>
      </c>
      <c r="AP31" s="91" t="str">
        <f t="shared" ca="1" si="54"/>
        <v>NA</v>
      </c>
      <c r="AQ31" s="74">
        <f ca="1">IFERROR(_xll.SNL.Clients.Office.Excel.Functions.SPG($L31, $AQ$3, AQ$2,$AQ$4)/1000,0)</f>
        <v>0</v>
      </c>
      <c r="AR31" s="74">
        <f ca="1">IFERROR(_xll.SNL.Clients.Office.Excel.Functions.SPG($L31, $AQ$3, AR$2,$AQ$4)/1000,0)</f>
        <v>0</v>
      </c>
      <c r="AS31" s="74">
        <f ca="1">IFERROR(_xll.SNL.Clients.Office.Excel.Functions.SPG($L31, $AT$3, AS$2,$AQ$4)/1000,0)</f>
        <v>0</v>
      </c>
      <c r="AT31" s="74">
        <f ca="1">IFERROR(_xll.SNL.Clients.Office.Excel.Functions.SPG($L31, $AT$3, AT$2,$AQ$4)/1000,0)</f>
        <v>0</v>
      </c>
      <c r="AU31" s="74">
        <f ca="1">IFERROR(_xll.SNL.Clients.Office.Excel.Functions.SPG($L31, $AT$3, AU$2,$AQ$4)/1000,0)</f>
        <v>0</v>
      </c>
      <c r="AV31" s="74">
        <f ca="1">IFERROR(_xll.SNL.Clients.Office.Excel.Functions.SPG($L31, $AT$3, AV$2,$AQ$4)/1000,0)</f>
        <v>0</v>
      </c>
      <c r="AW31" s="74">
        <f ca="1">IFERROR(_xll.SNL.Clients.Office.Excel.Functions.SPG($L31, $AW$3, AW$2,$AQ$4)/1000,0)</f>
        <v>0</v>
      </c>
      <c r="AX31" s="74">
        <f ca="1">IFERROR(_xll.SNL.Clients.Office.Excel.Functions.SPG($L31, $AW$3, AX$2,$AQ$4)/1000,0)</f>
        <v>0</v>
      </c>
      <c r="AY31" s="74">
        <f ca="1">IFERROR(_xll.SNL.Clients.Office.Excel.Functions.SPG($L31, $AZ$3, AY$2,$AQ$4)/1000,0)</f>
        <v>0</v>
      </c>
      <c r="AZ31" s="74">
        <f ca="1">IFERROR(_xll.SNL.Clients.Office.Excel.Functions.SPG($L31, $AZ$3, AZ$2,$AQ$4)/1000,0)</f>
        <v>0</v>
      </c>
      <c r="BA31" s="74">
        <f ca="1">IFERROR(_xll.SNL.Clients.Office.Excel.Functions.SPG($L31, $AZ$3, BA$2,$AQ$4)/1000,0)</f>
        <v>0</v>
      </c>
      <c r="BB31" s="74">
        <f ca="1">IFERROR(_xll.SNL.Clients.Office.Excel.Functions.SPG($L31, $AZ$3, BB$2,$AQ$4)/1000,0)</f>
        <v>0</v>
      </c>
      <c r="BC31" s="74">
        <f ca="1">IFERROR(_xll.SNL.Clients.Office.Excel.Functions.SPG($L31, $BC$3, BC$2,$AQ$4)/1000,0)</f>
        <v>0</v>
      </c>
      <c r="BD31" s="74">
        <f ca="1">IFERROR(_xll.SNL.Clients.Office.Excel.Functions.SPG($L31, $BC$3, BD$2,$AQ$4)/1000,0)</f>
        <v>0</v>
      </c>
      <c r="BE31" s="74">
        <f ca="1">IFERROR(_xll.SNL.Clients.Office.Excel.Functions.SPG($L31, $BF$3, BE$2,$AQ$4)/1000,0)</f>
        <v>0</v>
      </c>
      <c r="BF31" s="74">
        <f ca="1">IFERROR(_xll.SNL.Clients.Office.Excel.Functions.SPG($L31, $BF$3, BF$2,$AQ$4)/1000,0)</f>
        <v>0</v>
      </c>
      <c r="BG31" s="74">
        <f ca="1">IFERROR(_xll.SNL.Clients.Office.Excel.Functions.SPG($L31, $BF$3, BG$2,$AQ$4)/1000,0)</f>
        <v>0</v>
      </c>
      <c r="BH31" s="74">
        <f ca="1">IFERROR(_xll.SNL.Clients.Office.Excel.Functions.SPG($L31, $BF$3, BH$2,$AQ$4)/1000,0)</f>
        <v>0</v>
      </c>
      <c r="BI31" s="74">
        <f ca="1">AS31+AQ31*auprice/cuprice+AR31*agprice/cuprice+AT31*znprice/cuprice+AU31*pbprice/cuprice+AV31*niprice/cuprice</f>
        <v>0</v>
      </c>
      <c r="BJ31" s="74">
        <f ca="1">AY31+AW31*auprice/cuprice+AX31*agprice/cuprice+AZ31*znprice/cuprice+BA31*pbprice/cuprice+BB31*niprice/cuprice</f>
        <v>0</v>
      </c>
      <c r="BK31" s="74">
        <f ca="1">BE31+BC31*auprice/cuprice+BD31*agprice/cuprice+BF31*znprice/cuprice+BG31*pbprice/cuprice+BH31*niprice/cuprice</f>
        <v>0</v>
      </c>
      <c r="BL31" s="87" t="e">
        <f t="shared" ref="BL31:BN32" ca="1" si="55">$H31*1000/BI31</f>
        <v>#NAME?</v>
      </c>
      <c r="BM31" s="74" t="e">
        <f t="shared" ca="1" si="55"/>
        <v>#NAME?</v>
      </c>
      <c r="BN31" s="88" t="e">
        <f t="shared" ca="1" si="55"/>
        <v>#NAME?</v>
      </c>
      <c r="BO31" s="79" t="e" cm="1">
        <f t="array" aca="1" ref="BO31" ca="1">_xll.SNL.Clients.Office.Excel.Functions.SPG($L31, $BO$3,BO$2)</f>
        <v>#NAME?</v>
      </c>
      <c r="BP31" s="79" t="e" cm="1">
        <f t="array" aca="1" ref="BP31" ca="1">_xll.SNL.Clients.Office.Excel.Functions.SPG($L31, $BO$3,BP$2)</f>
        <v>#NAME?</v>
      </c>
      <c r="BQ31" s="80" t="e" cm="1">
        <f t="array" aca="1" ref="BQ31" ca="1">_xll.SNL.Clients.Office.Excel.Functions.SPG($L31, $BO$3,BQ$2)</f>
        <v>#NAME?</v>
      </c>
      <c r="BR31" s="79" t="e">
        <f ca="1">_xll.SNL.Clients.Office.Excel.Functions.SPG($L31, $BR$3, BR$2, "Cu", "Options:Curr=USD")</f>
        <v>#NAME?</v>
      </c>
      <c r="BS31" s="79" t="e">
        <f ca="1">_xll.SNL.Clients.Office.Excel.Functions.SPG($L31, $BR$3, BS$2, "Cu", "Options:Curr=USD")</f>
        <v>#NAME?</v>
      </c>
      <c r="BT31" s="79" t="e">
        <f ca="1">_xll.SNL.Clients.Office.Excel.Functions.SPG($L31, $BR$3, BT$2, "Cu", "Options:Curr=USD")</f>
        <v>#NAME?</v>
      </c>
      <c r="BU31" s="81" t="str">
        <f ca="1">IFERROR(AVERAGE(_xll.SNL.Clients.Office.Excel.Functions.SPG($L31,$BU$4,"Cu",BU$2,"Options:Curr=USD"),_xll.SNL.Clients.Office.Excel.Functions.SPG($L31,$BU$3,"Cu",BU$2, "Options:Curr=USD")),"NA")</f>
        <v>NA</v>
      </c>
      <c r="BV31" s="139" t="str">
        <f ca="1">IFERROR(AVERAGE(_xll.SNL.Clients.Office.Excel.Functions.SPG($L31,$BU$4,"Cu",BV$2,"Options:Curr=USD"),_xll.SNL.Clients.Office.Excel.Functions.SPG($L31,$BU$3,"Cu",BV$2, "Options:Curr=USD")),"NA")</f>
        <v>NA</v>
      </c>
      <c r="BW31" s="140" t="str">
        <f ca="1">IFERROR(AVERAGE(_xll.SNL.Clients.Office.Excel.Functions.SPG($L31,$BU$4,"Cu",BW$2,"Options:Curr=USD"),_xll.SNL.Clients.Office.Excel.Functions.SPG($L31,$BU$3,"Cu",BW$2, "Options:Curr=USD")),"NA")</f>
        <v>NA</v>
      </c>
      <c r="BY31" s="58" t="s">
        <v>94</v>
      </c>
      <c r="BZ31" s="83" t="s">
        <v>153</v>
      </c>
      <c r="CA31" s="46"/>
    </row>
    <row r="32" spans="1:80" ht="14.4">
      <c r="A32" s="60"/>
      <c r="B32" s="60"/>
      <c r="C32" s="60"/>
      <c r="D32" s="60"/>
      <c r="E32" s="60"/>
      <c r="F32" s="60"/>
      <c r="G32" s="60"/>
      <c r="H32" s="62" t="e">
        <f ca="1">_xll.SNL.Clients.Office.Excel.Functions.SPG($L32, "IQ_TEV", "Options: Curr=USD")</f>
        <v>#NAME?</v>
      </c>
      <c r="I32" s="62" t="e">
        <f ca="1">_xll.SNL.Clients.Office.Excel.Functions.SPG($L32, "SP_MARKETCAP", $I$3, "Options: Curr=USD")</f>
        <v>#NAME?</v>
      </c>
      <c r="J32" s="3" t="s">
        <v>164</v>
      </c>
      <c r="L32" s="138" t="s">
        <v>165</v>
      </c>
      <c r="M32" s="64" t="str" cm="1">
        <f t="array" aca="1" ref="M32" ca="1">IFERROR(_xll.SNL.Clients.Office.Excel.Functions.SPG($L32, $M$3)/100,"NA")</f>
        <v>NA</v>
      </c>
      <c r="N32" s="65" t="e" cm="1">
        <f t="array" aca="1" ref="N32" ca="1">_xll.SNL.Clients.Office.Excel.Functions.SPG($L32, "SP_PCFPS_FWD",N$2)</f>
        <v>#NAME?</v>
      </c>
      <c r="O32" s="66" t="e" cm="1">
        <f t="array" aca="1" ref="O32" ca="1">_xll.SNL.Clients.Office.Excel.Functions.SPG($L32, "SP_PCFPS_FWD",O$2)</f>
        <v>#NAME?</v>
      </c>
      <c r="P32" s="67" t="e" cm="1">
        <f t="array" aca="1" ref="P32" ca="1">_xll.SNL.Clients.Office.Excel.Functions.SPG($L32, "SP_PCFPS_FWD",P$2)</f>
        <v>#NAME?</v>
      </c>
      <c r="Q32" s="68" t="str">
        <f ca="1">IFERROR(_xll.SNL.Clients.Office.Excel.Functions.SPG($L32, "SP_FCF_EST",Q$2, "Options: Curr=USD")/1000/I32,"NA")</f>
        <v>NA</v>
      </c>
      <c r="R32" s="68" t="str">
        <f ca="1">IFERROR(_xll.SNL.Clients.Office.Excel.Functions.SPG($L32, "SP_FCF_EST",R$2, "Options: Curr=USD")/1000/I32,"NA")</f>
        <v>NA</v>
      </c>
      <c r="S32" s="85" t="e">
        <f ca="1">_xll.SNL.Clients.Office.Excel.Functions.SPG($L32, "SP_FCF_EST",S$2, "Options: Curr=USD")/1000/$I32</f>
        <v>#NAME?</v>
      </c>
      <c r="T32" s="65" t="e" cm="1">
        <f t="array" aca="1" ref="T32" ca="1">_xll.SNL.Clients.Office.Excel.Functions.SPG($L32, "SP_PE_FWD",T$2)</f>
        <v>#NAME?</v>
      </c>
      <c r="U32" s="66" t="e" cm="1">
        <f t="array" aca="1" ref="U32" ca="1">_xll.SNL.Clients.Office.Excel.Functions.SPG($L32, "SP_PE_FWD",U$2)</f>
        <v>#NAME?</v>
      </c>
      <c r="V32" s="67" t="e" cm="1">
        <f t="array" aca="1" ref="V32" ca="1">_xll.SNL.Clients.Office.Excel.Functions.SPG($L32, "SP_PE_FWD",V$2)</f>
        <v>#NAME?</v>
      </c>
      <c r="W32" s="71" t="e" cm="1">
        <f t="array" aca="1" ref="W32" ca="1">IF((_xll.SNL.Clients.Office.Excel.Functions.SPG($L32,$W$3,W$4,"Options: Curr=USD") / _xll.SNL.Clients.Office.Excel.Functions.SPG($L32,"SP_EBITDA_EST",W$2,"Options: Curr=USD")) &lt; 0, "NM", (_xll.SNL.Clients.Office.Excel.Functions.SPG($L32,$W$3,W$4,"Options: Curr=USD") / _xll.SNL.Clients.Office.Excel.Functions.SPG($L32,"SP_EBITDA_EST",W$2,"Options: Curr=USD")))</f>
        <v>#NAME?</v>
      </c>
      <c r="X32" s="86" t="e" cm="1">
        <f t="array" aca="1" ref="X32" ca="1">_xll.SNL.Clients.Office.Excel.Functions.SPG($L32, $X$3,X$4)</f>
        <v>#NAME?</v>
      </c>
      <c r="Y32" s="87" t="str">
        <f ca="1">IFERROR(0.001*AVERAGE(_xll.SNL.Clients.Office.Excel.Functions.SPG($L32,$Y$4,"Cu",Y$2),_xll.SNL.Clients.Office.Excel.Functions.SPG($L32,$Y$3,"Cu",Y$2)),"NA")</f>
        <v>NA</v>
      </c>
      <c r="Z32" s="74" t="str">
        <f ca="1">IFERROR(0.001*AVERAGE(_xll.SNL.Clients.Office.Excel.Functions.SPG($L32,$Y$4,"Au",Z$2),_xll.SNL.Clients.Office.Excel.Functions.SPG($L32,$Y$3,"Au",Z$2)),"NA")</f>
        <v>NA</v>
      </c>
      <c r="AA32" s="88" t="str">
        <f ca="1">IFERROR(0.001*AVERAGE(_xll.SNL.Clients.Office.Excel.Functions.SPG($L32,$Y$4,"Au",AA$2),_xll.SNL.Clients.Office.Excel.Functions.SPG($L32,$Y$3,"Au",AA$2)),"NA")</f>
        <v>NA</v>
      </c>
      <c r="AB32" s="74" t="e">
        <f ca="1" xml:space="preserve"> IF(ISNUMBER(SEARCH("na",_xll.SNL.Clients.Office.Excel.Functions.SPG($L32, $AB$4, AB$2))), 0,_xll.SNL.Clients.Office.Excel.Functions.SPG($L32, $AB$4, AB$2))</f>
        <v>#NAME?</v>
      </c>
      <c r="AC32" s="74" t="e">
        <f ca="1" xml:space="preserve"> IF(ISNUMBER(SEARCH("na",_xll.SNL.Clients.Office.Excel.Functions.SPG($L32, $AB$4, AC$2))), 0,_xll.SNL.Clients.Office.Excel.Functions.SPG($L32, $AB$4, AC$2))</f>
        <v>#NAME?</v>
      </c>
      <c r="AD32" s="74" t="e">
        <f ca="1" xml:space="preserve"> IF(ISNUMBER(SEARCH("na",_xll.SNL.Clients.Office.Excel.Functions.SPG($L32, $AB$4, AD$2))), 0,_xll.SNL.Clients.Office.Excel.Functions.SPG($L32, $AB$4, AD$2))</f>
        <v>#NAME?</v>
      </c>
      <c r="AE32" s="74" t="e">
        <f ca="1" xml:space="preserve"> IF(ISNUMBER(SEARCH("na",_xll.SNL.Clients.Office.Excel.Functions.SPG($L32, $AE$4, AE$2))), 0,_xll.SNL.Clients.Office.Excel.Functions.SPG($L32, $AE$4, AE$2))</f>
        <v>#NAME?</v>
      </c>
      <c r="AF32" s="74" t="e">
        <f ca="1" xml:space="preserve"> IF(ISNUMBER(SEARCH("na",_xll.SNL.Clients.Office.Excel.Functions.SPG($L32, $AE$4, AF$2))), 0,_xll.SNL.Clients.Office.Excel.Functions.SPG($L32, $AE$4, AF$2))</f>
        <v>#NAME?</v>
      </c>
      <c r="AG32" s="74" t="e">
        <f ca="1" xml:space="preserve"> IF(ISNUMBER(SEARCH("na",_xll.SNL.Clients.Office.Excel.Functions.SPG($L32, $AE$4, AG$2))), 0,_xll.SNL.Clients.Office.Excel.Functions.SPG($L32, $AE$4, AG$2))</f>
        <v>#NAME?</v>
      </c>
      <c r="AH32" s="74" t="e">
        <f ca="1" xml:space="preserve"> IF(ISNUMBER(SEARCH("na",_xll.SNL.Clients.Office.Excel.Functions.SPG($L32, $AH$4, AH$2))), 0,_xll.SNL.Clients.Office.Excel.Functions.SPG($L32, $AH$4, AH$2))</f>
        <v>#NAME?</v>
      </c>
      <c r="AI32" s="74" t="e">
        <f ca="1" xml:space="preserve"> IF(ISNUMBER(SEARCH("na",_xll.SNL.Clients.Office.Excel.Functions.SPG($L32, $AH$4, AI$2))), 0,_xll.SNL.Clients.Office.Excel.Functions.SPG($L32, $AH$4, AI$2))</f>
        <v>#NAME?</v>
      </c>
      <c r="AJ32" s="74" t="e">
        <f ca="1" xml:space="preserve"> IF(ISNUMBER(SEARCH("na",_xll.SNL.Clients.Office.Excel.Functions.SPG($L32, $AH$4, AJ$2))), 0,_xll.SNL.Clients.Office.Excel.Functions.SPG($L32, $AH$4, AJ$2))</f>
        <v>#NAME?</v>
      </c>
      <c r="AK32" s="74" t="e">
        <f t="shared" ref="AK32:AM33" ca="1" si="56">AH32+AB32*auprice/cuprice+AE32*agprice/cuprice</f>
        <v>#NAME?</v>
      </c>
      <c r="AL32" s="74" t="e">
        <f t="shared" ca="1" si="56"/>
        <v>#NAME?</v>
      </c>
      <c r="AM32" s="74" t="e">
        <f t="shared" ca="1" si="56"/>
        <v>#NAME?</v>
      </c>
      <c r="AN32" s="89" t="str">
        <f t="shared" ca="1" si="54"/>
        <v>NA</v>
      </c>
      <c r="AO32" s="90" t="str">
        <f t="shared" ca="1" si="54"/>
        <v>NA</v>
      </c>
      <c r="AP32" s="91" t="str">
        <f t="shared" ca="1" si="54"/>
        <v>NA</v>
      </c>
      <c r="AQ32" s="74">
        <f ca="1">IFERROR(_xll.SNL.Clients.Office.Excel.Functions.SPG($L32, $AQ$3, AQ$2,$AQ$4)/1000,0)</f>
        <v>0</v>
      </c>
      <c r="AR32" s="74">
        <f ca="1">IFERROR(_xll.SNL.Clients.Office.Excel.Functions.SPG($L32, $AQ$3, AR$2,$AQ$4)/1000,0)</f>
        <v>0</v>
      </c>
      <c r="AS32" s="74">
        <f ca="1">IFERROR(_xll.SNL.Clients.Office.Excel.Functions.SPG($L32, $AT$3, AS$2,$AQ$4)/1000,0)</f>
        <v>0</v>
      </c>
      <c r="AT32" s="74">
        <f ca="1">IFERROR(_xll.SNL.Clients.Office.Excel.Functions.SPG($L32, $AT$3, AT$2,$AQ$4)/1000,0)</f>
        <v>0</v>
      </c>
      <c r="AU32" s="74">
        <f ca="1">IFERROR(_xll.SNL.Clients.Office.Excel.Functions.SPG($L32, $AT$3, AU$2,$AQ$4)/1000,0)</f>
        <v>0</v>
      </c>
      <c r="AV32" s="74">
        <f ca="1">IFERROR(_xll.SNL.Clients.Office.Excel.Functions.SPG($L32, $AT$3, AV$2,$AQ$4)/1000,0)</f>
        <v>0</v>
      </c>
      <c r="AW32" s="74">
        <f ca="1">IFERROR(_xll.SNL.Clients.Office.Excel.Functions.SPG($L32, $AW$3, AW$2,$AQ$4)/1000,0)</f>
        <v>0</v>
      </c>
      <c r="AX32" s="74">
        <f ca="1">IFERROR(_xll.SNL.Clients.Office.Excel.Functions.SPG($L32, $AW$3, AX$2,$AQ$4)/1000,0)</f>
        <v>0</v>
      </c>
      <c r="AY32" s="74">
        <f ca="1">IFERROR(_xll.SNL.Clients.Office.Excel.Functions.SPG($L32, $AZ$3, AY$2,$AQ$4)/1000,0)</f>
        <v>0</v>
      </c>
      <c r="AZ32" s="74">
        <f ca="1">IFERROR(_xll.SNL.Clients.Office.Excel.Functions.SPG($L32, $AZ$3, AZ$2,$AQ$4)/1000,0)</f>
        <v>0</v>
      </c>
      <c r="BA32" s="74">
        <f ca="1">IFERROR(_xll.SNL.Clients.Office.Excel.Functions.SPG($L32, $AZ$3, BA$2,$AQ$4)/1000,0)</f>
        <v>0</v>
      </c>
      <c r="BB32" s="74">
        <f ca="1">IFERROR(_xll.SNL.Clients.Office.Excel.Functions.SPG($L32, $AZ$3, BB$2,$AQ$4)/1000,0)</f>
        <v>0</v>
      </c>
      <c r="BC32" s="74">
        <f ca="1">IFERROR(_xll.SNL.Clients.Office.Excel.Functions.SPG($L32, $BC$3, BC$2,$AQ$4)/1000,0)</f>
        <v>0</v>
      </c>
      <c r="BD32" s="74">
        <f ca="1">IFERROR(_xll.SNL.Clients.Office.Excel.Functions.SPG($L32, $BC$3, BD$2,$AQ$4)/1000,0)</f>
        <v>0</v>
      </c>
      <c r="BE32" s="74">
        <f ca="1">IFERROR(_xll.SNL.Clients.Office.Excel.Functions.SPG($L32, $BF$3, BE$2,$AQ$4)/1000,0)</f>
        <v>0</v>
      </c>
      <c r="BF32" s="74">
        <f ca="1">IFERROR(_xll.SNL.Clients.Office.Excel.Functions.SPG($L32, $BF$3, BF$2,$AQ$4)/1000,0)</f>
        <v>0</v>
      </c>
      <c r="BG32" s="74">
        <f ca="1">IFERROR(_xll.SNL.Clients.Office.Excel.Functions.SPG($L32, $BF$3, BG$2,$AQ$4)/1000,0)</f>
        <v>0</v>
      </c>
      <c r="BH32" s="74">
        <f ca="1">IFERROR(_xll.SNL.Clients.Office.Excel.Functions.SPG($L32, $BF$3, BH$2,$AQ$4)/1000,0)</f>
        <v>0</v>
      </c>
      <c r="BI32" s="74">
        <f ca="1">AS32+AQ32*auprice/cuprice+AR32*agprice/cuprice+AT32*znprice/cuprice+AU32*pbprice/cuprice+AV32*niprice/cuprice</f>
        <v>0</v>
      </c>
      <c r="BJ32" s="74">
        <f ca="1">AY32+AW32*auprice/cuprice+AX32*agprice/cuprice+AZ32*znprice/cuprice+BA32*pbprice/cuprice+BB32*niprice/cuprice</f>
        <v>0</v>
      </c>
      <c r="BK32" s="74">
        <f ca="1">BE32+BC32*auprice/cuprice+BD32*agprice/cuprice+BF32*znprice/cuprice+BG32*pbprice/cuprice+BH32*niprice/cuprice</f>
        <v>0</v>
      </c>
      <c r="BL32" s="87" t="e">
        <f t="shared" ca="1" si="55"/>
        <v>#NAME?</v>
      </c>
      <c r="BM32" s="74" t="e">
        <f t="shared" ca="1" si="55"/>
        <v>#NAME?</v>
      </c>
      <c r="BN32" s="88" t="e">
        <f t="shared" ca="1" si="55"/>
        <v>#NAME?</v>
      </c>
      <c r="BO32" s="79" t="e" cm="1">
        <f t="array" aca="1" ref="BO32" ca="1">_xll.SNL.Clients.Office.Excel.Functions.SPG($L32, $BO$3,BO$2)</f>
        <v>#NAME?</v>
      </c>
      <c r="BP32" s="79" t="e" cm="1">
        <f t="array" aca="1" ref="BP32" ca="1">_xll.SNL.Clients.Office.Excel.Functions.SPG($L32, $BO$3,BP$2)</f>
        <v>#NAME?</v>
      </c>
      <c r="BQ32" s="80" t="e" cm="1">
        <f t="array" aca="1" ref="BQ32" ca="1">_xll.SNL.Clients.Office.Excel.Functions.SPG($L32, $BO$3,BQ$2)</f>
        <v>#NAME?</v>
      </c>
      <c r="BR32" s="79" t="e">
        <f ca="1">_xll.SNL.Clients.Office.Excel.Functions.SPG($L32, $BR$3, BR$2, "Cu", "Options:Curr=USD")</f>
        <v>#NAME?</v>
      </c>
      <c r="BS32" s="79" t="e">
        <f ca="1">_xll.SNL.Clients.Office.Excel.Functions.SPG($L32, $BR$3, BS$2, "Cu", "Options:Curr=USD")</f>
        <v>#NAME?</v>
      </c>
      <c r="BT32" s="79" t="e">
        <f ca="1">_xll.SNL.Clients.Office.Excel.Functions.SPG($L32, $BR$3, BT$2, "Cu", "Options:Curr=USD")</f>
        <v>#NAME?</v>
      </c>
      <c r="BU32" s="92" t="str">
        <f ca="1">IFERROR(AVERAGE(_xll.SNL.Clients.Office.Excel.Functions.SPG($L32,$BU$4,"Cu",BU$2,"Options:Curr=USD"),_xll.SNL.Clients.Office.Excel.Functions.SPG($L32,$BU$3,"Cu",BU$2, "Options:Curr=USD")),"NA")</f>
        <v>NA</v>
      </c>
      <c r="BV32" s="79" t="str">
        <f ca="1">IFERROR(AVERAGE(_xll.SNL.Clients.Office.Excel.Functions.SPG($L32,$BU$4,"Cu",BV$2,"Options:Curr=USD"),_xll.SNL.Clients.Office.Excel.Functions.SPG($L32,$BU$3,"Cu",BV$2, "Options:Curr=USD")),"NA")</f>
        <v>NA</v>
      </c>
      <c r="BW32" s="80" t="str">
        <f ca="1">IFERROR(AVERAGE(_xll.SNL.Clients.Office.Excel.Functions.SPG($L32,$BU$4,"Cu",BW$2,"Options:Curr=USD"),_xll.SNL.Clients.Office.Excel.Functions.SPG($L32,$BU$3,"Cu",BW$2, "Options:Curr=USD")),"NA")</f>
        <v>NA</v>
      </c>
      <c r="BY32" s="141" t="s">
        <v>94</v>
      </c>
      <c r="BZ32" s="142" t="s">
        <v>153</v>
      </c>
      <c r="CA32" s="143"/>
    </row>
    <row r="33" spans="1:27">
      <c r="A33" s="60"/>
      <c r="B33" s="60"/>
      <c r="C33" s="60"/>
      <c r="D33" s="60"/>
      <c r="E33" s="60"/>
      <c r="F33" s="60"/>
      <c r="G33" s="60"/>
    </row>
    <row r="34" spans="1:27" ht="14.4">
      <c r="A34" s="60"/>
      <c r="B34" s="60"/>
      <c r="C34" s="60"/>
      <c r="D34" s="60"/>
      <c r="E34" s="60"/>
      <c r="F34" s="60"/>
      <c r="G34" s="60"/>
      <c r="N34" s="144"/>
      <c r="AA34" s="3">
        <f>728/688</f>
        <v>1.058139534883721</v>
      </c>
    </row>
    <row r="35" spans="1:27">
      <c r="A35" s="60"/>
      <c r="B35" s="60"/>
      <c r="C35" s="60"/>
      <c r="D35" s="60"/>
      <c r="E35" s="60"/>
      <c r="F35" s="60"/>
      <c r="G35" s="60"/>
      <c r="L35" s="145"/>
      <c r="N35" s="146"/>
    </row>
    <row r="36" spans="1:27">
      <c r="A36" s="60"/>
      <c r="B36" s="60"/>
      <c r="C36" s="60"/>
      <c r="D36" s="60"/>
      <c r="E36" s="60"/>
      <c r="F36" s="60"/>
      <c r="G36" s="60"/>
    </row>
    <row r="37" spans="1:27">
      <c r="A37" s="60"/>
      <c r="B37" s="60"/>
      <c r="C37" s="60"/>
      <c r="D37" s="60"/>
      <c r="E37" s="60"/>
      <c r="F37" s="60"/>
      <c r="G37" s="60"/>
    </row>
    <row r="38" spans="1:27">
      <c r="A38" s="60"/>
      <c r="B38" s="60"/>
      <c r="C38" s="60"/>
      <c r="D38" s="60"/>
      <c r="E38" s="60"/>
      <c r="F38" s="60"/>
      <c r="G38" s="60"/>
    </row>
    <row r="39" spans="1:27">
      <c r="A39" s="60"/>
      <c r="B39" s="60"/>
      <c r="C39" s="60"/>
      <c r="D39" s="60"/>
      <c r="E39" s="60"/>
      <c r="F39" s="60"/>
      <c r="G39" s="60"/>
    </row>
    <row r="42" spans="1:27">
      <c r="A42" s="60"/>
      <c r="B42" s="60"/>
      <c r="C42" s="60"/>
      <c r="D42" s="60"/>
      <c r="E42" s="60"/>
      <c r="F42" s="60"/>
      <c r="G42" s="60"/>
    </row>
    <row r="43" spans="1:27">
      <c r="A43" s="60"/>
      <c r="B43" s="60"/>
      <c r="C43" s="60"/>
      <c r="D43" s="60"/>
      <c r="E43" s="60"/>
      <c r="F43" s="60"/>
      <c r="G43" s="60"/>
    </row>
    <row r="44" spans="1:27">
      <c r="A44" s="60"/>
      <c r="B44" s="60"/>
      <c r="C44" s="60"/>
      <c r="D44" s="60"/>
      <c r="E44" s="60"/>
      <c r="F44" s="60"/>
      <c r="G44" s="60"/>
    </row>
    <row r="45" spans="1:27">
      <c r="A45" s="60"/>
      <c r="B45" s="60"/>
      <c r="C45" s="60"/>
      <c r="D45" s="60"/>
      <c r="E45" s="60"/>
      <c r="F45" s="60"/>
      <c r="G45" s="60"/>
    </row>
    <row r="46" spans="1:27">
      <c r="A46" s="60"/>
      <c r="B46" s="60"/>
      <c r="C46" s="60"/>
      <c r="D46" s="60"/>
      <c r="E46" s="60"/>
      <c r="F46" s="60"/>
      <c r="G46" s="60"/>
    </row>
    <row r="47" spans="1:27" ht="26.4">
      <c r="A47" s="60"/>
      <c r="B47" s="60"/>
      <c r="C47" s="60"/>
      <c r="D47" s="60"/>
      <c r="E47" s="60"/>
      <c r="F47" s="60"/>
      <c r="G47" s="60"/>
      <c r="N47" s="147" t="s">
        <v>166</v>
      </c>
    </row>
    <row r="48" spans="1:27">
      <c r="A48" s="60"/>
      <c r="B48" s="60"/>
      <c r="C48" s="60"/>
      <c r="D48" s="60"/>
      <c r="E48" s="60"/>
      <c r="F48" s="60"/>
      <c r="G48" s="60"/>
    </row>
    <row r="49" spans="1:7">
      <c r="A49" s="60"/>
      <c r="B49" s="60"/>
      <c r="C49" s="60"/>
      <c r="D49" s="60"/>
      <c r="E49" s="60"/>
      <c r="F49" s="60"/>
      <c r="G49" s="60"/>
    </row>
    <row r="50" spans="1:7">
      <c r="A50" s="60"/>
      <c r="B50" s="60"/>
      <c r="C50" s="60"/>
      <c r="D50" s="60"/>
      <c r="E50" s="60"/>
      <c r="F50" s="60"/>
      <c r="G50" s="60"/>
    </row>
    <row r="51" spans="1:7">
      <c r="A51" s="60"/>
      <c r="B51" s="60"/>
      <c r="C51" s="60"/>
      <c r="D51" s="60"/>
      <c r="E51" s="60"/>
      <c r="F51" s="60"/>
      <c r="G51" s="60"/>
    </row>
    <row r="52" spans="1:7">
      <c r="A52" s="60"/>
      <c r="B52" s="60"/>
      <c r="C52" s="60"/>
      <c r="D52" s="60"/>
      <c r="E52" s="60"/>
      <c r="F52" s="60"/>
      <c r="G52" s="60"/>
    </row>
    <row r="53" spans="1:7">
      <c r="A53" s="60"/>
      <c r="B53" s="60"/>
      <c r="C53" s="60"/>
      <c r="D53" s="60"/>
      <c r="E53" s="60"/>
      <c r="F53" s="60"/>
      <c r="G53" s="60"/>
    </row>
    <row r="54" spans="1:7">
      <c r="A54" s="60"/>
      <c r="B54" s="60"/>
      <c r="C54" s="60"/>
      <c r="D54" s="60"/>
      <c r="E54" s="60"/>
      <c r="F54" s="60"/>
      <c r="G54" s="60"/>
    </row>
    <row r="55" spans="1:7">
      <c r="A55" s="60"/>
      <c r="B55" s="60"/>
      <c r="C55" s="60"/>
      <c r="D55" s="60"/>
      <c r="E55" s="60"/>
      <c r="F55" s="60"/>
      <c r="G55" s="60"/>
    </row>
    <row r="56" spans="1:7">
      <c r="A56" s="60"/>
      <c r="B56" s="60"/>
      <c r="C56" s="60"/>
      <c r="D56" s="60"/>
      <c r="E56" s="60"/>
      <c r="F56" s="60"/>
      <c r="G56" s="60"/>
    </row>
    <row r="57" spans="1:7">
      <c r="A57" s="60"/>
      <c r="B57" s="60"/>
      <c r="C57" s="60"/>
      <c r="D57" s="60"/>
      <c r="E57" s="60"/>
      <c r="F57" s="60"/>
      <c r="G57" s="60"/>
    </row>
    <row r="58" spans="1:7">
      <c r="A58" s="60"/>
      <c r="B58" s="60"/>
      <c r="C58" s="60"/>
      <c r="D58" s="60"/>
      <c r="E58" s="60"/>
      <c r="F58" s="60"/>
      <c r="G58" s="60"/>
    </row>
    <row r="59" spans="1:7">
      <c r="A59" s="60"/>
      <c r="B59" s="60"/>
      <c r="C59" s="60"/>
      <c r="D59" s="60"/>
      <c r="E59" s="60"/>
      <c r="F59" s="60"/>
      <c r="G59" s="60"/>
    </row>
    <row r="60" spans="1:7">
      <c r="A60" s="60"/>
      <c r="B60" s="60"/>
      <c r="C60" s="60"/>
      <c r="D60" s="60"/>
      <c r="E60" s="60"/>
      <c r="F60" s="60"/>
      <c r="G60" s="60"/>
    </row>
    <row r="61" spans="1:7">
      <c r="A61" s="60"/>
      <c r="B61" s="60"/>
      <c r="C61" s="60"/>
      <c r="D61" s="60"/>
      <c r="E61" s="60"/>
      <c r="F61" s="60"/>
      <c r="G61" s="60"/>
    </row>
    <row r="62" spans="1:7">
      <c r="A62" s="60"/>
      <c r="B62" s="60"/>
      <c r="C62" s="60"/>
      <c r="D62" s="60"/>
      <c r="E62" s="60"/>
      <c r="F62" s="60"/>
      <c r="G62" s="60"/>
    </row>
    <row r="63" spans="1:7">
      <c r="A63" s="60"/>
      <c r="B63" s="60"/>
      <c r="C63" s="60"/>
      <c r="D63" s="60"/>
      <c r="E63" s="60"/>
      <c r="F63" s="60"/>
      <c r="G63" s="60"/>
    </row>
    <row r="64" spans="1:7">
      <c r="A64" s="60"/>
      <c r="B64" s="60"/>
      <c r="C64" s="60"/>
      <c r="D64" s="60"/>
      <c r="E64" s="60"/>
      <c r="F64" s="60"/>
      <c r="G64" s="60"/>
    </row>
    <row r="65" spans="1:7">
      <c r="A65" s="60"/>
      <c r="B65" s="60"/>
      <c r="C65" s="60"/>
      <c r="D65" s="60"/>
      <c r="E65" s="60"/>
      <c r="F65" s="60"/>
      <c r="G65" s="60"/>
    </row>
    <row r="66" spans="1:7">
      <c r="A66" s="60"/>
      <c r="B66" s="60"/>
      <c r="C66" s="60"/>
      <c r="D66" s="60"/>
      <c r="E66" s="60"/>
      <c r="F66" s="60"/>
      <c r="G66" s="60"/>
    </row>
    <row r="67" spans="1:7">
      <c r="A67" s="60"/>
      <c r="B67" s="60"/>
      <c r="C67" s="60"/>
      <c r="D67" s="60"/>
      <c r="E67" s="60"/>
      <c r="F67" s="60"/>
      <c r="G67" s="60"/>
    </row>
    <row r="68" spans="1:7">
      <c r="A68" s="60"/>
      <c r="B68" s="60"/>
      <c r="C68" s="60"/>
      <c r="D68" s="60"/>
      <c r="E68" s="60"/>
      <c r="F68" s="60"/>
      <c r="G68" s="60"/>
    </row>
    <row r="69" spans="1:7">
      <c r="A69" s="60"/>
      <c r="B69" s="60"/>
      <c r="C69" s="60"/>
      <c r="D69" s="60"/>
      <c r="E69" s="60"/>
      <c r="F69" s="60"/>
      <c r="G69" s="60"/>
    </row>
    <row r="70" spans="1:7">
      <c r="A70" s="60"/>
      <c r="B70" s="60"/>
      <c r="C70" s="60"/>
      <c r="D70" s="60"/>
      <c r="E70" s="60"/>
      <c r="F70" s="60"/>
      <c r="G70" s="60"/>
    </row>
    <row r="71" spans="1:7">
      <c r="A71" s="60"/>
      <c r="B71" s="60"/>
      <c r="C71" s="60"/>
      <c r="D71" s="60"/>
      <c r="E71" s="60"/>
      <c r="F71" s="60"/>
      <c r="G71" s="60"/>
    </row>
    <row r="72" spans="1:7">
      <c r="A72" s="60"/>
      <c r="B72" s="60"/>
      <c r="C72" s="60"/>
      <c r="D72" s="60"/>
      <c r="E72" s="60"/>
      <c r="F72" s="60"/>
      <c r="G72" s="60"/>
    </row>
    <row r="73" spans="1:7">
      <c r="A73" s="60"/>
      <c r="B73" s="60"/>
      <c r="C73" s="60"/>
      <c r="D73" s="60"/>
      <c r="E73" s="60"/>
      <c r="F73" s="60"/>
      <c r="G73" s="60"/>
    </row>
    <row r="74" spans="1:7">
      <c r="A74" s="60"/>
      <c r="B74" s="60"/>
      <c r="C74" s="60"/>
      <c r="D74" s="60"/>
      <c r="E74" s="60"/>
      <c r="F74" s="60"/>
      <c r="G74" s="60"/>
    </row>
    <row r="75" spans="1:7">
      <c r="A75" s="60"/>
      <c r="B75" s="60"/>
      <c r="C75" s="60"/>
      <c r="D75" s="60"/>
      <c r="E75" s="60"/>
      <c r="F75" s="60"/>
      <c r="G75" s="60"/>
    </row>
    <row r="76" spans="1:7">
      <c r="A76" s="60"/>
      <c r="B76" s="60"/>
      <c r="C76" s="60"/>
      <c r="D76" s="60"/>
      <c r="E76" s="60"/>
      <c r="F76" s="60"/>
      <c r="G76" s="60"/>
    </row>
    <row r="77" spans="1:7">
      <c r="A77" s="60"/>
      <c r="B77" s="60"/>
      <c r="C77" s="60"/>
      <c r="D77" s="60"/>
      <c r="E77" s="60"/>
      <c r="F77" s="60"/>
      <c r="G77" s="60"/>
    </row>
    <row r="79" spans="1:7">
      <c r="A79" s="128"/>
      <c r="B79" s="128"/>
      <c r="C79" s="128"/>
      <c r="D79" s="128"/>
      <c r="E79" s="128"/>
      <c r="F79" s="128"/>
      <c r="G79" s="128"/>
    </row>
  </sheetData>
  <mergeCells count="22">
    <mergeCell ref="BL1:BN1"/>
    <mergeCell ref="BO1:BQ1"/>
    <mergeCell ref="BR1:BT1"/>
    <mergeCell ref="BU1:BW1"/>
    <mergeCell ref="AB1:AJ1"/>
    <mergeCell ref="AK1:AM1"/>
    <mergeCell ref="AN1:AP1"/>
    <mergeCell ref="AQ1:AU1"/>
    <mergeCell ref="AW1:BA1"/>
    <mergeCell ref="BC1:BG1"/>
    <mergeCell ref="I1:I2"/>
    <mergeCell ref="M1:M2"/>
    <mergeCell ref="N1:P1"/>
    <mergeCell ref="Q1:S1"/>
    <mergeCell ref="T1:V1"/>
    <mergeCell ref="Y1:AA1"/>
    <mergeCell ref="A1:A2"/>
    <mergeCell ref="B1:B2"/>
    <mergeCell ref="C1:C2"/>
    <mergeCell ref="E1:E2"/>
    <mergeCell ref="F1:F2"/>
    <mergeCell ref="H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2026-02-20T08:48:21Z</dcterms:created>
  <dcterms:modified xsi:type="dcterms:W3CDTF">2026-02-20T08:48:23Z</dcterms:modified>
</cp:coreProperties>
</file>