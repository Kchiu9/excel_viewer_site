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a9e46087b5738/0-Concordia_Capital/excel_to_https/excel_web_refresh/export/sheets/"/>
    </mc:Choice>
  </mc:AlternateContent>
  <xr:revisionPtr revIDLastSave="0" documentId="8_{999AB338-3DEB-4112-A803-1423E36B6BE8}" xr6:coauthVersionLast="47" xr6:coauthVersionMax="47" xr10:uidLastSave="{00000000-0000-0000-0000-000000000000}"/>
  <bookViews>
    <workbookView xWindow="-108" yWindow="-108" windowWidth="23256" windowHeight="12456" xr2:uid="{BDD0D8F4-4ED5-4120-B2D5-15A3D838B66B}"/>
  </bookViews>
  <sheets>
    <sheet name="Lithium" sheetId="2" r:id="rId1"/>
  </sheets>
  <externalReferences>
    <externalReference r:id="rId2"/>
    <externalReference r:id="rId3"/>
  </externalReferences>
  <definedNames>
    <definedName name="agprice">[1]Prices!$B$3</definedName>
    <definedName name="auprice">[1]Prices!$B$1</definedName>
    <definedName name="CIQWBGuid" hidden="1">"5376053f-e0f2-40b8-a1e8-f124d84bdcfe"</definedName>
    <definedName name="CIQWBInfo" hidden="1">"{ ""CIQVersion"":""9.52.4409.4666"" }"</definedName>
    <definedName name="cuprice">[1]Prices!$B$2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46064.7990046296</definedName>
    <definedName name="IQ_NAMES_REVISION_DATE_" hidden="1">46064.7990046296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rketcap">[2]Inputs!$F$335</definedName>
    <definedName name="niprice">[1]Prices!$B$6</definedName>
    <definedName name="Numbershares">[2]Inputs!$F$323</definedName>
    <definedName name="pbprice">[1]Prices!$B$4</definedName>
    <definedName name="znprice">[1]Prices!$B$5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2" i="2" l="1"/>
  <c r="AI22" i="2"/>
  <c r="AH22" i="2"/>
  <c r="AG22" i="2" a="1"/>
  <c r="AG22" i="2" s="1"/>
  <c r="AF22" i="2" a="1"/>
  <c r="AF22" i="2" s="1"/>
  <c r="AE22" i="2" a="1"/>
  <c r="AE22" i="2" s="1"/>
  <c r="AA22" i="2"/>
  <c r="Z22" i="2"/>
  <c r="Y22" i="2"/>
  <c r="X22" i="2" a="1"/>
  <c r="X22" i="2" s="1"/>
  <c r="W22" i="2" a="1"/>
  <c r="W22" i="2" s="1"/>
  <c r="V22" i="2" a="1"/>
  <c r="V22" i="2" s="1"/>
  <c r="U22" i="2" a="1"/>
  <c r="U22" i="2" s="1"/>
  <c r="T22" i="2" a="1"/>
  <c r="T22" i="2" s="1"/>
  <c r="P22" i="2" a="1"/>
  <c r="P22" i="2" s="1"/>
  <c r="O22" i="2"/>
  <c r="O22" i="2" a="1"/>
  <c r="N22" i="2" a="1"/>
  <c r="N22" i="2" s="1"/>
  <c r="M22" i="2" a="1"/>
  <c r="M22" i="2" s="1"/>
  <c r="I22" i="2"/>
  <c r="S22" i="2" s="1"/>
  <c r="H22" i="2"/>
  <c r="AD22" i="2" s="1"/>
  <c r="D22" i="2"/>
  <c r="C22" i="2"/>
  <c r="B22" i="2"/>
  <c r="A22" i="2"/>
  <c r="AJ21" i="2"/>
  <c r="AI21" i="2"/>
  <c r="AH21" i="2"/>
  <c r="AG21" i="2" a="1"/>
  <c r="AG21" i="2" s="1"/>
  <c r="AF21" i="2" a="1"/>
  <c r="AF21" i="2" s="1"/>
  <c r="AE21" i="2" a="1"/>
  <c r="AE21" i="2" s="1"/>
  <c r="AA21" i="2"/>
  <c r="Z21" i="2"/>
  <c r="Y21" i="2"/>
  <c r="X21" i="2" a="1"/>
  <c r="X21" i="2" s="1"/>
  <c r="W21" i="2" a="1"/>
  <c r="W21" i="2" s="1"/>
  <c r="V21" i="2" a="1"/>
  <c r="V21" i="2" s="1"/>
  <c r="U21" i="2" a="1"/>
  <c r="U21" i="2" s="1"/>
  <c r="T21" i="2" a="1"/>
  <c r="T21" i="2" s="1"/>
  <c r="P21" i="2"/>
  <c r="P21" i="2" a="1"/>
  <c r="O21" i="2" a="1"/>
  <c r="O21" i="2" s="1"/>
  <c r="N21" i="2" a="1"/>
  <c r="N21" i="2" s="1"/>
  <c r="M21" i="2" a="1"/>
  <c r="M21" i="2" s="1"/>
  <c r="I21" i="2"/>
  <c r="S21" i="2" s="1"/>
  <c r="H21" i="2"/>
  <c r="AC21" i="2" s="1"/>
  <c r="D21" i="2"/>
  <c r="C21" i="2"/>
  <c r="B21" i="2"/>
  <c r="A21" i="2"/>
  <c r="AJ20" i="2"/>
  <c r="AI20" i="2"/>
  <c r="AH20" i="2"/>
  <c r="AG20" i="2" a="1"/>
  <c r="AG20" i="2" s="1"/>
  <c r="AF20" i="2" a="1"/>
  <c r="AF20" i="2" s="1"/>
  <c r="AE20" i="2" a="1"/>
  <c r="AE20" i="2" s="1"/>
  <c r="AA20" i="2"/>
  <c r="Z20" i="2"/>
  <c r="Y20" i="2"/>
  <c r="X20" i="2" a="1"/>
  <c r="X20" i="2" s="1"/>
  <c r="W20" i="2" a="1"/>
  <c r="W20" i="2" s="1"/>
  <c r="V20" i="2" a="1"/>
  <c r="V20" i="2" s="1"/>
  <c r="U20" i="2" a="1"/>
  <c r="U20" i="2" s="1"/>
  <c r="T20" i="2" a="1"/>
  <c r="T20" i="2" s="1"/>
  <c r="P20" i="2" a="1"/>
  <c r="P20" i="2" s="1"/>
  <c r="O20" i="2" a="1"/>
  <c r="O20" i="2" s="1"/>
  <c r="N20" i="2" a="1"/>
  <c r="N20" i="2" s="1"/>
  <c r="M20" i="2" a="1"/>
  <c r="M20" i="2" s="1"/>
  <c r="I20" i="2"/>
  <c r="Q20" i="2" s="1"/>
  <c r="H20" i="2"/>
  <c r="AB20" i="2" s="1"/>
  <c r="D20" i="2"/>
  <c r="C20" i="2"/>
  <c r="B20" i="2"/>
  <c r="A20" i="2"/>
  <c r="AJ19" i="2"/>
  <c r="AI19" i="2"/>
  <c r="AH19" i="2"/>
  <c r="AG19" i="2" a="1"/>
  <c r="AG19" i="2" s="1"/>
  <c r="AF19" i="2" a="1"/>
  <c r="AF19" i="2" s="1"/>
  <c r="AE19" i="2" a="1"/>
  <c r="AE19" i="2" s="1"/>
  <c r="AA19" i="2"/>
  <c r="Z19" i="2"/>
  <c r="Y19" i="2"/>
  <c r="X19" i="2" a="1"/>
  <c r="X19" i="2" s="1"/>
  <c r="W19" i="2" a="1"/>
  <c r="W19" i="2" s="1"/>
  <c r="V19" i="2" a="1"/>
  <c r="V19" i="2" s="1"/>
  <c r="U19" i="2" a="1"/>
  <c r="U19" i="2" s="1"/>
  <c r="T19" i="2" a="1"/>
  <c r="T19" i="2" s="1"/>
  <c r="P19" i="2" a="1"/>
  <c r="P19" i="2" s="1"/>
  <c r="O19" i="2" a="1"/>
  <c r="O19" i="2" s="1"/>
  <c r="N19" i="2"/>
  <c r="N19" i="2" a="1"/>
  <c r="M19" i="2"/>
  <c r="M19" i="2" a="1"/>
  <c r="I19" i="2"/>
  <c r="Q19" i="2" s="1"/>
  <c r="H19" i="2"/>
  <c r="D19" i="2"/>
  <c r="C19" i="2"/>
  <c r="B19" i="2"/>
  <c r="A19" i="2"/>
  <c r="AJ18" i="2"/>
  <c r="AI18" i="2"/>
  <c r="AH18" i="2"/>
  <c r="AG18" i="2" a="1"/>
  <c r="AG18" i="2" s="1"/>
  <c r="AF18" i="2" a="1"/>
  <c r="AF18" i="2" s="1"/>
  <c r="AE18" i="2" a="1"/>
  <c r="AE18" i="2" s="1"/>
  <c r="AA18" i="2"/>
  <c r="Z18" i="2"/>
  <c r="Y18" i="2"/>
  <c r="X18" i="2" a="1"/>
  <c r="X18" i="2" s="1"/>
  <c r="W18" i="2" a="1"/>
  <c r="W18" i="2" s="1"/>
  <c r="V18" i="2" a="1"/>
  <c r="V18" i="2" s="1"/>
  <c r="U18" i="2" a="1"/>
  <c r="U18" i="2" s="1"/>
  <c r="T18" i="2" a="1"/>
  <c r="T18" i="2" s="1"/>
  <c r="P18" i="2"/>
  <c r="P18" i="2" a="1"/>
  <c r="O18" i="2"/>
  <c r="O18" i="2" a="1"/>
  <c r="N18" i="2"/>
  <c r="N18" i="2" a="1"/>
  <c r="M18" i="2" a="1"/>
  <c r="M18" i="2" s="1"/>
  <c r="I18" i="2"/>
  <c r="S18" i="2" s="1"/>
  <c r="H18" i="2"/>
  <c r="AD18" i="2" s="1"/>
  <c r="D18" i="2"/>
  <c r="C18" i="2"/>
  <c r="B18" i="2"/>
  <c r="A18" i="2"/>
  <c r="AJ17" i="2"/>
  <c r="AI17" i="2"/>
  <c r="AH17" i="2"/>
  <c r="AG17" i="2"/>
  <c r="AG17" i="2" a="1"/>
  <c r="AF17" i="2" a="1"/>
  <c r="AF17" i="2" s="1"/>
  <c r="AE17" i="2" a="1"/>
  <c r="AE17" i="2" s="1"/>
  <c r="AA17" i="2"/>
  <c r="Z17" i="2"/>
  <c r="Y17" i="2"/>
  <c r="X17" i="2" a="1"/>
  <c r="X17" i="2" s="1"/>
  <c r="W17" i="2" a="1"/>
  <c r="W17" i="2" s="1"/>
  <c r="V17" i="2"/>
  <c r="V17" i="2" a="1"/>
  <c r="U17" i="2" a="1"/>
  <c r="U17" i="2" s="1"/>
  <c r="T17" i="2" a="1"/>
  <c r="T17" i="2" s="1"/>
  <c r="P17" i="2"/>
  <c r="P17" i="2" a="1"/>
  <c r="O17" i="2"/>
  <c r="O17" i="2" a="1"/>
  <c r="N17" i="2"/>
  <c r="N17" i="2" a="1"/>
  <c r="M17" i="2" a="1"/>
  <c r="M17" i="2" s="1"/>
  <c r="I17" i="2"/>
  <c r="S17" i="2" s="1"/>
  <c r="H17" i="2"/>
  <c r="AC17" i="2" s="1"/>
  <c r="D17" i="2"/>
  <c r="C17" i="2"/>
  <c r="B17" i="2"/>
  <c r="A17" i="2"/>
  <c r="AJ16" i="2"/>
  <c r="AI16" i="2"/>
  <c r="AH16" i="2"/>
  <c r="AG16" i="2" a="1"/>
  <c r="AG16" i="2" s="1"/>
  <c r="AF16" i="2" a="1"/>
  <c r="AF16" i="2" s="1"/>
  <c r="AE16" i="2" a="1"/>
  <c r="AE16" i="2" s="1"/>
  <c r="AA16" i="2"/>
  <c r="Z16" i="2"/>
  <c r="Y16" i="2"/>
  <c r="X16" i="2" a="1"/>
  <c r="X16" i="2" s="1"/>
  <c r="W16" i="2" a="1"/>
  <c r="W16" i="2" s="1"/>
  <c r="V16" i="2" a="1"/>
  <c r="V16" i="2" s="1"/>
  <c r="U16" i="2" a="1"/>
  <c r="U16" i="2" s="1"/>
  <c r="T16" i="2" a="1"/>
  <c r="T16" i="2" s="1"/>
  <c r="P16" i="2"/>
  <c r="P16" i="2" a="1"/>
  <c r="O16" i="2"/>
  <c r="O16" i="2" a="1"/>
  <c r="N16" i="2" a="1"/>
  <c r="N16" i="2" s="1"/>
  <c r="M16" i="2" a="1"/>
  <c r="M16" i="2" s="1"/>
  <c r="I16" i="2"/>
  <c r="Q16" i="2" s="1"/>
  <c r="H16" i="2"/>
  <c r="AB16" i="2" s="1"/>
  <c r="D16" i="2"/>
  <c r="C16" i="2"/>
  <c r="B16" i="2"/>
  <c r="A16" i="2"/>
  <c r="AJ15" i="2"/>
  <c r="AI15" i="2"/>
  <c r="AH15" i="2"/>
  <c r="AG15" i="2" a="1"/>
  <c r="AG15" i="2" s="1"/>
  <c r="AF15" i="2" a="1"/>
  <c r="AF15" i="2" s="1"/>
  <c r="AE15" i="2"/>
  <c r="AE15" i="2" a="1"/>
  <c r="AA15" i="2"/>
  <c r="Z15" i="2"/>
  <c r="Y15" i="2"/>
  <c r="X15" i="2"/>
  <c r="X15" i="2" a="1"/>
  <c r="W15" i="2" a="1"/>
  <c r="W15" i="2" s="1"/>
  <c r="V15" i="2" a="1"/>
  <c r="V15" i="2" s="1"/>
  <c r="U15" i="2" a="1"/>
  <c r="U15" i="2" s="1"/>
  <c r="T15" i="2" a="1"/>
  <c r="T15" i="2" s="1"/>
  <c r="P15" i="2" a="1"/>
  <c r="P15" i="2" s="1"/>
  <c r="O15" i="2" a="1"/>
  <c r="O15" i="2" s="1"/>
  <c r="N15" i="2"/>
  <c r="N15" i="2" a="1"/>
  <c r="M15" i="2" a="1"/>
  <c r="M15" i="2" s="1"/>
  <c r="I15" i="2"/>
  <c r="Q15" i="2" s="1"/>
  <c r="H15" i="2"/>
  <c r="AB15" i="2" s="1"/>
  <c r="D15" i="2"/>
  <c r="C15" i="2"/>
  <c r="B15" i="2"/>
  <c r="A15" i="2"/>
  <c r="AJ14" i="2"/>
  <c r="AI14" i="2"/>
  <c r="AH14" i="2"/>
  <c r="AG14" i="2" a="1"/>
  <c r="AG14" i="2" s="1"/>
  <c r="AF14" i="2"/>
  <c r="AF14" i="2" a="1"/>
  <c r="AE14" i="2" a="1"/>
  <c r="AE14" i="2" s="1"/>
  <c r="AA14" i="2"/>
  <c r="Z14" i="2"/>
  <c r="Y14" i="2"/>
  <c r="X14" i="2" a="1"/>
  <c r="X14" i="2" s="1"/>
  <c r="W14" i="2" a="1"/>
  <c r="W14" i="2" s="1"/>
  <c r="V14" i="2" a="1"/>
  <c r="V14" i="2" s="1"/>
  <c r="U14" i="2"/>
  <c r="U14" i="2" a="1"/>
  <c r="T14" i="2" a="1"/>
  <c r="T14" i="2" s="1"/>
  <c r="P14" i="2" a="1"/>
  <c r="P14" i="2" s="1"/>
  <c r="O14" i="2" a="1"/>
  <c r="O14" i="2" s="1"/>
  <c r="N14" i="2" a="1"/>
  <c r="N14" i="2" s="1"/>
  <c r="M14" i="2"/>
  <c r="M14" i="2" a="1"/>
  <c r="I14" i="2"/>
  <c r="S14" i="2" s="1"/>
  <c r="S23" i="2" s="1"/>
  <c r="H14" i="2"/>
  <c r="D14" i="2"/>
  <c r="C14" i="2"/>
  <c r="B14" i="2"/>
  <c r="A14" i="2"/>
  <c r="AJ11" i="2"/>
  <c r="AI11" i="2"/>
  <c r="AH11" i="2"/>
  <c r="AG11" i="2" a="1"/>
  <c r="AG11" i="2" s="1"/>
  <c r="AF11" i="2" a="1"/>
  <c r="AF11" i="2" s="1"/>
  <c r="AE11" i="2" a="1"/>
  <c r="AE11" i="2" s="1"/>
  <c r="AA11" i="2"/>
  <c r="Z11" i="2"/>
  <c r="Y11" i="2"/>
  <c r="X11" i="2"/>
  <c r="X11" i="2" a="1"/>
  <c r="W11" i="2" a="1"/>
  <c r="W11" i="2" s="1"/>
  <c r="V11" i="2" a="1"/>
  <c r="V11" i="2" s="1"/>
  <c r="U11" i="2" a="1"/>
  <c r="U11" i="2" s="1"/>
  <c r="T11" i="2"/>
  <c r="T11" i="2" a="1"/>
  <c r="P11" i="2"/>
  <c r="P11" i="2" a="1"/>
  <c r="O11" i="2" a="1"/>
  <c r="O11" i="2" s="1"/>
  <c r="N11" i="2" a="1"/>
  <c r="N11" i="2" s="1"/>
  <c r="M11" i="2"/>
  <c r="M11" i="2" a="1"/>
  <c r="I11" i="2"/>
  <c r="Q11" i="2" s="1"/>
  <c r="H11" i="2"/>
  <c r="AB11" i="2" s="1"/>
  <c r="D11" i="2"/>
  <c r="C11" i="2"/>
  <c r="B11" i="2"/>
  <c r="A11" i="2"/>
  <c r="AJ10" i="2"/>
  <c r="AI10" i="2"/>
  <c r="AH10" i="2"/>
  <c r="AG10" i="2" a="1"/>
  <c r="AG10" i="2" s="1"/>
  <c r="AF10" i="2" a="1"/>
  <c r="AF10" i="2" s="1"/>
  <c r="AE10" i="2" a="1"/>
  <c r="AE10" i="2" s="1"/>
  <c r="AA10" i="2"/>
  <c r="Z10" i="2"/>
  <c r="Y10" i="2"/>
  <c r="X10" i="2" a="1"/>
  <c r="X10" i="2" s="1"/>
  <c r="W10" i="2" a="1"/>
  <c r="W10" i="2" s="1"/>
  <c r="V10" i="2" a="1"/>
  <c r="V10" i="2" s="1"/>
  <c r="U10" i="2"/>
  <c r="U10" i="2" a="1"/>
  <c r="T10" i="2" a="1"/>
  <c r="T10" i="2" s="1"/>
  <c r="P10" i="2" a="1"/>
  <c r="P10" i="2" s="1"/>
  <c r="O10" i="2"/>
  <c r="O10" i="2" a="1"/>
  <c r="N10" i="2"/>
  <c r="N10" i="2" a="1"/>
  <c r="M10" i="2"/>
  <c r="M10" i="2" a="1"/>
  <c r="I10" i="2"/>
  <c r="S10" i="2" s="1"/>
  <c r="H10" i="2"/>
  <c r="AD10" i="2" s="1"/>
  <c r="D10" i="2"/>
  <c r="C10" i="2"/>
  <c r="B10" i="2"/>
  <c r="A10" i="2"/>
  <c r="AJ9" i="2"/>
  <c r="AI9" i="2"/>
  <c r="AH9" i="2"/>
  <c r="AG9" i="2"/>
  <c r="AG9" i="2" a="1"/>
  <c r="AF9" i="2" a="1"/>
  <c r="AF9" i="2" s="1"/>
  <c r="AE9" i="2" a="1"/>
  <c r="AE9" i="2" s="1"/>
  <c r="AA9" i="2"/>
  <c r="Z9" i="2"/>
  <c r="Y9" i="2"/>
  <c r="X9" i="2" a="1"/>
  <c r="X9" i="2" s="1"/>
  <c r="W9" i="2" a="1"/>
  <c r="W9" i="2" s="1"/>
  <c r="V9" i="2"/>
  <c r="V9" i="2" a="1"/>
  <c r="U9" i="2" a="1"/>
  <c r="U9" i="2" s="1"/>
  <c r="T9" i="2" a="1"/>
  <c r="T9" i="2" s="1"/>
  <c r="P9" i="2"/>
  <c r="P9" i="2" a="1"/>
  <c r="O9" i="2"/>
  <c r="O9" i="2" a="1"/>
  <c r="N9" i="2" a="1"/>
  <c r="N9" i="2" s="1"/>
  <c r="M9" i="2" a="1"/>
  <c r="M9" i="2" s="1"/>
  <c r="I9" i="2"/>
  <c r="S9" i="2" s="1"/>
  <c r="H9" i="2"/>
  <c r="AC9" i="2" s="1"/>
  <c r="D9" i="2"/>
  <c r="C9" i="2"/>
  <c r="B9" i="2"/>
  <c r="A9" i="2"/>
  <c r="AJ8" i="2"/>
  <c r="AI8" i="2"/>
  <c r="AH8" i="2"/>
  <c r="AG8" i="2" a="1"/>
  <c r="AG8" i="2" s="1"/>
  <c r="AF8" i="2" a="1"/>
  <c r="AF8" i="2" s="1"/>
  <c r="AE8" i="2" a="1"/>
  <c r="AE8" i="2" s="1"/>
  <c r="AA8" i="2"/>
  <c r="Z8" i="2"/>
  <c r="Y8" i="2"/>
  <c r="X8" i="2" a="1"/>
  <c r="X8" i="2" s="1"/>
  <c r="W8" i="2" a="1"/>
  <c r="W8" i="2" s="1"/>
  <c r="V8" i="2" a="1"/>
  <c r="V8" i="2" s="1"/>
  <c r="U8" i="2" a="1"/>
  <c r="U8" i="2" s="1"/>
  <c r="T8" i="2" a="1"/>
  <c r="T8" i="2" s="1"/>
  <c r="P8" i="2"/>
  <c r="P8" i="2" a="1"/>
  <c r="O8" i="2"/>
  <c r="O8" i="2" a="1"/>
  <c r="N8" i="2" a="1"/>
  <c r="N8" i="2" s="1"/>
  <c r="M8" i="2" a="1"/>
  <c r="M8" i="2" s="1"/>
  <c r="I8" i="2"/>
  <c r="Q8" i="2" s="1"/>
  <c r="H8" i="2"/>
  <c r="AD8" i="2" s="1"/>
  <c r="D8" i="2"/>
  <c r="C8" i="2"/>
  <c r="B8" i="2"/>
  <c r="A8" i="2"/>
  <c r="AJ7" i="2"/>
  <c r="AI7" i="2"/>
  <c r="AH7" i="2"/>
  <c r="AG7" i="2" a="1"/>
  <c r="AG7" i="2" s="1"/>
  <c r="AF7" i="2" a="1"/>
  <c r="AF7" i="2" s="1"/>
  <c r="AE7" i="2"/>
  <c r="AE7" i="2" a="1"/>
  <c r="AA7" i="2"/>
  <c r="Z7" i="2"/>
  <c r="Y7" i="2"/>
  <c r="X7" i="2"/>
  <c r="X7" i="2" a="1"/>
  <c r="W7" i="2" a="1"/>
  <c r="W7" i="2" s="1"/>
  <c r="V7" i="2" a="1"/>
  <c r="V7" i="2" s="1"/>
  <c r="U7" i="2" a="1"/>
  <c r="U7" i="2" s="1"/>
  <c r="T7" i="2" a="1"/>
  <c r="T7" i="2" s="1"/>
  <c r="P7" i="2"/>
  <c r="P7" i="2" a="1"/>
  <c r="O7" i="2" a="1"/>
  <c r="O7" i="2" s="1"/>
  <c r="N7" i="2"/>
  <c r="N7" i="2" a="1"/>
  <c r="M7" i="2" a="1"/>
  <c r="M7" i="2" s="1"/>
  <c r="I7" i="2"/>
  <c r="Q7" i="2" s="1"/>
  <c r="H7" i="2"/>
  <c r="AB7" i="2" s="1"/>
  <c r="D7" i="2"/>
  <c r="C7" i="2"/>
  <c r="B7" i="2"/>
  <c r="A7" i="2"/>
  <c r="AJ6" i="2"/>
  <c r="AI6" i="2"/>
  <c r="AH6" i="2"/>
  <c r="AH12" i="2" s="1" a="1"/>
  <c r="AH12" i="2" s="1"/>
  <c r="AG6" i="2" a="1"/>
  <c r="AG6" i="2" s="1"/>
  <c r="AF6" i="2"/>
  <c r="AF6" i="2" a="1"/>
  <c r="AE6" i="2" a="1"/>
  <c r="AE6" i="2" s="1"/>
  <c r="AA6" i="2"/>
  <c r="Z6" i="2"/>
  <c r="Y6" i="2"/>
  <c r="X6" i="2" a="1"/>
  <c r="X6" i="2" s="1"/>
  <c r="W6" i="2" a="1"/>
  <c r="W6" i="2" s="1"/>
  <c r="V6" i="2" a="1"/>
  <c r="V6" i="2" s="1"/>
  <c r="V12" i="2" s="1"/>
  <c r="U6" i="2" a="1"/>
  <c r="U6" i="2" s="1"/>
  <c r="U12" i="2" s="1"/>
  <c r="T6" i="2" a="1"/>
  <c r="T6" i="2" s="1"/>
  <c r="T12" i="2" s="1"/>
  <c r="P6" i="2" a="1"/>
  <c r="P6" i="2" s="1"/>
  <c r="P12" i="2" s="1"/>
  <c r="O6" i="2" a="1"/>
  <c r="O6" i="2" s="1"/>
  <c r="O12" i="2" s="1"/>
  <c r="N6" i="2"/>
  <c r="N12" i="2" s="1"/>
  <c r="N6" i="2" a="1"/>
  <c r="M6" i="2" a="1"/>
  <c r="M6" i="2" s="1"/>
  <c r="I6" i="2"/>
  <c r="S6" i="2" s="1"/>
  <c r="S12" i="2" s="1"/>
  <c r="H6" i="2"/>
  <c r="AD6" i="2" s="1"/>
  <c r="D6" i="2"/>
  <c r="C6" i="2"/>
  <c r="B6" i="2"/>
  <c r="A6" i="2"/>
  <c r="R8" i="2" l="1"/>
  <c r="Q9" i="2"/>
  <c r="AC11" i="2"/>
  <c r="R20" i="2"/>
  <c r="S8" i="2"/>
  <c r="AI12" i="2" a="1"/>
  <c r="AI12" i="2" s="1"/>
  <c r="M12" i="2"/>
  <c r="R9" i="2"/>
  <c r="R16" i="2"/>
  <c r="Q17" i="2"/>
  <c r="S20" i="2"/>
  <c r="AD9" i="2"/>
  <c r="AH23" i="2" a="1"/>
  <c r="AH23" i="2" s="1"/>
  <c r="S16" i="2"/>
  <c r="AD17" i="2"/>
  <c r="AC20" i="2"/>
  <c r="AJ12" i="2" a="1"/>
  <c r="AJ12" i="2" s="1"/>
  <c r="AC7" i="2"/>
  <c r="AC8" i="2"/>
  <c r="AB9" i="2"/>
  <c r="AI23" i="2" a="1"/>
  <c r="AI23" i="2" s="1"/>
  <c r="AB17" i="2"/>
  <c r="AB19" i="2"/>
  <c r="AD20" i="2"/>
  <c r="AD14" i="2"/>
  <c r="AJ23" i="2" a="1"/>
  <c r="AJ23" i="2" s="1"/>
  <c r="AC15" i="2"/>
  <c r="AC16" i="2"/>
  <c r="R19" i="2"/>
  <c r="AD16" i="2"/>
  <c r="AD21" i="2"/>
  <c r="AB21" i="2"/>
  <c r="AB8" i="2"/>
  <c r="AG12" i="2" a="1"/>
  <c r="AG12" i="2" s="1"/>
  <c r="AF23" i="2" a="1"/>
  <c r="AF23" i="2" s="1"/>
  <c r="AG23" i="2" a="1"/>
  <c r="AG23" i="2" s="1"/>
  <c r="AD12" i="2" a="1"/>
  <c r="AD12" i="2" s="1"/>
  <c r="AE12" i="2" a="1"/>
  <c r="AE12" i="2" s="1"/>
  <c r="AE23" i="2" a="1"/>
  <c r="AE23" i="2" s="1"/>
  <c r="AF12" i="2" a="1"/>
  <c r="AF12" i="2" s="1"/>
  <c r="M23" i="2" a="1"/>
  <c r="M23" i="2" s="1"/>
  <c r="R7" i="2"/>
  <c r="R11" i="2"/>
  <c r="R15" i="2"/>
  <c r="AC19" i="2"/>
  <c r="S7" i="2"/>
  <c r="AD7" i="2"/>
  <c r="S11" i="2"/>
  <c r="AD11" i="2"/>
  <c r="S15" i="2"/>
  <c r="AD15" i="2"/>
  <c r="S19" i="2"/>
  <c r="AD19" i="2"/>
  <c r="Q21" i="2"/>
  <c r="R17" i="2"/>
  <c r="R21" i="2"/>
  <c r="Q6" i="2"/>
  <c r="Q12" i="2" s="1"/>
  <c r="AB6" i="2"/>
  <c r="Q10" i="2"/>
  <c r="AB10" i="2"/>
  <c r="Q14" i="2"/>
  <c r="AB14" i="2"/>
  <c r="Q18" i="2"/>
  <c r="AB18" i="2"/>
  <c r="Q22" i="2"/>
  <c r="AB22" i="2"/>
  <c r="R6" i="2"/>
  <c r="R12" i="2" s="1"/>
  <c r="AC6" i="2"/>
  <c r="R10" i="2"/>
  <c r="AC10" i="2"/>
  <c r="R14" i="2"/>
  <c r="AC14" i="2"/>
  <c r="R18" i="2"/>
  <c r="AC18" i="2"/>
  <c r="R22" i="2"/>
  <c r="AC22" i="2"/>
  <c r="AC12" i="2" l="1" a="1"/>
  <c r="AC12" i="2" s="1"/>
  <c r="AD23" i="2" a="1"/>
  <c r="AD23" i="2" s="1"/>
  <c r="AB12" i="2" a="1"/>
  <c r="AB12" i="2" s="1"/>
  <c r="AC23" i="2" a="1"/>
  <c r="AC23" i="2" s="1"/>
  <c r="AB23" i="2" a="1"/>
  <c r="AB23" i="2" s="1"/>
  <c r="R23" i="2"/>
  <c r="Q2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<sst xmlns="http://schemas.openxmlformats.org/spreadsheetml/2006/main" count="195" uniqueCount="126">
  <si>
    <t>Last Earnings Date</t>
  </si>
  <si>
    <t>Exp. Next Earnings Date (BBG)</t>
  </si>
  <si>
    <t>Confirmed / Estimated Date (BBG)</t>
  </si>
  <si>
    <t>Sales Result</t>
  </si>
  <si>
    <t>Exp. Next Earnings Date (HC)</t>
  </si>
  <si>
    <t>Confirmed / Estimated Date (HC)</t>
  </si>
  <si>
    <t>Enterprise Value (US$)</t>
  </si>
  <si>
    <t>Market Cap ($US)</t>
  </si>
  <si>
    <t>Price / NAV</t>
  </si>
  <si>
    <t>Price / CF</t>
  </si>
  <si>
    <t>FCF Yield %</t>
  </si>
  <si>
    <t>Price / Earnings</t>
  </si>
  <si>
    <t>Net Debt / EBITDA</t>
  </si>
  <si>
    <t xml:space="preserve"> Debt / Equity</t>
  </si>
  <si>
    <t>Reserves</t>
  </si>
  <si>
    <t>M&amp;I Resources</t>
  </si>
  <si>
    <t>M,I&amp;I</t>
  </si>
  <si>
    <t>EV/Metrics ($/t)</t>
  </si>
  <si>
    <t>EV / EBITDA</t>
  </si>
  <si>
    <t>Lithium Cash Costs ($/t)</t>
  </si>
  <si>
    <t>Model (Y/N)</t>
  </si>
  <si>
    <t>Priority?</t>
  </si>
  <si>
    <t>Stock of Interest</t>
  </si>
  <si>
    <t>Comment</t>
  </si>
  <si>
    <t>Date
(BBG)</t>
  </si>
  <si>
    <t>Date
(HC)</t>
  </si>
  <si>
    <t>Bloomberg
Ticker</t>
  </si>
  <si>
    <t>Ticker</t>
  </si>
  <si>
    <t>FY2024</t>
  </si>
  <si>
    <t>FY2025</t>
  </si>
  <si>
    <t>FY2026</t>
  </si>
  <si>
    <t>Lithium</t>
  </si>
  <si>
    <t>M&amp;I</t>
  </si>
  <si>
    <t>2022Y</t>
  </si>
  <si>
    <t>2023Y</t>
  </si>
  <si>
    <t>2024Y</t>
  </si>
  <si>
    <t>SNL_EARNINGS_RELEASE_DATE</t>
  </si>
  <si>
    <t>EXPECTED_REPORT_DT</t>
  </si>
  <si>
    <t>EXPECTED_REPORT_TYP</t>
  </si>
  <si>
    <t>SALES_RESULT_DATE</t>
  </si>
  <si>
    <t>SP_PNAVPS_FWD</t>
  </si>
  <si>
    <t>SP_PCFPS_FWD</t>
  </si>
  <si>
    <t>SP_FCF_EST</t>
  </si>
  <si>
    <t>SP_FCF_FWD</t>
  </si>
  <si>
    <t>SP_PE_FWD</t>
  </si>
  <si>
    <t>IQ_NET_DEBT</t>
  </si>
  <si>
    <t>SP_DEBT_TO_EQUITY</t>
  </si>
  <si>
    <t>SNL_ATTRIBUTABLE_RESV_TONNES</t>
  </si>
  <si>
    <t>SNL_ATTRIBUTABLE_M_AND_I_RESRC_TONNES</t>
  </si>
  <si>
    <t>SNL_ATTRIBUTABLE_TOTAL_RESRC_TONNES</t>
  </si>
  <si>
    <t>SP_TEV_EBITDA_FWD</t>
  </si>
  <si>
    <t>SNL_CASH_COST_LB</t>
  </si>
  <si>
    <t>SNL_PROJ_CASH_COST_HIGH_LB</t>
  </si>
  <si>
    <t>FQ0</t>
  </si>
  <si>
    <t>FH0</t>
  </si>
  <si>
    <t>MRQ</t>
  </si>
  <si>
    <t>SNL_PROJ_CASH_COST_LOW_LB</t>
  </si>
  <si>
    <t>Producers</t>
  </si>
  <si>
    <t>28/05/2025</t>
  </si>
  <si>
    <t>Confirmed</t>
  </si>
  <si>
    <t>#N/A N/A</t>
  </si>
  <si>
    <t>SQM</t>
  </si>
  <si>
    <t>SQM US Equity</t>
  </si>
  <si>
    <t>NYSE:SQM</t>
  </si>
  <si>
    <t>Y</t>
  </si>
  <si>
    <t>YES</t>
  </si>
  <si>
    <t>30/04/2025</t>
  </si>
  <si>
    <t>Abermarle</t>
  </si>
  <si>
    <t>ALB US Equity</t>
  </si>
  <si>
    <t>NYSE:ALB</t>
  </si>
  <si>
    <t>N</t>
  </si>
  <si>
    <t>26/08/2025</t>
  </si>
  <si>
    <t>Estimated</t>
  </si>
  <si>
    <t>Pilbara Minerals</t>
  </si>
  <si>
    <t>PLS AU Equity</t>
  </si>
  <si>
    <t>ASX:PLS</t>
  </si>
  <si>
    <t>15/05/2025</t>
  </si>
  <si>
    <t>Sigma Lithium</t>
  </si>
  <si>
    <t>SGML US Equity</t>
  </si>
  <si>
    <t>NASDAQCM:SGML</t>
  </si>
  <si>
    <t>28/08/2025</t>
  </si>
  <si>
    <t>IGO Limited</t>
  </si>
  <si>
    <t>IGO AU Equity</t>
  </si>
  <si>
    <t>ASX:IGO</t>
  </si>
  <si>
    <t>29/08/2025</t>
  </si>
  <si>
    <t>28/04/2025</t>
  </si>
  <si>
    <t>Sayona Mining</t>
  </si>
  <si>
    <t>SYA AU Equity</t>
  </si>
  <si>
    <t>ASX:SYA</t>
  </si>
  <si>
    <t>NO</t>
  </si>
  <si>
    <t>Average</t>
  </si>
  <si>
    <t>Developers &amp; Explorers</t>
  </si>
  <si>
    <t>29/09/2025</t>
  </si>
  <si>
    <t>Liontown Resources</t>
  </si>
  <si>
    <t>LTR AU Equity</t>
  </si>
  <si>
    <t>ASX:LTR</t>
  </si>
  <si>
    <t>20/06/2025</t>
  </si>
  <si>
    <t>Patriot Battery Metals</t>
  </si>
  <si>
    <t>PMET CN Equity</t>
  </si>
  <si>
    <t>TSX:PMET</t>
  </si>
  <si>
    <t>17/09/2025</t>
  </si>
  <si>
    <t>Winsome Resources</t>
  </si>
  <si>
    <t>WR1 AU Equity</t>
  </si>
  <si>
    <t>ASX:WR1</t>
  </si>
  <si>
    <t>Core Lithium</t>
  </si>
  <si>
    <t>CXO AU Equity</t>
  </si>
  <si>
    <t>ASX:CXO</t>
  </si>
  <si>
    <t xml:space="preserve">Latin Resources </t>
  </si>
  <si>
    <t>LRS AU Equity</t>
  </si>
  <si>
    <t>ASX:LRS</t>
  </si>
  <si>
    <t>25/04/2025</t>
  </si>
  <si>
    <t xml:space="preserve">Li-FT Power </t>
  </si>
  <si>
    <t>LIFT CN Equity</t>
  </si>
  <si>
    <t>TSXV:LIFT</t>
  </si>
  <si>
    <t>18/09/2025</t>
  </si>
  <si>
    <t xml:space="preserve">Atlantic Lithium </t>
  </si>
  <si>
    <t>ALL LN Equity</t>
  </si>
  <si>
    <t>AIM:ALL</t>
  </si>
  <si>
    <t>25/07/2025</t>
  </si>
  <si>
    <t xml:space="preserve">Leo Lithium </t>
  </si>
  <si>
    <t>LLL AU Equity</t>
  </si>
  <si>
    <t>ASX:LLL</t>
  </si>
  <si>
    <t>30/09/2025</t>
  </si>
  <si>
    <t xml:space="preserve">Savannah Resources </t>
  </si>
  <si>
    <t>SAV LN Equity</t>
  </si>
  <si>
    <t>AIM:SAV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</si>
</sst>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1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6"/>
      <color rgb="FF525252"/>
      <name val="Arial"/>
      <family val="2"/>
    </font>
    <font>
      <sz val="6"/>
      <color rgb="FF000000"/>
      <name val="Arial"/>
      <family val="2"/>
    </font>
    <font>
      <sz val="6"/>
      <color rgb="FF525252"/>
      <name val="Arial Narrow"/>
      <family val="2"/>
    </font>
    <font>
      <b/>
      <sz val="13"/>
      <color rgb="FF000000"/>
      <name val="Times New Roman"/>
      <family val="1"/>
    </font>
    <font>
      <sz val="10"/>
      <color rgb="FF0000FF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9" fontId="9" fillId="0" borderId="0" applyFont="0" applyFill="0" applyBorder="0" applyAlignment="0" applyProtection="0"/>
  </cellStyleXfs>
  <cellXfs count="96">
    <xf numFmtId="0" fontId="0" fillId="0" borderId="0" xfId="0"/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top" wrapText="1"/>
    </xf>
    <xf numFmtId="0" fontId="1" fillId="0" borderId="0" xfId="1" applyAlignment="1">
      <alignment horizontal="left" vertical="top"/>
    </xf>
    <xf numFmtId="0" fontId="2" fillId="0" borderId="1" xfId="1" applyFont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top" wrapText="1"/>
    </xf>
    <xf numFmtId="0" fontId="2" fillId="3" borderId="3" xfId="1" applyFont="1" applyFill="1" applyBorder="1" applyAlignment="1">
      <alignment horizontal="center" vertical="top" wrapText="1"/>
    </xf>
    <xf numFmtId="0" fontId="2" fillId="3" borderId="4" xfId="1" applyFont="1" applyFill="1" applyBorder="1" applyAlignment="1">
      <alignment horizontal="center" vertical="top" wrapText="1"/>
    </xf>
    <xf numFmtId="0" fontId="2" fillId="3" borderId="3" xfId="1" applyFont="1" applyFill="1" applyBorder="1" applyAlignment="1">
      <alignment horizontal="center" vertical="top" wrapText="1"/>
    </xf>
    <xf numFmtId="0" fontId="2" fillId="3" borderId="5" xfId="1" applyFont="1" applyFill="1" applyBorder="1" applyAlignment="1">
      <alignment horizontal="center" vertical="top" wrapText="1"/>
    </xf>
    <xf numFmtId="0" fontId="2" fillId="4" borderId="6" xfId="1" applyFont="1" applyFill="1" applyBorder="1" applyAlignment="1">
      <alignment vertical="top" wrapText="1"/>
    </xf>
    <xf numFmtId="0" fontId="2" fillId="4" borderId="0" xfId="1" applyFont="1" applyFill="1" applyAlignment="1">
      <alignment vertical="top" wrapText="1"/>
    </xf>
    <xf numFmtId="0" fontId="2" fillId="3" borderId="7" xfId="1" applyFont="1" applyFill="1" applyBorder="1" applyAlignment="1">
      <alignment horizontal="center" vertical="top" wrapText="1"/>
    </xf>
    <xf numFmtId="0" fontId="2" fillId="3" borderId="8" xfId="1" applyFont="1" applyFill="1" applyBorder="1" applyAlignment="1">
      <alignment horizontal="center" vertical="top" wrapText="1"/>
    </xf>
    <xf numFmtId="0" fontId="2" fillId="3" borderId="9" xfId="1" applyFont="1" applyFill="1" applyBorder="1" applyAlignment="1">
      <alignment horizontal="center" vertical="top" wrapText="1"/>
    </xf>
    <xf numFmtId="0" fontId="2" fillId="5" borderId="5" xfId="1" applyFont="1" applyFill="1" applyBorder="1" applyAlignment="1">
      <alignment vertical="top" wrapText="1"/>
    </xf>
    <xf numFmtId="0" fontId="2" fillId="0" borderId="0" xfId="1" applyFont="1" applyAlignment="1">
      <alignment horizontal="center" vertical="top" wrapText="1"/>
    </xf>
    <xf numFmtId="0" fontId="2" fillId="0" borderId="0" xfId="1" applyFont="1" applyAlignment="1">
      <alignment horizontal="center" vertical="top"/>
    </xf>
    <xf numFmtId="0" fontId="3" fillId="0" borderId="6" xfId="1" applyFont="1" applyBorder="1" applyAlignment="1">
      <alignment horizontal="center" vertical="top" wrapText="1"/>
    </xf>
    <xf numFmtId="0" fontId="3" fillId="0" borderId="10" xfId="1" applyFont="1" applyBorder="1" applyAlignment="1">
      <alignment horizontal="center" vertical="top" wrapText="1"/>
    </xf>
    <xf numFmtId="0" fontId="3" fillId="0" borderId="11" xfId="1" applyFont="1" applyBorder="1" applyAlignment="1">
      <alignment horizontal="center" vertical="top" wrapText="1"/>
    </xf>
    <xf numFmtId="0" fontId="3" fillId="0" borderId="12" xfId="1" applyFont="1" applyBorder="1" applyAlignment="1">
      <alignment horizontal="center" vertical="top" wrapText="1"/>
    </xf>
    <xf numFmtId="0" fontId="3" fillId="0" borderId="13" xfId="1" applyFont="1" applyBorder="1" applyAlignment="1">
      <alignment horizontal="center" vertical="top"/>
    </xf>
    <xf numFmtId="0" fontId="3" fillId="0" borderId="0" xfId="1" applyFont="1" applyAlignment="1">
      <alignment horizontal="center" vertical="top"/>
    </xf>
    <xf numFmtId="0" fontId="3" fillId="0" borderId="11" xfId="1" applyFont="1" applyBorder="1" applyAlignment="1">
      <alignment horizontal="center" vertical="top"/>
    </xf>
    <xf numFmtId="0" fontId="2" fillId="0" borderId="13" xfId="1" applyFont="1" applyBorder="1" applyAlignment="1">
      <alignment horizontal="center" vertical="top"/>
    </xf>
    <xf numFmtId="0" fontId="2" fillId="0" borderId="10" xfId="1" applyFont="1" applyBorder="1" applyAlignment="1">
      <alignment horizontal="center" vertical="top"/>
    </xf>
    <xf numFmtId="0" fontId="2" fillId="0" borderId="11" xfId="1" applyFont="1" applyBorder="1" applyAlignment="1">
      <alignment horizontal="center" vertical="top"/>
    </xf>
    <xf numFmtId="0" fontId="3" fillId="0" borderId="14" xfId="1" applyFont="1" applyBorder="1" applyAlignment="1">
      <alignment horizontal="center" vertical="top"/>
    </xf>
    <xf numFmtId="0" fontId="1" fillId="0" borderId="13" xfId="1" applyBorder="1" applyAlignment="1">
      <alignment horizontal="left" vertical="top"/>
    </xf>
    <xf numFmtId="0" fontId="1" fillId="0" borderId="12" xfId="1" applyBorder="1" applyAlignment="1">
      <alignment horizontal="left" vertical="top"/>
    </xf>
    <xf numFmtId="0" fontId="1" fillId="0" borderId="11" xfId="1" applyBorder="1" applyAlignment="1">
      <alignment horizontal="left" vertical="top"/>
    </xf>
    <xf numFmtId="0" fontId="4" fillId="0" borderId="1" xfId="1" applyFont="1" applyBorder="1" applyAlignment="1">
      <alignment horizontal="left" vertical="top"/>
    </xf>
    <xf numFmtId="0" fontId="4" fillId="0" borderId="0" xfId="1" applyFont="1" applyAlignment="1">
      <alignment horizontal="left" vertical="top"/>
    </xf>
    <xf numFmtId="0" fontId="4" fillId="0" borderId="6" xfId="1" applyFont="1" applyBorder="1" applyAlignment="1">
      <alignment horizontal="left" vertical="top"/>
    </xf>
    <xf numFmtId="0" fontId="4" fillId="0" borderId="7" xfId="1" applyFont="1" applyBorder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6" xfId="1" applyFont="1" applyBorder="1" applyAlignment="1">
      <alignment horizontal="left" vertical="top"/>
    </xf>
    <xf numFmtId="0" fontId="6" fillId="0" borderId="0" xfId="1" applyFont="1" applyAlignment="1">
      <alignment horizontal="left" vertical="top"/>
    </xf>
    <xf numFmtId="0" fontId="1" fillId="0" borderId="14" xfId="1" applyBorder="1" applyAlignment="1">
      <alignment horizontal="left" vertical="top"/>
    </xf>
    <xf numFmtId="0" fontId="4" fillId="0" borderId="14" xfId="1" applyFont="1" applyBorder="1" applyAlignment="1">
      <alignment horizontal="left" vertical="top"/>
    </xf>
    <xf numFmtId="0" fontId="1" fillId="0" borderId="6" xfId="1" applyBorder="1" applyAlignment="1">
      <alignment horizontal="left" vertical="top"/>
    </xf>
    <xf numFmtId="0" fontId="1" fillId="0" borderId="15" xfId="1" applyBorder="1" applyAlignment="1">
      <alignment horizontal="left" vertical="top"/>
    </xf>
    <xf numFmtId="0" fontId="4" fillId="0" borderId="8" xfId="1" applyFont="1" applyBorder="1" applyAlignment="1">
      <alignment horizontal="left" vertical="top"/>
    </xf>
    <xf numFmtId="0" fontId="7" fillId="5" borderId="3" xfId="1" applyFont="1" applyFill="1" applyBorder="1" applyAlignment="1">
      <alignment horizontal="left" vertical="top"/>
    </xf>
    <xf numFmtId="0" fontId="1" fillId="5" borderId="3" xfId="1" applyFill="1" applyBorder="1" applyAlignment="1">
      <alignment horizontal="left" vertical="top"/>
    </xf>
    <xf numFmtId="164" fontId="1" fillId="5" borderId="16" xfId="1" applyNumberFormat="1" applyFill="1" applyBorder="1" applyAlignment="1">
      <alignment horizontal="center" vertical="top"/>
    </xf>
    <xf numFmtId="0" fontId="1" fillId="5" borderId="2" xfId="1" applyFill="1" applyBorder="1" applyAlignment="1">
      <alignment horizontal="center" vertical="top"/>
    </xf>
    <xf numFmtId="0" fontId="1" fillId="5" borderId="3" xfId="1" applyFill="1" applyBorder="1" applyAlignment="1">
      <alignment horizontal="center" vertical="top"/>
    </xf>
    <xf numFmtId="0" fontId="1" fillId="5" borderId="4" xfId="1" applyFill="1" applyBorder="1" applyAlignment="1">
      <alignment horizontal="center" vertical="top"/>
    </xf>
    <xf numFmtId="0" fontId="1" fillId="0" borderId="15" xfId="1" applyBorder="1" applyAlignment="1">
      <alignment horizontal="center" vertical="top"/>
    </xf>
    <xf numFmtId="14" fontId="1" fillId="0" borderId="0" xfId="1" applyNumberFormat="1" applyAlignment="1">
      <alignment horizontal="center"/>
    </xf>
    <xf numFmtId="14" fontId="8" fillId="0" borderId="0" xfId="1" applyNumberFormat="1" applyFont="1" applyAlignment="1">
      <alignment horizontal="center"/>
    </xf>
    <xf numFmtId="4" fontId="9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left" vertical="top"/>
    </xf>
    <xf numFmtId="0" fontId="9" fillId="0" borderId="0" xfId="1" applyFont="1" applyAlignment="1">
      <alignment horizontal="left" vertical="top"/>
    </xf>
    <xf numFmtId="2" fontId="1" fillId="0" borderId="1" xfId="1" applyNumberFormat="1" applyBorder="1" applyAlignment="1">
      <alignment horizontal="center" vertical="top"/>
    </xf>
    <xf numFmtId="164" fontId="1" fillId="0" borderId="6" xfId="1" applyNumberFormat="1" applyBorder="1" applyAlignment="1">
      <alignment horizontal="center" vertical="top"/>
    </xf>
    <xf numFmtId="164" fontId="1" fillId="0" borderId="0" xfId="1" applyNumberFormat="1" applyAlignment="1">
      <alignment horizontal="center" vertical="top"/>
    </xf>
    <xf numFmtId="164" fontId="1" fillId="0" borderId="14" xfId="1" applyNumberFormat="1" applyBorder="1" applyAlignment="1">
      <alignment horizontal="center" vertical="top"/>
    </xf>
    <xf numFmtId="165" fontId="0" fillId="0" borderId="0" xfId="2" applyNumberFormat="1" applyFont="1" applyBorder="1" applyAlignment="1">
      <alignment horizontal="center" vertical="top"/>
    </xf>
    <xf numFmtId="165" fontId="0" fillId="0" borderId="10" xfId="2" applyNumberFormat="1" applyFont="1" applyBorder="1" applyAlignment="1">
      <alignment horizontal="center" vertical="top"/>
    </xf>
    <xf numFmtId="165" fontId="0" fillId="0" borderId="11" xfId="2" applyNumberFormat="1" applyFont="1" applyBorder="1" applyAlignment="1">
      <alignment horizontal="center" vertical="top"/>
    </xf>
    <xf numFmtId="9" fontId="0" fillId="0" borderId="12" xfId="2" applyFont="1" applyBorder="1" applyAlignment="1">
      <alignment horizontal="center" vertical="top"/>
    </xf>
    <xf numFmtId="9" fontId="0" fillId="0" borderId="6" xfId="2" applyFont="1" applyBorder="1" applyAlignment="1">
      <alignment horizontal="center" vertical="top"/>
    </xf>
    <xf numFmtId="3" fontId="1" fillId="0" borderId="0" xfId="1" applyNumberFormat="1" applyAlignment="1">
      <alignment horizontal="center"/>
    </xf>
    <xf numFmtId="3" fontId="1" fillId="0" borderId="13" xfId="1" applyNumberFormat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164" fontId="1" fillId="0" borderId="10" xfId="1" applyNumberFormat="1" applyBorder="1" applyAlignment="1">
      <alignment horizontal="center" vertical="top"/>
    </xf>
    <xf numFmtId="166" fontId="1" fillId="0" borderId="0" xfId="1" applyNumberFormat="1" applyAlignment="1">
      <alignment horizontal="center" vertical="top"/>
    </xf>
    <xf numFmtId="166" fontId="1" fillId="0" borderId="14" xfId="1" applyNumberFormat="1" applyBorder="1" applyAlignment="1">
      <alignment horizontal="center"/>
    </xf>
    <xf numFmtId="0" fontId="1" fillId="6" borderId="15" xfId="1" applyFill="1" applyBorder="1" applyAlignment="1">
      <alignment horizontal="center" vertical="top"/>
    </xf>
    <xf numFmtId="0" fontId="9" fillId="0" borderId="15" xfId="1" applyFont="1" applyBorder="1" applyAlignment="1">
      <alignment horizontal="left" vertical="top"/>
    </xf>
    <xf numFmtId="9" fontId="0" fillId="0" borderId="15" xfId="2" applyFont="1" applyBorder="1" applyAlignment="1">
      <alignment horizontal="center" vertical="top"/>
    </xf>
    <xf numFmtId="3" fontId="1" fillId="0" borderId="6" xfId="1" applyNumberFormat="1" applyBorder="1" applyAlignment="1">
      <alignment horizontal="center"/>
    </xf>
    <xf numFmtId="3" fontId="1" fillId="0" borderId="14" xfId="1" applyNumberFormat="1" applyBorder="1" applyAlignment="1">
      <alignment horizontal="center"/>
    </xf>
    <xf numFmtId="165" fontId="0" fillId="0" borderId="6" xfId="2" applyNumberFormat="1" applyFont="1" applyBorder="1" applyAlignment="1">
      <alignment horizontal="center" vertical="top"/>
    </xf>
    <xf numFmtId="9" fontId="0" fillId="0" borderId="17" xfId="2" applyFont="1" applyBorder="1" applyAlignment="1">
      <alignment horizontal="center" vertical="top"/>
    </xf>
    <xf numFmtId="0" fontId="2" fillId="7" borderId="3" xfId="1" applyFont="1" applyFill="1" applyBorder="1" applyAlignment="1">
      <alignment horizontal="right" vertical="top"/>
    </xf>
    <xf numFmtId="2" fontId="2" fillId="7" borderId="16" xfId="1" applyNumberFormat="1" applyFont="1" applyFill="1" applyBorder="1" applyAlignment="1">
      <alignment horizontal="center" vertical="top"/>
    </xf>
    <xf numFmtId="164" fontId="2" fillId="7" borderId="2" xfId="1" applyNumberFormat="1" applyFont="1" applyFill="1" applyBorder="1" applyAlignment="1">
      <alignment horizontal="center" vertical="top"/>
    </xf>
    <xf numFmtId="164" fontId="2" fillId="7" borderId="3" xfId="1" applyNumberFormat="1" applyFont="1" applyFill="1" applyBorder="1" applyAlignment="1">
      <alignment horizontal="center" vertical="top"/>
    </xf>
    <xf numFmtId="164" fontId="2" fillId="7" borderId="4" xfId="1" applyNumberFormat="1" applyFont="1" applyFill="1" applyBorder="1" applyAlignment="1">
      <alignment horizontal="center" vertical="top"/>
    </xf>
    <xf numFmtId="165" fontId="2" fillId="7" borderId="3" xfId="2" applyNumberFormat="1" applyFont="1" applyFill="1" applyBorder="1" applyAlignment="1">
      <alignment horizontal="center" vertical="top"/>
    </xf>
    <xf numFmtId="3" fontId="2" fillId="7" borderId="2" xfId="1" applyNumberFormat="1" applyFont="1" applyFill="1" applyBorder="1" applyAlignment="1">
      <alignment horizontal="center" vertical="top"/>
    </xf>
    <xf numFmtId="3" fontId="2" fillId="7" borderId="3" xfId="1" applyNumberFormat="1" applyFont="1" applyFill="1" applyBorder="1" applyAlignment="1">
      <alignment horizontal="center" vertical="top"/>
    </xf>
    <xf numFmtId="3" fontId="2" fillId="7" borderId="4" xfId="1" applyNumberFormat="1" applyFont="1" applyFill="1" applyBorder="1" applyAlignment="1">
      <alignment horizontal="center" vertical="top"/>
    </xf>
    <xf numFmtId="0" fontId="11" fillId="4" borderId="0" xfId="1" applyFont="1" applyFill="1"/>
    <xf numFmtId="165" fontId="0" fillId="0" borderId="14" xfId="2" applyNumberFormat="1" applyFont="1" applyBorder="1" applyAlignment="1">
      <alignment horizontal="center" vertical="top"/>
    </xf>
    <xf numFmtId="164" fontId="1" fillId="0" borderId="9" xfId="1" applyNumberFormat="1" applyBorder="1" applyAlignment="1">
      <alignment horizontal="center" vertical="top"/>
    </xf>
    <xf numFmtId="0" fontId="1" fillId="0" borderId="17" xfId="1" applyBorder="1" applyAlignment="1">
      <alignment horizontal="center" vertical="top"/>
    </xf>
    <xf numFmtId="0" fontId="1" fillId="0" borderId="17" xfId="1" applyBorder="1" applyAlignment="1">
      <alignment horizontal="left" vertical="top"/>
    </xf>
    <xf numFmtId="0" fontId="2" fillId="7" borderId="18" xfId="1" applyFont="1" applyFill="1" applyBorder="1" applyAlignment="1">
      <alignment horizontal="right" vertical="top"/>
    </xf>
    <xf numFmtId="4" fontId="2" fillId="7" borderId="19" xfId="1" applyNumberFormat="1" applyFont="1" applyFill="1" applyBorder="1" applyAlignment="1">
      <alignment horizontal="center" vertical="top"/>
    </xf>
    <xf numFmtId="2" fontId="2" fillId="7" borderId="2" xfId="1" applyNumberFormat="1" applyFont="1" applyFill="1" applyBorder="1" applyAlignment="1">
      <alignment horizontal="center" vertical="top"/>
    </xf>
    <xf numFmtId="0" fontId="1" fillId="4" borderId="0" xfId="1" applyFill="1" applyAlignment="1">
      <alignment horizontal="left" vertical="top"/>
    </xf>
  </cellXfs>
  <cellStyles count="3">
    <cellStyle name="常规" xfId="0" builtinId="0"/>
    <cellStyle name="常规 2" xfId="1" xr:uid="{0DCA58AE-E366-426E-820B-9233A7D0F42A}"/>
    <cellStyle name="百分比 2" xfId="2" xr:uid="{F88E9E48-8B15-4C71-81ED-0C4A7F4D1A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8aa9e46087b5738/0-Concordia_Capital/excel_to_https/excel_web_refresh/agent/Miners_Comps_Screener_Web.xlsx" TargetMode="External"/><Relationship Id="rId1" Type="http://schemas.openxmlformats.org/officeDocument/2006/relationships/externalLinkPath" Target="/28aa9e46087b5738/0-Concordia_Capital/excel_to_https/excel_web_refresh/agent/Miners_Comps_Screener_We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Relationship Id="rId1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Golds"/>
      <sheetName val="Golds Colour"/>
      <sheetName val="Gold PNAVs "/>
      <sheetName val="Copper"/>
      <sheetName val="Copper Colour"/>
      <sheetName val="Copper PNAVs"/>
      <sheetName val="Silver"/>
      <sheetName val="Silver Colour"/>
      <sheetName val="Silver PNAVs"/>
      <sheetName val="Diversifieds"/>
      <sheetName val="Diversifieds Colour"/>
      <sheetName val="PGMs"/>
      <sheetName val="Iron Ore"/>
      <sheetName val="Uranium"/>
      <sheetName val="Lithium"/>
      <sheetName val="Other"/>
      <sheetName val="Coal"/>
      <sheetName val="O&amp;G"/>
      <sheetName val="Aluminium"/>
      <sheetName val="Watchlist"/>
      <sheetName val="Small Cap"/>
      <sheetName val="Prices"/>
      <sheetName val="Commodity Conviction"/>
      <sheetName val="S&amp;P Ticker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B1">
            <v>3000</v>
          </cell>
        </row>
        <row r="2">
          <cell r="B2">
            <v>9500</v>
          </cell>
        </row>
        <row r="3">
          <cell r="B3">
            <v>30</v>
          </cell>
        </row>
        <row r="4">
          <cell r="B4">
            <v>2200</v>
          </cell>
        </row>
        <row r="5">
          <cell r="B5">
            <v>3000</v>
          </cell>
        </row>
        <row r="6">
          <cell r="B6">
            <v>19000</v>
          </cell>
        </row>
      </sheetData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Valuation"/>
      <sheetName val="Inputs"/>
      <sheetName val="Financials (consolidated) Q"/>
      <sheetName val="Financials (consolidated)"/>
      <sheetName val="EAGLE"/>
      <sheetName val="BREWERY CREEK"/>
      <sheetName val="3"/>
      <sheetName val="4"/>
      <sheetName val="5"/>
      <sheetName val="Balance Sheet"/>
      <sheetName val="Income Statement"/>
      <sheetName val="Cash Flow"/>
      <sheetName val="43-101"/>
      <sheetName val="Tables"/>
      <sheetName val="brokers"/>
      <sheetName val="Notes"/>
      <sheetName val="Quarterly 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2D49-8F35-4741-83A1-227723CF8D34}">
  <dimension ref="A1:AR68"/>
  <sheetViews>
    <sheetView showGridLines="0" tabSelected="1" topLeftCell="J1" workbookViewId="0">
      <pane ySplit="3" topLeftCell="A5" activePane="bottomLeft" state="frozen"/>
      <selection activeCell="I2678" sqref="I2678"/>
      <selection pane="bottomLeft" activeCell="I2678" sqref="I2678"/>
    </sheetView>
  </sheetViews>
  <sheetFormatPr defaultRowHeight="13.2" outlineLevelRow="1" outlineLevelCol="2" x14ac:dyDescent="0.3"/>
  <cols>
    <col min="1" max="1" width="10.109375" style="3" hidden="1" customWidth="1" outlineLevel="2"/>
    <col min="2" max="7" width="12.77734375" style="3" hidden="1" customWidth="1" outlineLevel="2"/>
    <col min="8" max="8" width="9.6640625" style="3" hidden="1" customWidth="1" outlineLevel="1" collapsed="1"/>
    <col min="9" max="9" width="9.6640625" style="3" hidden="1" customWidth="1" outlineLevel="1"/>
    <col min="10" max="10" width="26.77734375" style="3" customWidth="1" collapsed="1"/>
    <col min="11" max="11" width="26.77734375" style="3" hidden="1" customWidth="1" outlineLevel="2"/>
    <col min="12" max="12" width="18.109375" style="3" hidden="1" customWidth="1" outlineLevel="1" collapsed="1"/>
    <col min="13" max="13" width="9.77734375" style="3" bestFit="1" customWidth="1" collapsed="1"/>
    <col min="14" max="14" width="8.33203125" style="3" customWidth="1"/>
    <col min="15" max="16" width="8.109375" style="3" bestFit="1" customWidth="1"/>
    <col min="17" max="18" width="9.77734375" style="3" bestFit="1" customWidth="1"/>
    <col min="19" max="19" width="9.77734375" style="3" customWidth="1"/>
    <col min="20" max="20" width="7.77734375" style="3" bestFit="1" customWidth="1"/>
    <col min="21" max="21" width="8.33203125" style="3" customWidth="1"/>
    <col min="22" max="22" width="8.109375" style="3" customWidth="1"/>
    <col min="23" max="23" width="9.33203125" style="3" bestFit="1" customWidth="1"/>
    <col min="24" max="24" width="8.109375" style="3" customWidth="1"/>
    <col min="25" max="25" width="18" style="3" hidden="1" customWidth="1" outlineLevel="1"/>
    <col min="26" max="27" width="8.77734375" style="3" hidden="1" customWidth="1" outlineLevel="1"/>
    <col min="28" max="28" width="8.88671875" style="3" collapsed="1"/>
    <col min="29" max="31" width="8.88671875" style="3"/>
    <col min="32" max="33" width="10" style="3" customWidth="1"/>
    <col min="34" max="34" width="9.33203125" style="3" hidden="1" customWidth="1" outlineLevel="1"/>
    <col min="35" max="35" width="7.109375" style="3" hidden="1" customWidth="1" outlineLevel="1"/>
    <col min="36" max="36" width="8.77734375" style="3" hidden="1" customWidth="1" outlineLevel="1"/>
    <col min="37" max="37" width="8.88671875" style="3" collapsed="1"/>
    <col min="38" max="38" width="8.88671875" style="3"/>
    <col min="39" max="40" width="11.109375" style="3" customWidth="1"/>
    <col min="41" max="41" width="9.6640625" style="3" bestFit="1" customWidth="1"/>
    <col min="42" max="16384" width="8.88671875" style="3"/>
  </cols>
  <sheetData>
    <row r="1" spans="1:44" ht="39.6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3</v>
      </c>
      <c r="H1" s="1" t="s">
        <v>6</v>
      </c>
      <c r="I1" s="1" t="s">
        <v>7</v>
      </c>
      <c r="M1" s="4" t="s">
        <v>8</v>
      </c>
      <c r="N1" s="5" t="s">
        <v>9</v>
      </c>
      <c r="O1" s="6"/>
      <c r="P1" s="7"/>
      <c r="Q1" s="5" t="s">
        <v>10</v>
      </c>
      <c r="R1" s="7"/>
      <c r="S1" s="8"/>
      <c r="T1" s="5" t="s">
        <v>11</v>
      </c>
      <c r="U1" s="6"/>
      <c r="V1" s="7"/>
      <c r="W1" s="8" t="s">
        <v>12</v>
      </c>
      <c r="X1" s="9" t="s">
        <v>13</v>
      </c>
      <c r="Y1" s="10" t="s">
        <v>14</v>
      </c>
      <c r="Z1" s="10" t="s">
        <v>15</v>
      </c>
      <c r="AA1" s="11" t="s">
        <v>16</v>
      </c>
      <c r="AB1" s="5" t="s">
        <v>17</v>
      </c>
      <c r="AC1" s="6"/>
      <c r="AD1" s="7"/>
      <c r="AE1" s="5" t="s">
        <v>18</v>
      </c>
      <c r="AF1" s="6"/>
      <c r="AG1" s="7"/>
      <c r="AH1" s="12" t="s">
        <v>19</v>
      </c>
      <c r="AI1" s="13"/>
      <c r="AJ1" s="14"/>
      <c r="AK1" s="11"/>
      <c r="AL1" s="11"/>
      <c r="AM1" s="15" t="s">
        <v>20</v>
      </c>
      <c r="AN1" s="15" t="s">
        <v>21</v>
      </c>
      <c r="AO1" s="15" t="s">
        <v>22</v>
      </c>
      <c r="AP1" s="15" t="s">
        <v>23</v>
      </c>
      <c r="AQ1" s="11"/>
      <c r="AR1" s="11"/>
    </row>
    <row r="2" spans="1:44" ht="26.4" x14ac:dyDescent="0.3">
      <c r="A2" s="1"/>
      <c r="B2" s="1"/>
      <c r="C2" s="1"/>
      <c r="D2" s="2" t="s">
        <v>24</v>
      </c>
      <c r="E2" s="1"/>
      <c r="F2" s="1"/>
      <c r="G2" s="2" t="s">
        <v>25</v>
      </c>
      <c r="H2" s="1"/>
      <c r="I2" s="1"/>
      <c r="K2" s="16" t="s">
        <v>26</v>
      </c>
      <c r="L2" s="17" t="s">
        <v>27</v>
      </c>
      <c r="M2" s="4"/>
      <c r="N2" s="18" t="s">
        <v>28</v>
      </c>
      <c r="O2" s="19" t="s">
        <v>29</v>
      </c>
      <c r="P2" s="20" t="s">
        <v>30</v>
      </c>
      <c r="Q2" s="18" t="s">
        <v>28</v>
      </c>
      <c r="R2" s="19" t="s">
        <v>29</v>
      </c>
      <c r="S2" s="19" t="s">
        <v>30</v>
      </c>
      <c r="T2" s="18" t="s">
        <v>28</v>
      </c>
      <c r="U2" s="19" t="s">
        <v>29</v>
      </c>
      <c r="V2" s="20" t="s">
        <v>30</v>
      </c>
      <c r="W2" s="18" t="s">
        <v>28</v>
      </c>
      <c r="X2" s="21"/>
      <c r="Y2" s="22" t="s">
        <v>31</v>
      </c>
      <c r="Z2" s="23"/>
      <c r="AA2" s="24"/>
      <c r="AB2" s="25" t="s">
        <v>14</v>
      </c>
      <c r="AC2" s="26" t="s">
        <v>32</v>
      </c>
      <c r="AD2" s="27" t="s">
        <v>16</v>
      </c>
      <c r="AE2" s="18" t="s">
        <v>28</v>
      </c>
      <c r="AF2" s="19" t="s">
        <v>29</v>
      </c>
      <c r="AG2" s="20" t="s">
        <v>30</v>
      </c>
      <c r="AH2" s="17" t="s">
        <v>33</v>
      </c>
      <c r="AI2" s="17" t="s">
        <v>34</v>
      </c>
      <c r="AJ2" s="28" t="s">
        <v>35</v>
      </c>
      <c r="AM2" s="29"/>
      <c r="AN2" s="29"/>
      <c r="AO2" s="30"/>
      <c r="AP2" s="31"/>
    </row>
    <row r="3" spans="1:44" hidden="1" outlineLevel="1" x14ac:dyDescent="0.3">
      <c r="A3" s="32" t="s">
        <v>36</v>
      </c>
      <c r="B3" s="33" t="s">
        <v>37</v>
      </c>
      <c r="C3" s="33" t="s">
        <v>38</v>
      </c>
      <c r="D3" s="33" t="s">
        <v>39</v>
      </c>
      <c r="E3" s="33"/>
      <c r="F3" s="33"/>
      <c r="G3" s="33"/>
      <c r="L3" s="17"/>
      <c r="M3" s="32" t="s">
        <v>40</v>
      </c>
      <c r="N3" s="34" t="s">
        <v>41</v>
      </c>
      <c r="Q3" s="35" t="s">
        <v>42</v>
      </c>
      <c r="R3" s="33" t="s">
        <v>43</v>
      </c>
      <c r="S3" s="33"/>
      <c r="T3" s="34" t="s">
        <v>44</v>
      </c>
      <c r="W3" s="36" t="s">
        <v>45</v>
      </c>
      <c r="X3" s="36" t="s">
        <v>46</v>
      </c>
      <c r="Y3" s="37" t="s">
        <v>47</v>
      </c>
      <c r="Z3" s="38" t="s">
        <v>48</v>
      </c>
      <c r="AA3" s="38" t="s">
        <v>49</v>
      </c>
      <c r="AE3" s="34" t="s">
        <v>50</v>
      </c>
      <c r="AG3" s="39"/>
      <c r="AH3" s="33" t="s">
        <v>51</v>
      </c>
      <c r="AI3" s="33" t="s">
        <v>51</v>
      </c>
      <c r="AJ3" s="40" t="s">
        <v>52</v>
      </c>
      <c r="AM3" s="41"/>
      <c r="AN3" s="41"/>
      <c r="AO3" s="42"/>
      <c r="AP3" s="39"/>
    </row>
    <row r="4" spans="1:44" hidden="1" outlineLevel="1" x14ac:dyDescent="0.3">
      <c r="L4" s="17"/>
      <c r="M4" s="32"/>
      <c r="N4" s="34"/>
      <c r="Q4" s="43"/>
      <c r="R4" s="33"/>
      <c r="S4" s="33"/>
      <c r="T4" s="34"/>
      <c r="W4" s="36" t="s">
        <v>53</v>
      </c>
      <c r="X4" s="36" t="s">
        <v>54</v>
      </c>
      <c r="Y4" s="38" t="s">
        <v>55</v>
      </c>
      <c r="AG4" s="39"/>
      <c r="AH4" s="33"/>
      <c r="AJ4" s="40" t="s">
        <v>56</v>
      </c>
      <c r="AM4" s="41"/>
      <c r="AN4" s="41"/>
      <c r="AO4" s="42"/>
      <c r="AP4" s="39"/>
    </row>
    <row r="5" spans="1:44" ht="16.8" collapsed="1" x14ac:dyDescent="0.3">
      <c r="J5" s="44" t="s">
        <v>57</v>
      </c>
      <c r="K5" s="44"/>
      <c r="L5" s="45"/>
      <c r="M5" s="46"/>
      <c r="N5" s="47"/>
      <c r="O5" s="48"/>
      <c r="P5" s="48"/>
      <c r="Q5" s="48"/>
      <c r="R5" s="48"/>
      <c r="S5" s="48"/>
      <c r="T5" s="47"/>
      <c r="U5" s="48"/>
      <c r="V5" s="48"/>
      <c r="W5" s="48"/>
      <c r="X5" s="48"/>
      <c r="Y5" s="48"/>
      <c r="Z5" s="48"/>
      <c r="AA5" s="48"/>
      <c r="AB5" s="48"/>
      <c r="AC5" s="48"/>
      <c r="AD5" s="49"/>
      <c r="AE5" s="48"/>
      <c r="AF5" s="48"/>
      <c r="AG5" s="49"/>
      <c r="AH5" s="48"/>
      <c r="AI5" s="48"/>
      <c r="AJ5" s="49"/>
      <c r="AM5" s="50"/>
      <c r="AN5" s="50"/>
      <c r="AO5" s="42"/>
      <c r="AP5" s="42"/>
    </row>
    <row r="6" spans="1:44" ht="14.4" x14ac:dyDescent="0.25">
      <c r="A6" s="51" t="e">
        <f ca="1">_xll.SNL.Clients.Office.Excel.Functions.SPG($L6, A$3)</f>
        <v>#NAME?</v>
      </c>
      <c r="B6" s="51" t="e">
        <f ca="1">_xll.BDP($K6,B$3)</f>
        <v>#NAME?</v>
      </c>
      <c r="C6" s="51" t="e">
        <f ca="1">_xll.BDP($K6,C$3)</f>
        <v>#NAME?</v>
      </c>
      <c r="D6" s="51" t="e">
        <f ca="1">_xll.BDP($K6,D$3)</f>
        <v>#NAME?</v>
      </c>
      <c r="E6" s="52" t="s">
        <v>58</v>
      </c>
      <c r="F6" s="52" t="s">
        <v>59</v>
      </c>
      <c r="G6" s="52" t="s">
        <v>60</v>
      </c>
      <c r="H6" s="53" t="e">
        <f ca="1">_xll.SNL.Clients.Office.Excel.Functions.SPG($L6, "IQ_TEV", "Options: Curr=USD")</f>
        <v>#NAME?</v>
      </c>
      <c r="I6" s="53" t="e">
        <f ca="1">_xll.SNL.Clients.Office.Excel.Functions.SPG($L6, "SP_MARKETCAP", "Options: Curr=USD")</f>
        <v>#NAME?</v>
      </c>
      <c r="J6" s="54" t="s">
        <v>61</v>
      </c>
      <c r="K6" s="3" t="s">
        <v>62</v>
      </c>
      <c r="L6" s="55" t="s">
        <v>63</v>
      </c>
      <c r="M6" s="56" t="str" cm="1">
        <f t="array" aca="1" ref="M6" ca="1">IFERROR(_xll.SNL.Clients.Office.Excel.Functions.SPG($L6, $M$3)/100,"NA")</f>
        <v>NA</v>
      </c>
      <c r="N6" s="57" t="e" cm="1">
        <f t="array" aca="1" ref="N6" ca="1">_xll.SNL.Clients.Office.Excel.Functions.SPG($L6, "SP_PCFPS_FWD",N$2)</f>
        <v>#NAME?</v>
      </c>
      <c r="O6" s="58" t="e" cm="1">
        <f t="array" aca="1" ref="O6" ca="1">_xll.SNL.Clients.Office.Excel.Functions.SPG($L6, "SP_PCFPS_FWD",O$2)</f>
        <v>#NAME?</v>
      </c>
      <c r="P6" s="59" t="e" cm="1">
        <f t="array" aca="1" ref="P6" ca="1">_xll.SNL.Clients.Office.Excel.Functions.SPG($L6, "SP_PCFPS_FWD",P$2)</f>
        <v>#NAME?</v>
      </c>
      <c r="Q6" s="60" t="e">
        <f ca="1">_xll.SNL.Clients.Office.Excel.Functions.SPG($L6, "SP_FCF_EST",Q$2, "Options: Curr=USD")/1000/$I6</f>
        <v>#NAME?</v>
      </c>
      <c r="R6" s="61" t="e">
        <f ca="1">_xll.SNL.Clients.Office.Excel.Functions.SPG($L6, "SP_FCF_EST",R$2, "Options: Curr=USD")/1000/$I6</f>
        <v>#NAME?</v>
      </c>
      <c r="S6" s="62" t="e">
        <f ca="1">_xll.SNL.Clients.Office.Excel.Functions.SPG($L6, "SP_FCF_EST",S$2, "Options: Curr=USD")/1000/$I6</f>
        <v>#NAME?</v>
      </c>
      <c r="T6" s="57" t="e" cm="1">
        <f t="array" aca="1" ref="T6" ca="1">_xll.SNL.Clients.Office.Excel.Functions.SPG($L6, "SP_PCFPS_FWD",T$2)</f>
        <v>#NAME?</v>
      </c>
      <c r="U6" s="58" t="e" cm="1">
        <f t="array" aca="1" ref="U6" ca="1">_xll.SNL.Clients.Office.Excel.Functions.SPG($L6, "SP_PCFPS_FWD",U$2)</f>
        <v>#NAME?</v>
      </c>
      <c r="V6" s="58" t="e" cm="1">
        <f t="array" aca="1" ref="V6" ca="1">_xll.SNL.Clients.Office.Excel.Functions.SPG($L6, "SP_PCFPS_FWD",V$2)</f>
        <v>#NAME?</v>
      </c>
      <c r="W6" s="63" t="e" cm="1">
        <f t="array" aca="1" ref="W6" ca="1">IF((_xll.SNL.Clients.Office.Excel.Functions.SPG($L6,$W$3,W$4,"Options: Curr=USD") / _xll.SNL.Clients.Office.Excel.Functions.SPG($L6,"SP_EBITDA_EST",W$2,"Options: Curr=USD")) &lt; 0, "NM", (_xll.SNL.Clients.Office.Excel.Functions.SPG($L6,$W$3,W$4,"Options: Curr=USD") / _xll.SNL.Clients.Office.Excel.Functions.SPG($L6,"SP_EBITDA_EST",W$2,"Options: Curr=USD")))</f>
        <v>#NAME?</v>
      </c>
      <c r="X6" s="64" t="e" cm="1">
        <f t="array" aca="1" ref="X6" ca="1">_xll.SNL.Clients.Office.Excel.Functions.SPG($L6, $X$3,X$4)</f>
        <v>#NAME?</v>
      </c>
      <c r="Y6" s="65" t="e">
        <f ca="1">_xll.SNL.Clients.Office.Excel.Functions.SPG($L6, Y$3, $Y$2,$Y$4)/1000</f>
        <v>#NAME?</v>
      </c>
      <c r="Z6" s="65" t="e">
        <f ca="1">_xll.SNL.Clients.Office.Excel.Functions.SPG($L6, Z$3, $Y$2,$Y$4)/1000</f>
        <v>#NAME?</v>
      </c>
      <c r="AA6" s="65" t="e">
        <f ca="1">_xll.SNL.Clients.Office.Excel.Functions.SPG($L6, AA$3, $Y$2,$Y$4)/1000</f>
        <v>#NAME?</v>
      </c>
      <c r="AB6" s="66" t="e">
        <f ca="1">$H6*1000/Y6</f>
        <v>#NAME?</v>
      </c>
      <c r="AC6" s="65" t="e">
        <f t="shared" ref="AC6:AD11" ca="1" si="0">$H6*1000/Z6</f>
        <v>#NAME?</v>
      </c>
      <c r="AD6" s="67" t="e">
        <f t="shared" ca="1" si="0"/>
        <v>#NAME?</v>
      </c>
      <c r="AE6" s="57" t="e" cm="1">
        <f t="array" aca="1" ref="AE6" ca="1">_xll.SNL.Clients.Office.Excel.Functions.SPG($L6, $AE$3,AE$2)</f>
        <v>#NAME?</v>
      </c>
      <c r="AF6" s="68" t="e" cm="1">
        <f t="array" aca="1" ref="AF6" ca="1">_xll.SNL.Clients.Office.Excel.Functions.SPG($L6, $AE$3,AF$2)</f>
        <v>#NAME?</v>
      </c>
      <c r="AG6" s="59" t="e" cm="1">
        <f t="array" aca="1" ref="AG6" ca="1">_xll.SNL.Clients.Office.Excel.Functions.SPG($L6, $AE$3,AG$2)</f>
        <v>#NAME?</v>
      </c>
      <c r="AH6" s="69" t="e">
        <f ca="1">_xll.SNL.Clients.Office.Excel.Functions.SPG($L6,$AH$3,AH$2,$AH$3)</f>
        <v>#NAME?</v>
      </c>
      <c r="AI6" s="69" t="e">
        <f ca="1">_xll.SNL.Clients.Office.Excel.Functions.SPG($L6,$AH$3,AI$2,$AH$4)</f>
        <v>#NAME?</v>
      </c>
      <c r="AJ6" s="70" t="str">
        <f ca="1">IFERROR(AVERAGE(_xll.SNL.Clients.Office.Excel.Functions.SPG($L6,$AJ$4,$AH$4,AJ$2),_xll.SNL.Clients.Office.Excel.Functions.SPG($L6,$AJ$3,$AH$4,AJ$2)),"NA")</f>
        <v>NA</v>
      </c>
      <c r="AK6" s="65"/>
      <c r="AM6" s="71" t="s">
        <v>64</v>
      </c>
      <c r="AN6" s="71"/>
      <c r="AO6" s="72" t="s">
        <v>65</v>
      </c>
      <c r="AP6" s="42"/>
    </row>
    <row r="7" spans="1:44" ht="14.4" x14ac:dyDescent="0.25">
      <c r="A7" s="51" t="e">
        <f ca="1">_xll.SNL.Clients.Office.Excel.Functions.SPG($L7, A$3)</f>
        <v>#NAME?</v>
      </c>
      <c r="B7" s="51" t="e">
        <f ca="1">_xll.BDP($K7,B$3)</f>
        <v>#NAME?</v>
      </c>
      <c r="C7" s="51" t="e">
        <f ca="1">_xll.BDP($K7,C$3)</f>
        <v>#NAME?</v>
      </c>
      <c r="D7" s="51" t="e">
        <f ca="1">_xll.BDP($K7,D$3)</f>
        <v>#NAME?</v>
      </c>
      <c r="E7" s="52" t="s">
        <v>66</v>
      </c>
      <c r="F7" s="52" t="s">
        <v>59</v>
      </c>
      <c r="G7" s="52" t="s">
        <v>60</v>
      </c>
      <c r="H7" s="53" t="e">
        <f ca="1">_xll.SNL.Clients.Office.Excel.Functions.SPG($L7, "IQ_TEV", "Options: Curr=USD")</f>
        <v>#NAME?</v>
      </c>
      <c r="I7" s="53" t="e">
        <f ca="1">_xll.SNL.Clients.Office.Excel.Functions.SPG($L7, "SP_MARKETCAP", "Options: Curr=USD")</f>
        <v>#NAME?</v>
      </c>
      <c r="J7" s="54" t="s">
        <v>67</v>
      </c>
      <c r="K7" s="3" t="s">
        <v>68</v>
      </c>
      <c r="L7" s="55" t="s">
        <v>69</v>
      </c>
      <c r="M7" s="56" t="str" cm="1">
        <f t="array" aca="1" ref="M7" ca="1">IFERROR(_xll.SNL.Clients.Office.Excel.Functions.SPG($L7, $M$3)/100,"NA")</f>
        <v>NA</v>
      </c>
      <c r="N7" s="57" t="e" cm="1">
        <f t="array" aca="1" ref="N7" ca="1">_xll.SNL.Clients.Office.Excel.Functions.SPG($L7, "SP_PCFPS_FWD",N$2)</f>
        <v>#NAME?</v>
      </c>
      <c r="O7" s="58" t="e" cm="1">
        <f t="array" aca="1" ref="O7" ca="1">_xll.SNL.Clients.Office.Excel.Functions.SPG($L7, "SP_PCFPS_FWD",O$2)</f>
        <v>#NAME?</v>
      </c>
      <c r="P7" s="59" t="e" cm="1">
        <f t="array" aca="1" ref="P7" ca="1">_xll.SNL.Clients.Office.Excel.Functions.SPG($L7, "SP_PCFPS_FWD",P$2)</f>
        <v>#NAME?</v>
      </c>
      <c r="Q7" s="60" t="e">
        <f ca="1">_xll.SNL.Clients.Office.Excel.Functions.SPG($L7, "SP_FCF_EST",Q$2, "Options: Curr=USD")/1000/$I7</f>
        <v>#NAME?</v>
      </c>
      <c r="R7" s="60" t="e">
        <f ca="1">_xll.SNL.Clients.Office.Excel.Functions.SPG($L7, "SP_FCF_EST",R$2, "Options: Curr=USD")/1000/$I7</f>
        <v>#NAME?</v>
      </c>
      <c r="S7" s="60" t="e">
        <f ca="1">_xll.SNL.Clients.Office.Excel.Functions.SPG($L7, "SP_FCF_EST",S$2, "Options: Curr=USD")/1000/$I7</f>
        <v>#NAME?</v>
      </c>
      <c r="T7" s="57" t="e" cm="1">
        <f t="array" aca="1" ref="T7" ca="1">_xll.SNL.Clients.Office.Excel.Functions.SPG($L7, "SP_PCFPS_FWD",T$2)</f>
        <v>#NAME?</v>
      </c>
      <c r="U7" s="58" t="e" cm="1">
        <f t="array" aca="1" ref="U7" ca="1">_xll.SNL.Clients.Office.Excel.Functions.SPG($L7, "SP_PCFPS_FWD",U$2)</f>
        <v>#NAME?</v>
      </c>
      <c r="V7" s="58" t="e" cm="1">
        <f t="array" aca="1" ref="V7" ca="1">_xll.SNL.Clients.Office.Excel.Functions.SPG($L7, "SP_PCFPS_FWD",V$2)</f>
        <v>#NAME?</v>
      </c>
      <c r="W7" s="73" t="e" cm="1">
        <f t="array" aca="1" ref="W7" ca="1">IF((_xll.SNL.Clients.Office.Excel.Functions.SPG($L7,$W$3,W$4,"Options: Curr=USD") / _xll.SNL.Clients.Office.Excel.Functions.SPG($L7,"SP_EBITDA_EST",W$2,"Options: Curr=USD")) &lt; 0, "NM", (_xll.SNL.Clients.Office.Excel.Functions.SPG($L7,$W$3,W$4,"Options: Curr=USD") / _xll.SNL.Clients.Office.Excel.Functions.SPG($L7,"SP_EBITDA_EST",W$2,"Options: Curr=USD")))</f>
        <v>#NAME?</v>
      </c>
      <c r="X7" s="64" t="e" cm="1">
        <f t="array" aca="1" ref="X7" ca="1">_xll.SNL.Clients.Office.Excel.Functions.SPG($L7, $X$3,X$4)</f>
        <v>#NAME?</v>
      </c>
      <c r="Y7" s="65" t="e">
        <f ca="1">_xll.SNL.Clients.Office.Excel.Functions.SPG($L7, Y$3, $Y$2,$Y$4)/1000</f>
        <v>#NAME?</v>
      </c>
      <c r="Z7" s="65" t="e">
        <f ca="1">_xll.SNL.Clients.Office.Excel.Functions.SPG($L7, Z$3, $Y$2,$Y$4)/1000</f>
        <v>#NAME?</v>
      </c>
      <c r="AA7" s="65" t="e">
        <f ca="1">_xll.SNL.Clients.Office.Excel.Functions.SPG($L7, AA$3, $Y$2,$Y$4)/1000</f>
        <v>#NAME?</v>
      </c>
      <c r="AB7" s="74" t="e">
        <f t="shared" ref="AB7:AB11" ca="1" si="1">$H7*1000/Y7</f>
        <v>#NAME?</v>
      </c>
      <c r="AC7" s="65" t="e">
        <f t="shared" ca="1" si="0"/>
        <v>#NAME?</v>
      </c>
      <c r="AD7" s="75" t="e">
        <f t="shared" ca="1" si="0"/>
        <v>#NAME?</v>
      </c>
      <c r="AE7" s="57" t="e" cm="1">
        <f t="array" aca="1" ref="AE7" ca="1">_xll.SNL.Clients.Office.Excel.Functions.SPG($L7, $AE$3,AE$2)</f>
        <v>#NAME?</v>
      </c>
      <c r="AF7" s="58" t="e" cm="1">
        <f t="array" aca="1" ref="AF7" ca="1">_xll.SNL.Clients.Office.Excel.Functions.SPG($L7, $AE$3,AF$2)</f>
        <v>#NAME?</v>
      </c>
      <c r="AG7" s="59" t="e" cm="1">
        <f t="array" aca="1" ref="AG7" ca="1">_xll.SNL.Clients.Office.Excel.Functions.SPG($L7, $AE$3,AG$2)</f>
        <v>#NAME?</v>
      </c>
      <c r="AH7" s="69" t="e">
        <f ca="1">_xll.SNL.Clients.Office.Excel.Functions.SPG($L7,$AH$3,AH$2,$AH$4)</f>
        <v>#NAME?</v>
      </c>
      <c r="AI7" s="69" t="e">
        <f ca="1">_xll.SNL.Clients.Office.Excel.Functions.SPG($L7,$AH$3,AI$2,$AH$4)</f>
        <v>#NAME?</v>
      </c>
      <c r="AJ7" s="70" t="str">
        <f ca="1">IFERROR(AVERAGE(_xll.SNL.Clients.Office.Excel.Functions.SPG($L7,$AJ$4,$AH$4,AJ$2),_xll.SNL.Clients.Office.Excel.Functions.SPG($L7,$AJ$3,$AH$4,AJ$2)),"NA")</f>
        <v>NA</v>
      </c>
      <c r="AM7" s="50" t="s">
        <v>70</v>
      </c>
      <c r="AN7" s="50"/>
      <c r="AO7" s="72" t="s">
        <v>65</v>
      </c>
      <c r="AP7" s="42"/>
    </row>
    <row r="8" spans="1:44" ht="14.4" x14ac:dyDescent="0.25">
      <c r="A8" s="51" t="e">
        <f ca="1">_xll.SNL.Clients.Office.Excel.Functions.SPG($L8, A$3)</f>
        <v>#NAME?</v>
      </c>
      <c r="B8" s="51" t="e">
        <f ca="1">_xll.BDP($K8,B$3)</f>
        <v>#NAME?</v>
      </c>
      <c r="C8" s="51" t="e">
        <f ca="1">_xll.BDP($K8,C$3)</f>
        <v>#NAME?</v>
      </c>
      <c r="D8" s="51" t="e">
        <f ca="1">_xll.BDP($K8,D$3)</f>
        <v>#NAME?</v>
      </c>
      <c r="E8" s="52" t="s">
        <v>71</v>
      </c>
      <c r="F8" s="52" t="s">
        <v>72</v>
      </c>
      <c r="G8" s="52" t="s">
        <v>60</v>
      </c>
      <c r="H8" s="53" t="e">
        <f ca="1">_xll.SNL.Clients.Office.Excel.Functions.SPG($L8, "IQ_TEV", "Options: Curr=USD")</f>
        <v>#NAME?</v>
      </c>
      <c r="I8" s="53" t="e">
        <f ca="1">_xll.SNL.Clients.Office.Excel.Functions.SPG($L8, "SP_MARKETCAP", "Options: Curr=USD")</f>
        <v>#NAME?</v>
      </c>
      <c r="J8" s="54" t="s">
        <v>73</v>
      </c>
      <c r="K8" s="3" t="s">
        <v>74</v>
      </c>
      <c r="L8" s="55" t="s">
        <v>75</v>
      </c>
      <c r="M8" s="56" t="str" cm="1">
        <f t="array" aca="1" ref="M8" ca="1">IFERROR(_xll.SNL.Clients.Office.Excel.Functions.SPG($L8, $M$3)/100,"NA")</f>
        <v>NA</v>
      </c>
      <c r="N8" s="57" t="e" cm="1">
        <f t="array" aca="1" ref="N8" ca="1">_xll.SNL.Clients.Office.Excel.Functions.SPG($L8, "SP_PCFPS_FWD",N$2)</f>
        <v>#NAME?</v>
      </c>
      <c r="O8" s="58" t="e" cm="1">
        <f t="array" aca="1" ref="O8" ca="1">_xll.SNL.Clients.Office.Excel.Functions.SPG($L8, "SP_PCFPS_FWD",O$2)</f>
        <v>#NAME?</v>
      </c>
      <c r="P8" s="59" t="e" cm="1">
        <f t="array" aca="1" ref="P8" ca="1">_xll.SNL.Clients.Office.Excel.Functions.SPG($L8, "SP_PCFPS_FWD",P$2)</f>
        <v>#NAME?</v>
      </c>
      <c r="Q8" s="60" t="e">
        <f ca="1">_xll.SNL.Clients.Office.Excel.Functions.SPG($L8, "SP_FCF_EST",Q$2, "Options: Curr=USD")/1000/$I8</f>
        <v>#NAME?</v>
      </c>
      <c r="R8" s="60" t="e">
        <f ca="1">_xll.SNL.Clients.Office.Excel.Functions.SPG($L8, "SP_FCF_EST",R$2, "Options: Curr=USD")/1000/$I8</f>
        <v>#NAME?</v>
      </c>
      <c r="S8" s="60" t="e">
        <f ca="1">_xll.SNL.Clients.Office.Excel.Functions.SPG($L8, "SP_FCF_EST",S$2, "Options: Curr=USD")/1000/$I8</f>
        <v>#NAME?</v>
      </c>
      <c r="T8" s="57" t="e" cm="1">
        <f t="array" aca="1" ref="T8" ca="1">_xll.SNL.Clients.Office.Excel.Functions.SPG($L8, "SP_PCFPS_FWD",T$2)</f>
        <v>#NAME?</v>
      </c>
      <c r="U8" s="58" t="e" cm="1">
        <f t="array" aca="1" ref="U8" ca="1">_xll.SNL.Clients.Office.Excel.Functions.SPG($L8, "SP_PCFPS_FWD",U$2)</f>
        <v>#NAME?</v>
      </c>
      <c r="V8" s="58" t="e" cm="1">
        <f t="array" aca="1" ref="V8" ca="1">_xll.SNL.Clients.Office.Excel.Functions.SPG($L8, "SP_PCFPS_FWD",V$2)</f>
        <v>#NAME?</v>
      </c>
      <c r="W8" s="73" t="e" cm="1">
        <f t="array" aca="1" ref="W8" ca="1">IF((_xll.SNL.Clients.Office.Excel.Functions.SPG($L8,$W$3,W$4,"Options: Curr=USD") / _xll.SNL.Clients.Office.Excel.Functions.SPG($L8,"SP_EBITDA_EST",W$2,"Options: Curr=USD")) &lt; 0, "NM", (_xll.SNL.Clients.Office.Excel.Functions.SPG($L8,$W$3,W$4,"Options: Curr=USD") / _xll.SNL.Clients.Office.Excel.Functions.SPG($L8,"SP_EBITDA_EST",W$2,"Options: Curr=USD")))</f>
        <v>#NAME?</v>
      </c>
      <c r="X8" s="64" t="e" cm="1">
        <f t="array" aca="1" ref="X8" ca="1">_xll.SNL.Clients.Office.Excel.Functions.SPG($L8, $X$3,X$4)</f>
        <v>#NAME?</v>
      </c>
      <c r="Y8" s="65" t="e">
        <f ca="1">_xll.SNL.Clients.Office.Excel.Functions.SPG($L8, Y$3, $Y$2,$Y$4)/1000</f>
        <v>#NAME?</v>
      </c>
      <c r="Z8" s="65" t="e">
        <f ca="1">_xll.SNL.Clients.Office.Excel.Functions.SPG($L8, Z$3, $Y$2,$Y$4)/1000</f>
        <v>#NAME?</v>
      </c>
      <c r="AA8" s="65" t="e">
        <f ca="1">_xll.SNL.Clients.Office.Excel.Functions.SPG($L8, AA$3, $Y$2,$Y$4)/1000</f>
        <v>#NAME?</v>
      </c>
      <c r="AB8" s="74" t="e">
        <f t="shared" ca="1" si="1"/>
        <v>#NAME?</v>
      </c>
      <c r="AC8" s="65" t="e">
        <f t="shared" ca="1" si="0"/>
        <v>#NAME?</v>
      </c>
      <c r="AD8" s="75" t="e">
        <f t="shared" ca="1" si="0"/>
        <v>#NAME?</v>
      </c>
      <c r="AE8" s="57" t="e" cm="1">
        <f t="array" aca="1" ref="AE8" ca="1">_xll.SNL.Clients.Office.Excel.Functions.SPG($L8, $AE$3,AE$2)</f>
        <v>#NAME?</v>
      </c>
      <c r="AF8" s="58" t="e" cm="1">
        <f t="array" aca="1" ref="AF8" ca="1">_xll.SNL.Clients.Office.Excel.Functions.SPG($L8, $AE$3,AF$2)</f>
        <v>#NAME?</v>
      </c>
      <c r="AG8" s="59" t="e" cm="1">
        <f t="array" aca="1" ref="AG8" ca="1">_xll.SNL.Clients.Office.Excel.Functions.SPG($L8, $AE$3,AG$2)</f>
        <v>#NAME?</v>
      </c>
      <c r="AH8" s="69" t="e">
        <f ca="1">_xll.SNL.Clients.Office.Excel.Functions.SPG($L8,$AH$3,AH$2,$AH$4)</f>
        <v>#NAME?</v>
      </c>
      <c r="AI8" s="69" t="e">
        <f ca="1">_xll.SNL.Clients.Office.Excel.Functions.SPG($L8,$AH$3,AI$2,$AH$4)</f>
        <v>#NAME?</v>
      </c>
      <c r="AJ8" s="70" t="str">
        <f ca="1">IFERROR(AVERAGE(_xll.SNL.Clients.Office.Excel.Functions.SPG($L8,$AJ$4,$AH$4,AJ$2),_xll.SNL.Clients.Office.Excel.Functions.SPG($L8,$AJ$3,$AH$4,AJ$2)),"NA")</f>
        <v>NA</v>
      </c>
      <c r="AM8" s="71" t="s">
        <v>64</v>
      </c>
      <c r="AN8" s="71"/>
      <c r="AO8" s="72" t="s">
        <v>65</v>
      </c>
      <c r="AP8" s="42"/>
    </row>
    <row r="9" spans="1:44" ht="14.4" x14ac:dyDescent="0.25">
      <c r="A9" s="51" t="e">
        <f ca="1">_xll.SNL.Clients.Office.Excel.Functions.SPG($L9, A$3)</f>
        <v>#NAME?</v>
      </c>
      <c r="B9" s="51" t="e">
        <f ca="1">_xll.BDP($K9,B$3)</f>
        <v>#NAME?</v>
      </c>
      <c r="C9" s="51" t="e">
        <f ca="1">_xll.BDP($K9,C$3)</f>
        <v>#NAME?</v>
      </c>
      <c r="D9" s="51" t="e">
        <f ca="1">_xll.BDP($K9,D$3)</f>
        <v>#NAME?</v>
      </c>
      <c r="E9" s="52" t="s">
        <v>76</v>
      </c>
      <c r="F9" s="52" t="s">
        <v>72</v>
      </c>
      <c r="G9" s="52" t="s">
        <v>60</v>
      </c>
      <c r="H9" s="53" t="e">
        <f ca="1">_xll.SNL.Clients.Office.Excel.Functions.SPG($L9, "IQ_TEV", "Options: Curr=USD")</f>
        <v>#NAME?</v>
      </c>
      <c r="I9" s="53" t="e">
        <f ca="1">_xll.SNL.Clients.Office.Excel.Functions.SPG($L9, "SP_MARKETCAP", "Options: Curr=USD")</f>
        <v>#NAME?</v>
      </c>
      <c r="J9" s="54" t="s">
        <v>77</v>
      </c>
      <c r="K9" s="3" t="s">
        <v>78</v>
      </c>
      <c r="L9" s="55" t="s">
        <v>79</v>
      </c>
      <c r="M9" s="56" t="str" cm="1">
        <f t="array" aca="1" ref="M9" ca="1">IFERROR(_xll.SNL.Clients.Office.Excel.Functions.SPG($L9, $M$3)/100,"NA")</f>
        <v>NA</v>
      </c>
      <c r="N9" s="57" t="e" cm="1">
        <f t="array" aca="1" ref="N9" ca="1">_xll.SNL.Clients.Office.Excel.Functions.SPG($L9, "SP_PCFPS_FWD",N$2)</f>
        <v>#NAME?</v>
      </c>
      <c r="O9" s="58" t="e" cm="1">
        <f t="array" aca="1" ref="O9" ca="1">_xll.SNL.Clients.Office.Excel.Functions.SPG($L9, "SP_PCFPS_FWD",O$2)</f>
        <v>#NAME?</v>
      </c>
      <c r="P9" s="59" t="e" cm="1">
        <f t="array" aca="1" ref="P9" ca="1">_xll.SNL.Clients.Office.Excel.Functions.SPG($L9, "SP_PCFPS_FWD",P$2)</f>
        <v>#NAME?</v>
      </c>
      <c r="Q9" s="60" t="e">
        <f ca="1">_xll.SNL.Clients.Office.Excel.Functions.SPG($L9, "SP_FCF_EST",Q$2, "Options: Curr=USD")/1000/$I9</f>
        <v>#NAME?</v>
      </c>
      <c r="R9" s="60" t="e">
        <f ca="1">_xll.SNL.Clients.Office.Excel.Functions.SPG($L9, "SP_FCF_EST",R$2, "Options: Curr=USD")/1000/$I9</f>
        <v>#NAME?</v>
      </c>
      <c r="S9" s="60" t="e">
        <f ca="1">_xll.SNL.Clients.Office.Excel.Functions.SPG($L9, "SP_FCF_EST",S$2, "Options: Curr=USD")/1000/$I9</f>
        <v>#NAME?</v>
      </c>
      <c r="T9" s="57" t="e" cm="1">
        <f t="array" aca="1" ref="T9" ca="1">_xll.SNL.Clients.Office.Excel.Functions.SPG($L9, "SP_PCFPS_FWD",T$2)</f>
        <v>#NAME?</v>
      </c>
      <c r="U9" s="58" t="e" cm="1">
        <f t="array" aca="1" ref="U9" ca="1">_xll.SNL.Clients.Office.Excel.Functions.SPG($L9, "SP_PCFPS_FWD",U$2)</f>
        <v>#NAME?</v>
      </c>
      <c r="V9" s="58" t="e" cm="1">
        <f t="array" aca="1" ref="V9" ca="1">_xll.SNL.Clients.Office.Excel.Functions.SPG($L9, "SP_PCFPS_FWD",V$2)</f>
        <v>#NAME?</v>
      </c>
      <c r="W9" s="73" t="e" cm="1">
        <f t="array" aca="1" ref="W9" ca="1">IF((_xll.SNL.Clients.Office.Excel.Functions.SPG($L9,$W$3,W$4,"Options: Curr=USD") / _xll.SNL.Clients.Office.Excel.Functions.SPG($L9,"SP_EBITDA_EST",W$2,"Options: Curr=USD")) &lt; 0, "NM", (_xll.SNL.Clients.Office.Excel.Functions.SPG($L9,$W$3,W$4,"Options: Curr=USD") / _xll.SNL.Clients.Office.Excel.Functions.SPG($L9,"SP_EBITDA_EST",W$2,"Options: Curr=USD")))</f>
        <v>#NAME?</v>
      </c>
      <c r="X9" s="64" t="e" cm="1">
        <f t="array" aca="1" ref="X9" ca="1">_xll.SNL.Clients.Office.Excel.Functions.SPG($L9, $X$3,X$4)</f>
        <v>#NAME?</v>
      </c>
      <c r="Y9" s="65" t="e">
        <f ca="1">_xll.SNL.Clients.Office.Excel.Functions.SPG($L9, Y$3, $Y$2,$Y$4)/1000</f>
        <v>#NAME?</v>
      </c>
      <c r="Z9" s="65" t="e">
        <f ca="1">_xll.SNL.Clients.Office.Excel.Functions.SPG($L9, Z$3, $Y$2,$Y$4)/1000</f>
        <v>#NAME?</v>
      </c>
      <c r="AA9" s="65" t="e">
        <f ca="1">_xll.SNL.Clients.Office.Excel.Functions.SPG($L9, AA$3, $Y$2,$Y$4)/1000</f>
        <v>#NAME?</v>
      </c>
      <c r="AB9" s="74" t="e">
        <f t="shared" ca="1" si="1"/>
        <v>#NAME?</v>
      </c>
      <c r="AC9" s="65" t="e">
        <f t="shared" ca="1" si="0"/>
        <v>#NAME?</v>
      </c>
      <c r="AD9" s="75" t="e">
        <f t="shared" ca="1" si="0"/>
        <v>#NAME?</v>
      </c>
      <c r="AE9" s="57" t="e" cm="1">
        <f t="array" aca="1" ref="AE9" ca="1">_xll.SNL.Clients.Office.Excel.Functions.SPG($L9, $AE$3,AE$2)</f>
        <v>#NAME?</v>
      </c>
      <c r="AF9" s="58" t="e" cm="1">
        <f t="array" aca="1" ref="AF9" ca="1">_xll.SNL.Clients.Office.Excel.Functions.SPG($L9, $AE$3,AF$2)</f>
        <v>#NAME?</v>
      </c>
      <c r="AG9" s="59" t="e" cm="1">
        <f t="array" aca="1" ref="AG9" ca="1">_xll.SNL.Clients.Office.Excel.Functions.SPG($L9, $AE$3,AG$2)</f>
        <v>#NAME?</v>
      </c>
      <c r="AH9" s="69" t="e">
        <f ca="1">_xll.SNL.Clients.Office.Excel.Functions.SPG($L9,$AH$3,AH$2,$AH$4)</f>
        <v>#NAME?</v>
      </c>
      <c r="AI9" s="69" t="e">
        <f ca="1">_xll.SNL.Clients.Office.Excel.Functions.SPG($L9,$AH$3,AI$2,$AH$4)</f>
        <v>#NAME?</v>
      </c>
      <c r="AJ9" s="70" t="str">
        <f ca="1">IFERROR(AVERAGE(_xll.SNL.Clients.Office.Excel.Functions.SPG($L9,$AJ$4,$AH$4,AJ$2),_xll.SNL.Clients.Office.Excel.Functions.SPG($L9,$AJ$3,$AH$4,AJ$2)),"NA")</f>
        <v>NA</v>
      </c>
      <c r="AM9" s="71" t="s">
        <v>64</v>
      </c>
      <c r="AN9" s="71"/>
      <c r="AO9" s="72" t="s">
        <v>65</v>
      </c>
      <c r="AP9" s="42"/>
    </row>
    <row r="10" spans="1:44" ht="14.4" x14ac:dyDescent="0.25">
      <c r="A10" s="51" t="e">
        <f ca="1">_xll.SNL.Clients.Office.Excel.Functions.SPG($L10, A$3)</f>
        <v>#NAME?</v>
      </c>
      <c r="B10" s="51" t="e">
        <f ca="1">_xll.BDP($K10,B$3)</f>
        <v>#NAME?</v>
      </c>
      <c r="C10" s="51" t="e">
        <f ca="1">_xll.BDP($K10,C$3)</f>
        <v>#NAME?</v>
      </c>
      <c r="D10" s="51" t="e">
        <f ca="1">_xll.BDP($K10,D$3)</f>
        <v>#NAME?</v>
      </c>
      <c r="E10" s="52" t="s">
        <v>80</v>
      </c>
      <c r="F10" s="52" t="s">
        <v>59</v>
      </c>
      <c r="G10" s="52" t="s">
        <v>66</v>
      </c>
      <c r="H10" s="53" t="e">
        <f ca="1">_xll.SNL.Clients.Office.Excel.Functions.SPG($L10, "IQ_TEV", "Options: Curr=USD")</f>
        <v>#NAME?</v>
      </c>
      <c r="I10" s="53" t="e">
        <f ca="1">_xll.SNL.Clients.Office.Excel.Functions.SPG($L10, "SP_MARKETCAP", "Options: Curr=USD")</f>
        <v>#NAME?</v>
      </c>
      <c r="J10" s="54" t="s">
        <v>81</v>
      </c>
      <c r="K10" s="3" t="s">
        <v>82</v>
      </c>
      <c r="L10" s="55" t="s">
        <v>83</v>
      </c>
      <c r="M10" s="56" t="str" cm="1">
        <f t="array" aca="1" ref="M10" ca="1">IFERROR(_xll.SNL.Clients.Office.Excel.Functions.SPG($L10, $M$3)/100,"NA")</f>
        <v>NA</v>
      </c>
      <c r="N10" s="57" t="e" cm="1">
        <f t="array" aca="1" ref="N10" ca="1">_xll.SNL.Clients.Office.Excel.Functions.SPG($L10, "SP_PCFPS_FWD",N$2)</f>
        <v>#NAME?</v>
      </c>
      <c r="O10" s="58" t="e" cm="1">
        <f t="array" aca="1" ref="O10" ca="1">_xll.SNL.Clients.Office.Excel.Functions.SPG($L10, "SP_PCFPS_FWD",O$2)</f>
        <v>#NAME?</v>
      </c>
      <c r="P10" s="59" t="e" cm="1">
        <f t="array" aca="1" ref="P10" ca="1">_xll.SNL.Clients.Office.Excel.Functions.SPG($L10, "SP_PCFPS_FWD",P$2)</f>
        <v>#NAME?</v>
      </c>
      <c r="Q10" s="60" t="e">
        <f ca="1">_xll.SNL.Clients.Office.Excel.Functions.SPG($L10, "SP_FCF_EST",Q$2, "Options: Curr=USD")/1000/$I10</f>
        <v>#NAME?</v>
      </c>
      <c r="R10" s="60" t="e">
        <f ca="1">_xll.SNL.Clients.Office.Excel.Functions.SPG($L10, "SP_FCF_EST",R$2, "Options: Curr=USD")/1000/$I10</f>
        <v>#NAME?</v>
      </c>
      <c r="S10" s="60" t="e">
        <f ca="1">_xll.SNL.Clients.Office.Excel.Functions.SPG($L10, "SP_FCF_EST",S$2, "Options: Curr=USD")/1000/$I10</f>
        <v>#NAME?</v>
      </c>
      <c r="T10" s="57" t="e" cm="1">
        <f t="array" aca="1" ref="T10" ca="1">_xll.SNL.Clients.Office.Excel.Functions.SPG($L10, "SP_PCFPS_FWD",T$2)</f>
        <v>#NAME?</v>
      </c>
      <c r="U10" s="58" t="e" cm="1">
        <f t="array" aca="1" ref="U10" ca="1">_xll.SNL.Clients.Office.Excel.Functions.SPG($L10, "SP_PCFPS_FWD",U$2)</f>
        <v>#NAME?</v>
      </c>
      <c r="V10" s="58" t="e" cm="1">
        <f t="array" aca="1" ref="V10" ca="1">_xll.SNL.Clients.Office.Excel.Functions.SPG($L10, "SP_PCFPS_FWD",V$2)</f>
        <v>#NAME?</v>
      </c>
      <c r="W10" s="73" t="e" cm="1">
        <f t="array" aca="1" ref="W10" ca="1">IF((_xll.SNL.Clients.Office.Excel.Functions.SPG($L10,$W$3,W$4,"Options: Curr=USD") / _xll.SNL.Clients.Office.Excel.Functions.SPG($L10,"SP_EBITDA_EST",W$2,"Options: Curr=USD")) &lt; 0, "NM", (_xll.SNL.Clients.Office.Excel.Functions.SPG($L10,$W$3,W$4,"Options: Curr=USD") / _xll.SNL.Clients.Office.Excel.Functions.SPG($L10,"SP_EBITDA_EST",W$2,"Options: Curr=USD")))</f>
        <v>#NAME?</v>
      </c>
      <c r="X10" s="64" t="e" cm="1">
        <f t="array" aca="1" ref="X10" ca="1">_xll.SNL.Clients.Office.Excel.Functions.SPG($L10, $X$3,X$4)</f>
        <v>#NAME?</v>
      </c>
      <c r="Y10" s="65" t="e">
        <f ca="1">_xll.SNL.Clients.Office.Excel.Functions.SPG($L10, Y$3, $Y$2,$Y$4)/1000</f>
        <v>#NAME?</v>
      </c>
      <c r="Z10" s="65" t="e">
        <f ca="1">_xll.SNL.Clients.Office.Excel.Functions.SPG($L10, Z$3, $Y$2,$Y$4)/1000</f>
        <v>#NAME?</v>
      </c>
      <c r="AA10" s="65" t="e">
        <f ca="1">_xll.SNL.Clients.Office.Excel.Functions.SPG($L10, AA$3, $Y$2,$Y$4)/1000</f>
        <v>#NAME?</v>
      </c>
      <c r="AB10" s="74" t="e">
        <f t="shared" ca="1" si="1"/>
        <v>#NAME?</v>
      </c>
      <c r="AC10" s="65" t="e">
        <f t="shared" ca="1" si="0"/>
        <v>#NAME?</v>
      </c>
      <c r="AD10" s="75" t="e">
        <f t="shared" ca="1" si="0"/>
        <v>#NAME?</v>
      </c>
      <c r="AE10" s="57" t="e" cm="1">
        <f t="array" aca="1" ref="AE10" ca="1">_xll.SNL.Clients.Office.Excel.Functions.SPG($L10, $AE$3,AE$2)</f>
        <v>#NAME?</v>
      </c>
      <c r="AF10" s="58" t="e" cm="1">
        <f t="array" aca="1" ref="AF10" ca="1">_xll.SNL.Clients.Office.Excel.Functions.SPG($L10, $AE$3,AF$2)</f>
        <v>#NAME?</v>
      </c>
      <c r="AG10" s="59" t="e" cm="1">
        <f t="array" aca="1" ref="AG10" ca="1">_xll.SNL.Clients.Office.Excel.Functions.SPG($L10, $AE$3,AG$2)</f>
        <v>#NAME?</v>
      </c>
      <c r="AH10" s="69" t="e">
        <f ca="1">_xll.SNL.Clients.Office.Excel.Functions.SPG($L10,$AH$3,AH$2,$AH$4)</f>
        <v>#NAME?</v>
      </c>
      <c r="AI10" s="69" t="e">
        <f ca="1">_xll.SNL.Clients.Office.Excel.Functions.SPG($L10,$AH$3,AI$2,$AH$4)</f>
        <v>#NAME?</v>
      </c>
      <c r="AJ10" s="70" t="str">
        <f ca="1">IFERROR(AVERAGE(_xll.SNL.Clients.Office.Excel.Functions.SPG($L10,$AJ$4,$AH$4,AJ$2),_xll.SNL.Clients.Office.Excel.Functions.SPG($L10,$AJ$3,$AH$4,AJ$2)),"NA")</f>
        <v>NA</v>
      </c>
      <c r="AM10" s="50" t="s">
        <v>70</v>
      </c>
      <c r="AN10" s="50"/>
      <c r="AO10" s="72" t="s">
        <v>65</v>
      </c>
      <c r="AP10" s="42"/>
    </row>
    <row r="11" spans="1:44" ht="14.4" hidden="1" outlineLevel="1" x14ac:dyDescent="0.25">
      <c r="A11" s="51" t="e">
        <f ca="1">_xll.SNL.Clients.Office.Excel.Functions.SPG($L11, A$3)</f>
        <v>#NAME?</v>
      </c>
      <c r="B11" s="51" t="e">
        <f ca="1">_xll.BDP($K11,B$3)</f>
        <v>#NAME?</v>
      </c>
      <c r="C11" s="51" t="e">
        <f ca="1">_xll.BDP($K11,C$3)</f>
        <v>#NAME?</v>
      </c>
      <c r="D11" s="51" t="e">
        <f ca="1">_xll.BDP($K11,D$3)</f>
        <v>#NAME?</v>
      </c>
      <c r="E11" s="52" t="s">
        <v>84</v>
      </c>
      <c r="F11" s="52" t="s">
        <v>72</v>
      </c>
      <c r="G11" s="52" t="s">
        <v>85</v>
      </c>
      <c r="H11" s="53" t="e">
        <f ca="1">_xll.SNL.Clients.Office.Excel.Functions.SPG($L11, "IQ_TEV", "Options: Curr=USD")</f>
        <v>#NAME?</v>
      </c>
      <c r="I11" s="53" t="e">
        <f ca="1">_xll.SNL.Clients.Office.Excel.Functions.SPG($L11, "SP_MARKETCAP", "Options: Curr=USD")</f>
        <v>#NAME?</v>
      </c>
      <c r="J11" s="54" t="s">
        <v>86</v>
      </c>
      <c r="K11" s="3" t="s">
        <v>87</v>
      </c>
      <c r="L11" s="55" t="s">
        <v>88</v>
      </c>
      <c r="M11" s="56" t="str" cm="1">
        <f t="array" aca="1" ref="M11" ca="1">IFERROR(_xll.SNL.Clients.Office.Excel.Functions.SPG($L11, $M$3)/100,"NA")</f>
        <v>NA</v>
      </c>
      <c r="N11" s="57" t="e" cm="1">
        <f t="array" aca="1" ref="N11" ca="1">_xll.SNL.Clients.Office.Excel.Functions.SPG($L11, "SP_PCFPS_FWD",N$2)</f>
        <v>#NAME?</v>
      </c>
      <c r="O11" s="58" t="e" cm="1">
        <f t="array" aca="1" ref="O11" ca="1">_xll.SNL.Clients.Office.Excel.Functions.SPG($L11, "SP_PCFPS_FWD",O$2)</f>
        <v>#NAME?</v>
      </c>
      <c r="P11" s="59" t="e" cm="1">
        <f t="array" aca="1" ref="P11" ca="1">_xll.SNL.Clients.Office.Excel.Functions.SPG($L11, "SP_PCFPS_FWD",P$2)</f>
        <v>#NAME?</v>
      </c>
      <c r="Q11" s="76" t="e">
        <f ca="1">_xll.SNL.Clients.Office.Excel.Functions.SPG($L11, "SP_FCF_EST",Q$2, "Options: Curr=USD")/1000/$I11</f>
        <v>#NAME?</v>
      </c>
      <c r="R11" s="60" t="e">
        <f ca="1">_xll.SNL.Clients.Office.Excel.Functions.SPG($L11, "SP_FCF_EST",R$2, "Options: Curr=USD")/1000/$I11</f>
        <v>#NAME?</v>
      </c>
      <c r="S11" s="60" t="e">
        <f ca="1">_xll.SNL.Clients.Office.Excel.Functions.SPG($L11, "SP_FCF_EST",S$2, "Options: Curr=USD")/1000/$I11</f>
        <v>#NAME?</v>
      </c>
      <c r="T11" s="57" t="e" cm="1">
        <f t="array" aca="1" ref="T11" ca="1">_xll.SNL.Clients.Office.Excel.Functions.SPG($L11, "SP_PCFPS_FWD",T$2)</f>
        <v>#NAME?</v>
      </c>
      <c r="U11" s="58" t="e" cm="1">
        <f t="array" aca="1" ref="U11" ca="1">_xll.SNL.Clients.Office.Excel.Functions.SPG($L11, "SP_PCFPS_FWD",U$2)</f>
        <v>#NAME?</v>
      </c>
      <c r="V11" s="58" t="e" cm="1">
        <f t="array" aca="1" ref="V11" ca="1">_xll.SNL.Clients.Office.Excel.Functions.SPG($L11, "SP_PCFPS_FWD",V$2)</f>
        <v>#NAME?</v>
      </c>
      <c r="W11" s="77" t="e" cm="1">
        <f t="array" aca="1" ref="W11" ca="1">IF((_xll.SNL.Clients.Office.Excel.Functions.SPG($L11,$W$3,W$4,"Options: Curr=USD") / _xll.SNL.Clients.Office.Excel.Functions.SPG($L11,"SP_EBITDA_EST",W$2,"Options: Curr=USD")) &lt; 0, "NM", (_xll.SNL.Clients.Office.Excel.Functions.SPG($L11,$W$3,W$4,"Options: Curr=USD") / _xll.SNL.Clients.Office.Excel.Functions.SPG($L11,"SP_EBITDA_EST",W$2,"Options: Curr=USD")))</f>
        <v>#NAME?</v>
      </c>
      <c r="X11" s="64" t="e" cm="1">
        <f t="array" aca="1" ref="X11" ca="1">_xll.SNL.Clients.Office.Excel.Functions.SPG($L11, $X$3,X$4)</f>
        <v>#NAME?</v>
      </c>
      <c r="Y11" s="65" t="e">
        <f ca="1">_xll.SNL.Clients.Office.Excel.Functions.SPG($L11, Y$3, $Y$2,$Y$4)/1000</f>
        <v>#NAME?</v>
      </c>
      <c r="Z11" s="65" t="e">
        <f ca="1">_xll.SNL.Clients.Office.Excel.Functions.SPG($L11, Z$3, $Y$2,$Y$4)/1000</f>
        <v>#NAME?</v>
      </c>
      <c r="AA11" s="65" t="e">
        <f ca="1">_xll.SNL.Clients.Office.Excel.Functions.SPG($L11, AA$3, $Y$2,$Y$4)/1000</f>
        <v>#NAME?</v>
      </c>
      <c r="AB11" s="74" t="e">
        <f t="shared" ca="1" si="1"/>
        <v>#NAME?</v>
      </c>
      <c r="AC11" s="65" t="e">
        <f t="shared" ca="1" si="0"/>
        <v>#NAME?</v>
      </c>
      <c r="AD11" s="75" t="e">
        <f t="shared" ca="1" si="0"/>
        <v>#NAME?</v>
      </c>
      <c r="AE11" s="57" t="e" cm="1">
        <f t="array" aca="1" ref="AE11" ca="1">_xll.SNL.Clients.Office.Excel.Functions.SPG($L11, $AE$3,AE$2)</f>
        <v>#NAME?</v>
      </c>
      <c r="AF11" s="58" t="e" cm="1">
        <f t="array" aca="1" ref="AF11" ca="1">_xll.SNL.Clients.Office.Excel.Functions.SPG($L11, $AE$3,AF$2)</f>
        <v>#NAME?</v>
      </c>
      <c r="AG11" s="59" t="e" cm="1">
        <f t="array" aca="1" ref="AG11" ca="1">_xll.SNL.Clients.Office.Excel.Functions.SPG($L11, $AE$3,AG$2)</f>
        <v>#NAME?</v>
      </c>
      <c r="AH11" s="69" t="e">
        <f ca="1">_xll.SNL.Clients.Office.Excel.Functions.SPG($L11,$AH$3,AH$2,$AH$4)</f>
        <v>#NAME?</v>
      </c>
      <c r="AI11" s="69" t="e">
        <f ca="1">_xll.SNL.Clients.Office.Excel.Functions.SPG($L11,$AH$3,AI$2,$AH$4)</f>
        <v>#NAME?</v>
      </c>
      <c r="AJ11" s="70" t="str">
        <f ca="1">IFERROR(AVERAGE(_xll.SNL.Clients.Office.Excel.Functions.SPG($L11,$AJ$4,$AH$4,AJ$2),_xll.SNL.Clients.Office.Excel.Functions.SPG($L11,$AJ$3,$AH$4,AJ$2)),"NA")</f>
        <v>NA</v>
      </c>
      <c r="AM11" s="71" t="s">
        <v>64</v>
      </c>
      <c r="AN11" s="71"/>
      <c r="AO11" s="72" t="s">
        <v>89</v>
      </c>
      <c r="AP11" s="42"/>
    </row>
    <row r="12" spans="1:44" collapsed="1" x14ac:dyDescent="0.25">
      <c r="A12" s="51"/>
      <c r="B12" s="51"/>
      <c r="C12" s="51"/>
      <c r="D12" s="51"/>
      <c r="E12" s="52"/>
      <c r="F12" s="52"/>
      <c r="G12" s="52"/>
      <c r="H12" s="53"/>
      <c r="I12" s="53"/>
      <c r="J12" s="78"/>
      <c r="K12" s="78"/>
      <c r="L12" s="78" t="s">
        <v>90</v>
      </c>
      <c r="M12" s="79" t="e">
        <f t="shared" ref="M12:V12" ca="1" si="2">AVERAGE(M6:M11)</f>
        <v>#DIV/0!</v>
      </c>
      <c r="N12" s="80" t="e">
        <f t="shared" ca="1" si="2"/>
        <v>#NAME?</v>
      </c>
      <c r="O12" s="81" t="e">
        <f t="shared" ca="1" si="2"/>
        <v>#NAME?</v>
      </c>
      <c r="P12" s="82" t="e">
        <f t="shared" ca="1" si="2"/>
        <v>#NAME?</v>
      </c>
      <c r="Q12" s="83" t="e">
        <f t="shared" ca="1" si="2"/>
        <v>#NAME?</v>
      </c>
      <c r="R12" s="83" t="e">
        <f t="shared" ca="1" si="2"/>
        <v>#NAME?</v>
      </c>
      <c r="S12" s="83" t="e">
        <f t="shared" ca="1" si="2"/>
        <v>#NAME?</v>
      </c>
      <c r="T12" s="80" t="e">
        <f t="shared" ca="1" si="2"/>
        <v>#NAME?</v>
      </c>
      <c r="U12" s="81" t="e">
        <f t="shared" ca="1" si="2"/>
        <v>#NAME?</v>
      </c>
      <c r="V12" s="81" t="e">
        <f t="shared" ca="1" si="2"/>
        <v>#NAME?</v>
      </c>
      <c r="W12" s="81"/>
      <c r="X12" s="81"/>
      <c r="AB12" s="84" t="e" cm="1">
        <f t="array" aca="1" ref="AB12" ca="1">AVERAGE(IFERROR(AB6:AB11, ""))</f>
        <v>#DIV/0!</v>
      </c>
      <c r="AC12" s="85" t="e" cm="1">
        <f t="array" aca="1" ref="AC12" ca="1">AVERAGE(IFERROR(AC6:AC11, ""))</f>
        <v>#DIV/0!</v>
      </c>
      <c r="AD12" s="86" t="e" cm="1">
        <f t="array" aca="1" ref="AD12" ca="1">AVERAGE(IFERROR(AD6:AD11, ""))</f>
        <v>#DIV/0!</v>
      </c>
      <c r="AE12" s="80" t="e" cm="1">
        <f t="array" aca="1" ref="AE12" ca="1">AVERAGE(IFERROR(AE6:AE11, ""))</f>
        <v>#DIV/0!</v>
      </c>
      <c r="AF12" s="81" t="e" cm="1">
        <f t="array" aca="1" ref="AF12" ca="1">AVERAGE(IFERROR(AF6:AF11, ""))</f>
        <v>#DIV/0!</v>
      </c>
      <c r="AG12" s="82" t="e" cm="1">
        <f t="array" aca="1" ref="AG12" ca="1">AVERAGE(IFERROR(AG6:AG11, ""))</f>
        <v>#DIV/0!</v>
      </c>
      <c r="AH12" s="81" t="e" cm="1">
        <f t="array" aca="1" ref="AH12" ca="1">AVERAGE(IFERROR(AH6:AH11, ""))</f>
        <v>#DIV/0!</v>
      </c>
      <c r="AI12" s="81" t="e" cm="1">
        <f t="array" aca="1" ref="AI12" ca="1">AVERAGE(IFERROR(AI6:AI11, ""))</f>
        <v>#DIV/0!</v>
      </c>
      <c r="AJ12" s="82" t="e" cm="1">
        <f t="array" aca="1" ref="AJ12" ca="1">AVERAGE(IFERROR(AJ6:AJ11, ""))</f>
        <v>#DIV/0!</v>
      </c>
      <c r="AM12" s="50"/>
      <c r="AN12" s="50"/>
      <c r="AO12" s="42"/>
      <c r="AP12" s="42"/>
    </row>
    <row r="13" spans="1:44" ht="16.8" x14ac:dyDescent="0.25">
      <c r="A13" s="51"/>
      <c r="B13" s="51"/>
      <c r="C13" s="51"/>
      <c r="D13" s="51"/>
      <c r="E13" s="52"/>
      <c r="F13" s="52"/>
      <c r="G13" s="52"/>
      <c r="J13" s="44" t="s">
        <v>91</v>
      </c>
      <c r="K13" s="44"/>
      <c r="L13" s="45"/>
      <c r="M13" s="46"/>
      <c r="N13" s="47"/>
      <c r="O13" s="48"/>
      <c r="P13" s="48"/>
      <c r="Q13" s="48"/>
      <c r="R13" s="48"/>
      <c r="S13" s="48"/>
      <c r="T13" s="47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9"/>
      <c r="AH13" s="48"/>
      <c r="AI13" s="48"/>
      <c r="AJ13" s="49"/>
      <c r="AM13" s="50"/>
      <c r="AN13" s="50"/>
      <c r="AO13" s="42"/>
      <c r="AP13" s="42"/>
    </row>
    <row r="14" spans="1:44" ht="14.4" x14ac:dyDescent="0.25">
      <c r="A14" s="51" t="e">
        <f ca="1">_xll.SNL.Clients.Office.Excel.Functions.SPG($L14, A$3)</f>
        <v>#NAME?</v>
      </c>
      <c r="B14" s="51" t="e">
        <f ca="1">_xll.BDP($K14,B$3)</f>
        <v>#NAME?</v>
      </c>
      <c r="C14" s="51" t="e">
        <f ca="1">_xll.BDP($K14,C$3)</f>
        <v>#NAME?</v>
      </c>
      <c r="D14" s="51" t="e">
        <f ca="1">_xll.BDP($K14,D$3)</f>
        <v>#NAME?</v>
      </c>
      <c r="E14" s="52" t="s">
        <v>92</v>
      </c>
      <c r="F14" s="52" t="s">
        <v>72</v>
      </c>
      <c r="G14" s="52" t="s">
        <v>60</v>
      </c>
      <c r="H14" s="53" t="e">
        <f ca="1">_xll.SNL.Clients.Office.Excel.Functions.SPG($L14, "IQ_TEV", "Options: Curr=USD")</f>
        <v>#NAME?</v>
      </c>
      <c r="I14" s="53" t="e">
        <f ca="1">_xll.SNL.Clients.Office.Excel.Functions.SPG($L14, "SP_MARKETCAP", "Options: Curr=USD")</f>
        <v>#NAME?</v>
      </c>
      <c r="J14" s="54" t="s">
        <v>93</v>
      </c>
      <c r="K14" s="3" t="s">
        <v>94</v>
      </c>
      <c r="L14" s="55" t="s">
        <v>95</v>
      </c>
      <c r="M14" s="56" t="str" cm="1">
        <f t="array" aca="1" ref="M14" ca="1">IFERROR(_xll.SNL.Clients.Office.Excel.Functions.SPG($L14, $M$3)/100,"NA")</f>
        <v>NA</v>
      </c>
      <c r="N14" s="57" t="e" cm="1">
        <f t="array" aca="1" ref="N14" ca="1">_xll.SNL.Clients.Office.Excel.Functions.SPG($L14, "SP_PCFPS_FWD","FY2024")</f>
        <v>#NAME?</v>
      </c>
      <c r="O14" s="58" t="e" cm="1">
        <f t="array" aca="1" ref="O14" ca="1">_xll.SNL.Clients.Office.Excel.Functions.SPG($L14, "SP_PCFPS_FWD","FY2025")</f>
        <v>#NAME?</v>
      </c>
      <c r="P14" s="58" t="e" cm="1">
        <f t="array" aca="1" ref="P14" ca="1">_xll.SNL.Clients.Office.Excel.Functions.SPG($L14, "SP_PCFPS_FWD","FY2025")</f>
        <v>#NAME?</v>
      </c>
      <c r="Q14" s="76" t="str">
        <f ca="1">IFERROR(_xll.SNL.Clients.Office.Excel.Functions.SPG($L14, "SP_FCF_EST",Q$2, "Options: Curr=USD")/1000/$I14,"NA")</f>
        <v>NA</v>
      </c>
      <c r="R14" s="60" t="str">
        <f ca="1">IFERROR(_xll.SNL.Clients.Office.Excel.Functions.SPG($L14, "SP_FCF_EST",R$2, "Options: Curr=USD")/1000/$I14,"NA")</f>
        <v>NA</v>
      </c>
      <c r="S14" s="62" t="e">
        <f ca="1">_xll.SNL.Clients.Office.Excel.Functions.SPG($L14, "SP_FCF_EST",S$2, "Options: Curr=USD")/1000/$I14</f>
        <v>#NAME?</v>
      </c>
      <c r="T14" s="57" t="e" cm="1">
        <f t="array" aca="1" ref="T14" ca="1">_xll.SNL.Clients.Office.Excel.Functions.SPG($L14, "SP_PE_FWD","FY2024")</f>
        <v>#NAME?</v>
      </c>
      <c r="U14" s="58" t="e" cm="1">
        <f t="array" aca="1" ref="U14" ca="1">_xll.SNL.Clients.Office.Excel.Functions.SPG($L14, "SP_PE_FWD","FY2025")</f>
        <v>#NAME?</v>
      </c>
      <c r="V14" s="58" t="e" cm="1">
        <f t="array" aca="1" ref="V14" ca="1">_xll.SNL.Clients.Office.Excel.Functions.SPG($L14, "SP_PCFPS_FWD",V$2)</f>
        <v>#NAME?</v>
      </c>
      <c r="W14" s="63" t="e" cm="1">
        <f t="array" aca="1" ref="W14" ca="1">IF((_xll.SNL.Clients.Office.Excel.Functions.SPG($L14,$W$3,W$4,"Options: Curr=USD") / _xll.SNL.Clients.Office.Excel.Functions.SPG($L14,"SP_EBITDA_EST",W$2,"Options: Curr=USD")) &lt; 0, "NM", (_xll.SNL.Clients.Office.Excel.Functions.SPG($L14,$W$3,W$4,"Options: Curr=USD") / _xll.SNL.Clients.Office.Excel.Functions.SPG($L14,"SP_EBITDA_EST",W$2,"Options: Curr=USD")))</f>
        <v>#NAME?</v>
      </c>
      <c r="X14" s="64" t="e" cm="1">
        <f t="array" aca="1" ref="X14" ca="1">_xll.SNL.Clients.Office.Excel.Functions.SPG($L14, $X$3,X$4)</f>
        <v>#NAME?</v>
      </c>
      <c r="Y14" s="65" t="e">
        <f ca="1">_xll.SNL.Clients.Office.Excel.Functions.SPG($L14, Y$3, $Y$2,$Y$4)/1000</f>
        <v>#NAME?</v>
      </c>
      <c r="Z14" s="65" t="e">
        <f ca="1">_xll.SNL.Clients.Office.Excel.Functions.SPG($L14, Z$3, $Y$2,$Y$4)/1000</f>
        <v>#NAME?</v>
      </c>
      <c r="AA14" s="65" t="e">
        <f ca="1">_xll.SNL.Clients.Office.Excel.Functions.SPG($L14, AA$3, $Y$2,$Y$4)/1000</f>
        <v>#NAME?</v>
      </c>
      <c r="AB14" s="66" t="str">
        <f ca="1">IFERROR($H14*1000/Y14,"NA")</f>
        <v>NA</v>
      </c>
      <c r="AC14" s="65" t="str">
        <f ca="1">IFERROR($H14*1000/Z14,"NA")</f>
        <v>NA</v>
      </c>
      <c r="AD14" s="67" t="str">
        <f ca="1">IFERROR($H14*1000/AA14,"NA")</f>
        <v>NA</v>
      </c>
      <c r="AE14" s="57" t="e" cm="1">
        <f t="array" aca="1" ref="AE14" ca="1">_xll.SNL.Clients.Office.Excel.Functions.SPG($L14, $AE$3,AE$2)</f>
        <v>#NAME?</v>
      </c>
      <c r="AF14" s="68" t="e" cm="1">
        <f t="array" aca="1" ref="AF14" ca="1">_xll.SNL.Clients.Office.Excel.Functions.SPG($L14, $AE$3,AF$2)</f>
        <v>#NAME?</v>
      </c>
      <c r="AG14" s="59" t="e" cm="1">
        <f t="array" aca="1" ref="AG14" ca="1">_xll.SNL.Clients.Office.Excel.Functions.SPG($L14, $AE$3,AG$2)</f>
        <v>#NAME?</v>
      </c>
      <c r="AH14" s="69" t="e">
        <f ca="1">_xll.SNL.Clients.Office.Excel.Functions.SPG($L14,$AH$3,AH$2,$AH$4)</f>
        <v>#NAME?</v>
      </c>
      <c r="AI14" s="69" t="e">
        <f ca="1">_xll.SNL.Clients.Office.Excel.Functions.SPG($L14,$AH$3,AI$2,$AH$4)</f>
        <v>#NAME?</v>
      </c>
      <c r="AJ14" s="70" t="str">
        <f ca="1">IFERROR(AVERAGE(_xll.SNL.Clients.Office.Excel.Functions.SPG($L14,$AJ$4,$AH$4,AJ$2),_xll.SNL.Clients.Office.Excel.Functions.SPG($L14,$AJ$3,$AH$4,AJ$2)),"NA")</f>
        <v>NA</v>
      </c>
      <c r="AM14" s="71" t="s">
        <v>64</v>
      </c>
      <c r="AN14" s="71"/>
      <c r="AO14" s="72" t="s">
        <v>65</v>
      </c>
      <c r="AP14" s="42"/>
    </row>
    <row r="15" spans="1:44" ht="14.4" x14ac:dyDescent="0.3">
      <c r="A15" s="51" t="e">
        <f ca="1">_xll.SNL.Clients.Office.Excel.Functions.SPG($L15, A$3)</f>
        <v>#NAME?</v>
      </c>
      <c r="B15" s="51" t="e">
        <f ca="1">_xll.BDP($K15,B$3)</f>
        <v>#NAME?</v>
      </c>
      <c r="C15" s="51" t="e">
        <f ca="1">_xll.BDP($K15,C$3)</f>
        <v>#NAME?</v>
      </c>
      <c r="D15" s="51" t="e">
        <f ca="1">_xll.BDP($K15,D$3)</f>
        <v>#NAME?</v>
      </c>
      <c r="E15" s="52" t="s">
        <v>96</v>
      </c>
      <c r="F15" s="52" t="s">
        <v>72</v>
      </c>
      <c r="G15" s="52" t="s">
        <v>60</v>
      </c>
      <c r="H15" s="53" t="e">
        <f ca="1">_xll.SNL.Clients.Office.Excel.Functions.SPG($L15, "IQ_TEV", "Options: Curr=USD")</f>
        <v>#NAME?</v>
      </c>
      <c r="I15" s="53" t="e">
        <f ca="1">_xll.SNL.Clients.Office.Excel.Functions.SPG($L15, "SP_MARKETCAP", "Options: Curr=USD")</f>
        <v>#NAME?</v>
      </c>
      <c r="J15" s="54" t="s">
        <v>97</v>
      </c>
      <c r="K15" s="3" t="s">
        <v>98</v>
      </c>
      <c r="L15" s="55" t="s">
        <v>99</v>
      </c>
      <c r="M15" s="56" t="str" cm="1">
        <f t="array" aca="1" ref="M15" ca="1">IFERROR(_xll.SNL.Clients.Office.Excel.Functions.SPG($L15, $M$3)/100,"NA")</f>
        <v>NA</v>
      </c>
      <c r="N15" s="57" t="e" cm="1">
        <f t="array" aca="1" ref="N15" ca="1">_xll.SNL.Clients.Office.Excel.Functions.SPG($L15, "SP_PCFPS_FWD","FY2024")</f>
        <v>#NAME?</v>
      </c>
      <c r="O15" s="58" t="e" cm="1">
        <f t="array" aca="1" ref="O15" ca="1">_xll.SNL.Clients.Office.Excel.Functions.SPG($L15, "SP_PCFPS_FWD","FY2025")</f>
        <v>#NAME?</v>
      </c>
      <c r="P15" s="58" t="e" cm="1">
        <f t="array" aca="1" ref="P15" ca="1">_xll.SNL.Clients.Office.Excel.Functions.SPG($L15, "SP_PCFPS_FWD","FY2025")</f>
        <v>#NAME?</v>
      </c>
      <c r="Q15" s="76" t="str">
        <f ca="1">IFERROR(_xll.SNL.Clients.Office.Excel.Functions.SPG($L15, "SP_FCF_EST",Q$2, "Options: Curr=USD")/1000/$I15,"NA")</f>
        <v>NA</v>
      </c>
      <c r="R15" s="60" t="str">
        <f ca="1">IFERROR(_xll.SNL.Clients.Office.Excel.Functions.SPG($L15, "SP_FCF_EST",R$2, "Options: Curr=USD")/1000/$I15,"NA")</f>
        <v>NA</v>
      </c>
      <c r="S15" s="60" t="e">
        <f ca="1">_xll.SNL.Clients.Office.Excel.Functions.SPG($L15, "SP_FCF_EST",S$2, "Options: Curr=USD")/1000/$I15</f>
        <v>#NAME?</v>
      </c>
      <c r="T15" s="57" t="e" cm="1">
        <f t="array" aca="1" ref="T15" ca="1">_xll.SNL.Clients.Office.Excel.Functions.SPG($L15, "SP_PE_FWD","FY2024")</f>
        <v>#NAME?</v>
      </c>
      <c r="U15" s="58" t="e" cm="1">
        <f t="array" aca="1" ref="U15" ca="1">_xll.SNL.Clients.Office.Excel.Functions.SPG($L15, "SP_PE_FWD","FY2025")</f>
        <v>#NAME?</v>
      </c>
      <c r="V15" s="58" t="e" cm="1">
        <f t="array" aca="1" ref="V15" ca="1">_xll.SNL.Clients.Office.Excel.Functions.SPG($L15, "SP_PCFPS_FWD",V$2)</f>
        <v>#NAME?</v>
      </c>
      <c r="W15" s="73" t="e" cm="1">
        <f t="array" aca="1" ref="W15" ca="1">IF((_xll.SNL.Clients.Office.Excel.Functions.SPG($L15,$W$3,W$4,"Options: Curr=USD") / _xll.SNL.Clients.Office.Excel.Functions.SPG($L15,"SP_EBITDA_EST",W$2,"Options: Curr=USD")) &lt; 0, "NM", (_xll.SNL.Clients.Office.Excel.Functions.SPG($L15,$W$3,W$4,"Options: Curr=USD") / _xll.SNL.Clients.Office.Excel.Functions.SPG($L15,"SP_EBITDA_EST",W$2,"Options: Curr=USD")))</f>
        <v>#NAME?</v>
      </c>
      <c r="X15" s="64" t="e" cm="1">
        <f t="array" aca="1" ref="X15" ca="1">_xll.SNL.Clients.Office.Excel.Functions.SPG($L15, $X$3,X$4)</f>
        <v>#NAME?</v>
      </c>
      <c r="Y15" s="65" t="e">
        <f ca="1">_xll.SNL.Clients.Office.Excel.Functions.SPG($L15, Y$3, $Y$2,$Y$4)/1000</f>
        <v>#NAME?</v>
      </c>
      <c r="Z15" s="65" t="e">
        <f ca="1">_xll.SNL.Clients.Office.Excel.Functions.SPG($L15, Z$3, $Y$2,$Y$4)/1000</f>
        <v>#NAME?</v>
      </c>
      <c r="AA15" s="65" t="e">
        <f ca="1">_xll.SNL.Clients.Office.Excel.Functions.SPG($L15, AA$3, $Y$2,$Y$4)/1000</f>
        <v>#NAME?</v>
      </c>
      <c r="AB15" s="74" t="str">
        <f t="shared" ref="AB15:AD22" ca="1" si="3">IFERROR($H15*1000/Y15,"NA")</f>
        <v>NA</v>
      </c>
      <c r="AC15" s="65" t="str">
        <f t="shared" ca="1" si="3"/>
        <v>NA</v>
      </c>
      <c r="AD15" s="75" t="str">
        <f t="shared" ca="1" si="3"/>
        <v>NA</v>
      </c>
      <c r="AE15" s="57" t="e" cm="1">
        <f t="array" aca="1" ref="AE15" ca="1">_xll.SNL.Clients.Office.Excel.Functions.SPG($L15, $AE$3,AE$2)</f>
        <v>#NAME?</v>
      </c>
      <c r="AF15" s="58" t="e" cm="1">
        <f t="array" aca="1" ref="AF15" ca="1">_xll.SNL.Clients.Office.Excel.Functions.SPG($L15, $AE$3,AF$2)</f>
        <v>#NAME?</v>
      </c>
      <c r="AG15" s="59" t="e" cm="1">
        <f t="array" aca="1" ref="AG15" ca="1">_xll.SNL.Clients.Office.Excel.Functions.SPG($L15, $AE$3,AG$2)</f>
        <v>#NAME?</v>
      </c>
      <c r="AH15" s="69" t="e">
        <f ca="1">_xll.SNL.Clients.Office.Excel.Functions.SPG($L15,$AH$3,AH$2,$AH$4)</f>
        <v>#NAME?</v>
      </c>
      <c r="AI15" s="69" t="e">
        <f ca="1">_xll.SNL.Clients.Office.Excel.Functions.SPG($L15,$AH$3,AI$2,$AH$4)</f>
        <v>#NAME?</v>
      </c>
      <c r="AJ15" s="70" t="str">
        <f ca="1">IFERROR(AVERAGE(_xll.SNL.Clients.Office.Excel.Functions.SPG($L15,$AJ$4,$AH$4,AJ$2),_xll.SNL.Clients.Office.Excel.Functions.SPG($L15,$AJ$3,$AH$4,AJ$2)),"NA")</f>
        <v>NA</v>
      </c>
      <c r="AM15" s="50" t="s">
        <v>70</v>
      </c>
      <c r="AN15" s="50"/>
      <c r="AO15" s="72" t="s">
        <v>65</v>
      </c>
      <c r="AP15" s="42"/>
      <c r="AR15" s="87"/>
    </row>
    <row r="16" spans="1:44" ht="14.4" x14ac:dyDescent="0.3">
      <c r="A16" s="51" t="e">
        <f ca="1">_xll.SNL.Clients.Office.Excel.Functions.SPG($L16, A$3)</f>
        <v>#NAME?</v>
      </c>
      <c r="B16" s="51" t="e">
        <f ca="1">_xll.BDP($K16,B$3)</f>
        <v>#NAME?</v>
      </c>
      <c r="C16" s="51" t="e">
        <f ca="1">_xll.BDP($K16,C$3)</f>
        <v>#NAME?</v>
      </c>
      <c r="D16" s="51" t="e">
        <f ca="1">_xll.BDP($K16,D$3)</f>
        <v>#NAME?</v>
      </c>
      <c r="E16" s="52" t="s">
        <v>100</v>
      </c>
      <c r="F16" s="52" t="s">
        <v>72</v>
      </c>
      <c r="G16" s="52" t="s">
        <v>60</v>
      </c>
      <c r="H16" s="53" t="e">
        <f ca="1">_xll.SNL.Clients.Office.Excel.Functions.SPG($L16, "IQ_TEV", "Options: Curr=USD")</f>
        <v>#NAME?</v>
      </c>
      <c r="I16" s="53" t="e">
        <f ca="1">_xll.SNL.Clients.Office.Excel.Functions.SPG($L16, "SP_MARKETCAP", "Options: Curr=USD")</f>
        <v>#NAME?</v>
      </c>
      <c r="J16" s="54" t="s">
        <v>101</v>
      </c>
      <c r="K16" s="3" t="s">
        <v>102</v>
      </c>
      <c r="L16" s="55" t="s">
        <v>103</v>
      </c>
      <c r="M16" s="56" t="str" cm="1">
        <f t="array" aca="1" ref="M16" ca="1">IFERROR(_xll.SNL.Clients.Office.Excel.Functions.SPG($L16, $M$3)/100,"NA")</f>
        <v>NA</v>
      </c>
      <c r="N16" s="57" t="e" cm="1">
        <f t="array" aca="1" ref="N16" ca="1">_xll.SNL.Clients.Office.Excel.Functions.SPG($L16, "SP_PCFPS_FWD","FY2024")</f>
        <v>#NAME?</v>
      </c>
      <c r="O16" s="58" t="e" cm="1">
        <f t="array" aca="1" ref="O16" ca="1">_xll.SNL.Clients.Office.Excel.Functions.SPG($L16, "SP_PCFPS_FWD","FY2025")</f>
        <v>#NAME?</v>
      </c>
      <c r="P16" s="58" t="e" cm="1">
        <f t="array" aca="1" ref="P16" ca="1">_xll.SNL.Clients.Office.Excel.Functions.SPG($L16, "SP_PCFPS_FWD","FY2025")</f>
        <v>#NAME?</v>
      </c>
      <c r="Q16" s="76" t="str">
        <f ca="1">IFERROR(_xll.SNL.Clients.Office.Excel.Functions.SPG($L16, "SP_FCF_EST",Q$2, "Options: Curr=USD")/1000/$I16,"NA")</f>
        <v>NA</v>
      </c>
      <c r="R16" s="60" t="str">
        <f ca="1">IFERROR(_xll.SNL.Clients.Office.Excel.Functions.SPG($L16, "SP_FCF_EST",R$2, "Options: Curr=USD")/1000/$I16,"NA")</f>
        <v>NA</v>
      </c>
      <c r="S16" s="60" t="e">
        <f ca="1">_xll.SNL.Clients.Office.Excel.Functions.SPG($L16, "SP_FCF_EST",S$2, "Options: Curr=USD")/1000/$I16</f>
        <v>#NAME?</v>
      </c>
      <c r="T16" s="57" t="e" cm="1">
        <f t="array" aca="1" ref="T16" ca="1">_xll.SNL.Clients.Office.Excel.Functions.SPG($L16, "SP_PE_FWD","FY2024")</f>
        <v>#NAME?</v>
      </c>
      <c r="U16" s="58" t="e" cm="1">
        <f t="array" aca="1" ref="U16" ca="1">_xll.SNL.Clients.Office.Excel.Functions.SPG($L16, "SP_PE_FWD","FY2025")</f>
        <v>#NAME?</v>
      </c>
      <c r="V16" s="58" t="e" cm="1">
        <f t="array" aca="1" ref="V16" ca="1">_xll.SNL.Clients.Office.Excel.Functions.SPG($L16, "SP_PCFPS_FWD",V$2)</f>
        <v>#NAME?</v>
      </c>
      <c r="W16" s="73" t="e" cm="1">
        <f t="array" aca="1" ref="W16" ca="1">IF((_xll.SNL.Clients.Office.Excel.Functions.SPG($L16,$W$3,W$4,"Options: Curr=USD") / _xll.SNL.Clients.Office.Excel.Functions.SPG($L16,"SP_EBITDA_EST",W$2,"Options: Curr=USD")) &lt; 0, "NM", (_xll.SNL.Clients.Office.Excel.Functions.SPG($L16,$W$3,W$4,"Options: Curr=USD") / _xll.SNL.Clients.Office.Excel.Functions.SPG($L16,"SP_EBITDA_EST",W$2,"Options: Curr=USD")))</f>
        <v>#NAME?</v>
      </c>
      <c r="X16" s="64" t="e" cm="1">
        <f t="array" aca="1" ref="X16" ca="1">_xll.SNL.Clients.Office.Excel.Functions.SPG($L16, $X$3,X$4)</f>
        <v>#NAME?</v>
      </c>
      <c r="Y16" s="65" t="e">
        <f ca="1">_xll.SNL.Clients.Office.Excel.Functions.SPG($L16, Y$3, $Y$2,$Y$4)/1000</f>
        <v>#NAME?</v>
      </c>
      <c r="Z16" s="65" t="e">
        <f ca="1">_xll.SNL.Clients.Office.Excel.Functions.SPG($L16, Z$3, $Y$2,$Y$4)/1000</f>
        <v>#NAME?</v>
      </c>
      <c r="AA16" s="65" t="e">
        <f ca="1">_xll.SNL.Clients.Office.Excel.Functions.SPG($L16, AA$3, $Y$2,$Y$4)/1000</f>
        <v>#NAME?</v>
      </c>
      <c r="AB16" s="74" t="str">
        <f t="shared" ca="1" si="3"/>
        <v>NA</v>
      </c>
      <c r="AC16" s="65" t="str">
        <f t="shared" ca="1" si="3"/>
        <v>NA</v>
      </c>
      <c r="AD16" s="75" t="str">
        <f t="shared" ca="1" si="3"/>
        <v>NA</v>
      </c>
      <c r="AE16" s="57" t="e" cm="1">
        <f t="array" aca="1" ref="AE16" ca="1">_xll.SNL.Clients.Office.Excel.Functions.SPG($L16, $AE$3,AE$2)</f>
        <v>#NAME?</v>
      </c>
      <c r="AF16" s="58" t="e" cm="1">
        <f t="array" aca="1" ref="AF16" ca="1">_xll.SNL.Clients.Office.Excel.Functions.SPG($L16, $AE$3,AF$2)</f>
        <v>#NAME?</v>
      </c>
      <c r="AG16" s="59" t="e" cm="1">
        <f t="array" aca="1" ref="AG16" ca="1">_xll.SNL.Clients.Office.Excel.Functions.SPG($L16, $AE$3,AG$2)</f>
        <v>#NAME?</v>
      </c>
      <c r="AH16" s="69" t="e">
        <f ca="1">_xll.SNL.Clients.Office.Excel.Functions.SPG($L16,$AH$3,AH$2,$AH$4)</f>
        <v>#NAME?</v>
      </c>
      <c r="AI16" s="69" t="e">
        <f ca="1">_xll.SNL.Clients.Office.Excel.Functions.SPG($L16,$AH$3,AI$2,$AH$4)</f>
        <v>#NAME?</v>
      </c>
      <c r="AJ16" s="70" t="str">
        <f ca="1">IFERROR(AVERAGE(_xll.SNL.Clients.Office.Excel.Functions.SPG($L16,$AJ$4,$AH$4,AJ$2),_xll.SNL.Clients.Office.Excel.Functions.SPG($L16,$AJ$3,$AH$4,AJ$2)),"NA")</f>
        <v>NA</v>
      </c>
      <c r="AM16" s="50" t="s">
        <v>70</v>
      </c>
      <c r="AN16" s="50"/>
      <c r="AO16" s="72" t="s">
        <v>89</v>
      </c>
      <c r="AP16" s="42"/>
      <c r="AR16" s="87"/>
    </row>
    <row r="17" spans="1:44" ht="14.4" x14ac:dyDescent="0.3">
      <c r="A17" s="51" t="e">
        <f ca="1">_xll.SNL.Clients.Office.Excel.Functions.SPG($L17, A$3)</f>
        <v>#NAME?</v>
      </c>
      <c r="B17" s="51" t="e">
        <f ca="1">_xll.BDP($K17,B$3)</f>
        <v>#NAME?</v>
      </c>
      <c r="C17" s="51" t="e">
        <f ca="1">_xll.BDP($K17,C$3)</f>
        <v>#NAME?</v>
      </c>
      <c r="D17" s="51" t="e">
        <f ca="1">_xll.BDP($K17,D$3)</f>
        <v>#NAME?</v>
      </c>
      <c r="E17" s="52" t="s">
        <v>92</v>
      </c>
      <c r="F17" s="52" t="s">
        <v>72</v>
      </c>
      <c r="G17" s="52" t="s">
        <v>60</v>
      </c>
      <c r="H17" s="53" t="e">
        <f ca="1">_xll.SNL.Clients.Office.Excel.Functions.SPG($L17, "IQ_TEV", "Options: Curr=USD")</f>
        <v>#NAME?</v>
      </c>
      <c r="I17" s="53" t="e">
        <f ca="1">_xll.SNL.Clients.Office.Excel.Functions.SPG($L17, "SP_MARKETCAP", "Options: Curr=USD")</f>
        <v>#NAME?</v>
      </c>
      <c r="J17" s="54" t="s">
        <v>104</v>
      </c>
      <c r="K17" s="3" t="s">
        <v>105</v>
      </c>
      <c r="L17" s="55" t="s">
        <v>106</v>
      </c>
      <c r="M17" s="56" t="str" cm="1">
        <f t="array" aca="1" ref="M17" ca="1">IFERROR(_xll.SNL.Clients.Office.Excel.Functions.SPG($L17, $M$3)/100,"NA")</f>
        <v>NA</v>
      </c>
      <c r="N17" s="57" t="e" cm="1">
        <f t="array" aca="1" ref="N17" ca="1">_xll.SNL.Clients.Office.Excel.Functions.SPG($L17, "SP_PCFPS_FWD","FY2024")</f>
        <v>#NAME?</v>
      </c>
      <c r="O17" s="58" t="e" cm="1">
        <f t="array" aca="1" ref="O17" ca="1">_xll.SNL.Clients.Office.Excel.Functions.SPG($L17, "SP_PCFPS_FWD","FY2025")</f>
        <v>#NAME?</v>
      </c>
      <c r="P17" s="58" t="e" cm="1">
        <f t="array" aca="1" ref="P17" ca="1">_xll.SNL.Clients.Office.Excel.Functions.SPG($L17, "SP_PCFPS_FWD","FY2025")</f>
        <v>#NAME?</v>
      </c>
      <c r="Q17" s="76" t="str">
        <f ca="1">IFERROR(_xll.SNL.Clients.Office.Excel.Functions.SPG($L17, "SP_FCF_EST",Q$2, "Options: Curr=USD")/1000/$I17,"NA")</f>
        <v>NA</v>
      </c>
      <c r="R17" s="60" t="str">
        <f ca="1">IFERROR(_xll.SNL.Clients.Office.Excel.Functions.SPG($L17, "SP_FCF_EST",R$2, "Options: Curr=USD")/1000/$I17,"NA")</f>
        <v>NA</v>
      </c>
      <c r="S17" s="60" t="e">
        <f ca="1">_xll.SNL.Clients.Office.Excel.Functions.SPG($L17, "SP_FCF_EST",S$2, "Options: Curr=USD")/1000/$I17</f>
        <v>#NAME?</v>
      </c>
      <c r="T17" s="57" t="e" cm="1">
        <f t="array" aca="1" ref="T17" ca="1">_xll.SNL.Clients.Office.Excel.Functions.SPG($L17, "SP_PE_FWD","FY2024")</f>
        <v>#NAME?</v>
      </c>
      <c r="U17" s="58" t="e" cm="1">
        <f t="array" aca="1" ref="U17" ca="1">_xll.SNL.Clients.Office.Excel.Functions.SPG($L17, "SP_PE_FWD","FY2025")</f>
        <v>#NAME?</v>
      </c>
      <c r="V17" s="58" t="e" cm="1">
        <f t="array" aca="1" ref="V17" ca="1">_xll.SNL.Clients.Office.Excel.Functions.SPG($L17, "SP_PCFPS_FWD",V$2)</f>
        <v>#NAME?</v>
      </c>
      <c r="W17" s="73" t="e" cm="1">
        <f t="array" aca="1" ref="W17" ca="1">IF((_xll.SNL.Clients.Office.Excel.Functions.SPG($L17,$W$3,W$4,"Options: Curr=USD") / _xll.SNL.Clients.Office.Excel.Functions.SPG($L17,"SP_EBITDA_EST",W$2,"Options: Curr=USD")) &lt; 0, "NM", (_xll.SNL.Clients.Office.Excel.Functions.SPG($L17,$W$3,W$4,"Options: Curr=USD") / _xll.SNL.Clients.Office.Excel.Functions.SPG($L17,"SP_EBITDA_EST",W$2,"Options: Curr=USD")))</f>
        <v>#NAME?</v>
      </c>
      <c r="X17" s="64" t="e" cm="1">
        <f t="array" aca="1" ref="X17" ca="1">_xll.SNL.Clients.Office.Excel.Functions.SPG($L17, $X$3,X$4)</f>
        <v>#NAME?</v>
      </c>
      <c r="Y17" s="65" t="e">
        <f ca="1">_xll.SNL.Clients.Office.Excel.Functions.SPG($L17, Y$3, $Y$2,$Y$4)/1000</f>
        <v>#NAME?</v>
      </c>
      <c r="Z17" s="65" t="e">
        <f ca="1">_xll.SNL.Clients.Office.Excel.Functions.SPG($L17, Z$3, $Y$2,$Y$4)/1000</f>
        <v>#NAME?</v>
      </c>
      <c r="AA17" s="65" t="e">
        <f ca="1">_xll.SNL.Clients.Office.Excel.Functions.SPG($L17, AA$3, $Y$2,$Y$4)/1000</f>
        <v>#NAME?</v>
      </c>
      <c r="AB17" s="74" t="str">
        <f t="shared" ca="1" si="3"/>
        <v>NA</v>
      </c>
      <c r="AC17" s="65" t="str">
        <f t="shared" ca="1" si="3"/>
        <v>NA</v>
      </c>
      <c r="AD17" s="75" t="str">
        <f t="shared" ca="1" si="3"/>
        <v>NA</v>
      </c>
      <c r="AE17" s="57" t="e" cm="1">
        <f t="array" aca="1" ref="AE17" ca="1">_xll.SNL.Clients.Office.Excel.Functions.SPG($L17, $AE$3,AE$2)</f>
        <v>#NAME?</v>
      </c>
      <c r="AF17" s="58" t="e" cm="1">
        <f t="array" aca="1" ref="AF17" ca="1">_xll.SNL.Clients.Office.Excel.Functions.SPG($L17, $AE$3,AF$2)</f>
        <v>#NAME?</v>
      </c>
      <c r="AG17" s="59" t="e" cm="1">
        <f t="array" aca="1" ref="AG17" ca="1">_xll.SNL.Clients.Office.Excel.Functions.SPG($L17, $AE$3,AG$2)</f>
        <v>#NAME?</v>
      </c>
      <c r="AH17" s="69" t="e">
        <f ca="1">_xll.SNL.Clients.Office.Excel.Functions.SPG($L17,$AH$3,AH$2,$AH$4)</f>
        <v>#NAME?</v>
      </c>
      <c r="AI17" s="69" t="e">
        <f ca="1">_xll.SNL.Clients.Office.Excel.Functions.SPG($L17,$AH$3,AI$2,$AH$4)</f>
        <v>#NAME?</v>
      </c>
      <c r="AJ17" s="70" t="str">
        <f ca="1">IFERROR(AVERAGE(_xll.SNL.Clients.Office.Excel.Functions.SPG($L17,$AJ$4,$AH$4,AJ$2),_xll.SNL.Clients.Office.Excel.Functions.SPG($L17,$AJ$3,$AH$4,AJ$2)),"NA")</f>
        <v>NA</v>
      </c>
      <c r="AM17" s="50" t="s">
        <v>70</v>
      </c>
      <c r="AN17" s="50"/>
      <c r="AO17" s="72" t="s">
        <v>89</v>
      </c>
      <c r="AP17" s="42"/>
      <c r="AR17" s="87"/>
    </row>
    <row r="18" spans="1:44" ht="14.4" x14ac:dyDescent="0.3">
      <c r="A18" s="51" t="e">
        <f ca="1">_xll.SNL.Clients.Office.Excel.Functions.SPG($L18, A$3)</f>
        <v>#NAME?</v>
      </c>
      <c r="B18" s="51" t="e">
        <f ca="1">_xll.BDP($K18,B$3)</f>
        <v>#NAME?</v>
      </c>
      <c r="C18" s="51" t="e">
        <f ca="1">_xll.BDP($K18,C$3)</f>
        <v>#NAME?</v>
      </c>
      <c r="D18" s="51" t="e">
        <f ca="1">_xll.BDP($K18,D$3)</f>
        <v>#NAME?</v>
      </c>
      <c r="E18" s="52" t="s">
        <v>60</v>
      </c>
      <c r="F18" s="52" t="s">
        <v>60</v>
      </c>
      <c r="G18" s="52" t="s">
        <v>60</v>
      </c>
      <c r="H18" s="53" t="e">
        <f ca="1">_xll.SNL.Clients.Office.Excel.Functions.SPG($L18, "IQ_TEV", "Options: Curr=USD")</f>
        <v>#NAME?</v>
      </c>
      <c r="I18" s="53" t="e">
        <f ca="1">_xll.SNL.Clients.Office.Excel.Functions.SPG($L18, "SP_MARKETCAP", "Options: Curr=USD")</f>
        <v>#NAME?</v>
      </c>
      <c r="J18" s="54" t="s">
        <v>107</v>
      </c>
      <c r="K18" s="3" t="s">
        <v>108</v>
      </c>
      <c r="L18" s="55" t="s">
        <v>109</v>
      </c>
      <c r="M18" s="56" t="str" cm="1">
        <f t="array" aca="1" ref="M18" ca="1">IFERROR(_xll.SNL.Clients.Office.Excel.Functions.SPG($L18, $M$3)/100,"NA")</f>
        <v>NA</v>
      </c>
      <c r="N18" s="57" t="e" cm="1">
        <f t="array" aca="1" ref="N18" ca="1">_xll.SNL.Clients.Office.Excel.Functions.SPG($L18, "SP_PCFPS_FWD","FY2024")</f>
        <v>#NAME?</v>
      </c>
      <c r="O18" s="58" t="e" cm="1">
        <f t="array" aca="1" ref="O18" ca="1">_xll.SNL.Clients.Office.Excel.Functions.SPG($L18, "SP_PCFPS_FWD","FY2025")</f>
        <v>#NAME?</v>
      </c>
      <c r="P18" s="58" t="e" cm="1">
        <f t="array" aca="1" ref="P18" ca="1">_xll.SNL.Clients.Office.Excel.Functions.SPG($L18, "SP_PCFPS_FWD","FY2025")</f>
        <v>#NAME?</v>
      </c>
      <c r="Q18" s="76" t="str">
        <f ca="1">IFERROR(_xll.SNL.Clients.Office.Excel.Functions.SPG($L18, "SP_FCF_EST",Q$2, "Options: Curr=USD")/1000/$I18,"NA")</f>
        <v>NA</v>
      </c>
      <c r="R18" s="60" t="str">
        <f ca="1">IFERROR(_xll.SNL.Clients.Office.Excel.Functions.SPG($L18, "SP_FCF_EST",R$2, "Options: Curr=USD")/1000/$I18,"NA")</f>
        <v>NA</v>
      </c>
      <c r="S18" s="60" t="e">
        <f ca="1">_xll.SNL.Clients.Office.Excel.Functions.SPG($L18, "SP_FCF_EST",S$2, "Options: Curr=USD")/1000/$I18</f>
        <v>#NAME?</v>
      </c>
      <c r="T18" s="57" t="e" cm="1">
        <f t="array" aca="1" ref="T18" ca="1">_xll.SNL.Clients.Office.Excel.Functions.SPG($L18, "SP_PE_FWD","FY2024")</f>
        <v>#NAME?</v>
      </c>
      <c r="U18" s="58" t="e" cm="1">
        <f t="array" aca="1" ref="U18" ca="1">_xll.SNL.Clients.Office.Excel.Functions.SPG($L18, "SP_PE_FWD","FY2025")</f>
        <v>#NAME?</v>
      </c>
      <c r="V18" s="58" t="e" cm="1">
        <f t="array" aca="1" ref="V18" ca="1">_xll.SNL.Clients.Office.Excel.Functions.SPG($L18, "SP_PCFPS_FWD",V$2)</f>
        <v>#NAME?</v>
      </c>
      <c r="W18" s="73" t="e" cm="1">
        <f t="array" aca="1" ref="W18" ca="1">IF((_xll.SNL.Clients.Office.Excel.Functions.SPG($L18,$W$3,W$4,"Options: Curr=USD") / _xll.SNL.Clients.Office.Excel.Functions.SPG($L18,"SP_EBITDA_EST",W$2,"Options: Curr=USD")) &lt; 0, "NM", (_xll.SNL.Clients.Office.Excel.Functions.SPG($L18,$W$3,W$4,"Options: Curr=USD") / _xll.SNL.Clients.Office.Excel.Functions.SPG($L18,"SP_EBITDA_EST",W$2,"Options: Curr=USD")))</f>
        <v>#NAME?</v>
      </c>
      <c r="X18" s="64" t="e" cm="1">
        <f t="array" aca="1" ref="X18" ca="1">_xll.SNL.Clients.Office.Excel.Functions.SPG($L18, $X$3,X$4)</f>
        <v>#NAME?</v>
      </c>
      <c r="Y18" s="65" t="e">
        <f ca="1">_xll.SNL.Clients.Office.Excel.Functions.SPG($L18, Y$3, $Y$2,$Y$4)/1000</f>
        <v>#NAME?</v>
      </c>
      <c r="Z18" s="65" t="e">
        <f ca="1">_xll.SNL.Clients.Office.Excel.Functions.SPG($L18, Z$3, $Y$2,$Y$4)/1000</f>
        <v>#NAME?</v>
      </c>
      <c r="AA18" s="65" t="e">
        <f ca="1">_xll.SNL.Clients.Office.Excel.Functions.SPG($L18, AA$3, $Y$2,$Y$4)/1000</f>
        <v>#NAME?</v>
      </c>
      <c r="AB18" s="74" t="str">
        <f t="shared" ca="1" si="3"/>
        <v>NA</v>
      </c>
      <c r="AC18" s="65" t="str">
        <f t="shared" ca="1" si="3"/>
        <v>NA</v>
      </c>
      <c r="AD18" s="75" t="str">
        <f t="shared" ca="1" si="3"/>
        <v>NA</v>
      </c>
      <c r="AE18" s="57" t="e" cm="1">
        <f t="array" aca="1" ref="AE18" ca="1">_xll.SNL.Clients.Office.Excel.Functions.SPG($L18, $AE$3,AE$2)</f>
        <v>#NAME?</v>
      </c>
      <c r="AF18" s="58" t="e" cm="1">
        <f t="array" aca="1" ref="AF18" ca="1">_xll.SNL.Clients.Office.Excel.Functions.SPG($L18, $AE$3,AF$2)</f>
        <v>#NAME?</v>
      </c>
      <c r="AG18" s="59" t="e" cm="1">
        <f t="array" aca="1" ref="AG18" ca="1">_xll.SNL.Clients.Office.Excel.Functions.SPG($L18, $AE$3,AG$2)</f>
        <v>#NAME?</v>
      </c>
      <c r="AH18" s="69" t="e">
        <f ca="1">_xll.SNL.Clients.Office.Excel.Functions.SPG($L18,$AH$3,AH$2,$AH$4)</f>
        <v>#NAME?</v>
      </c>
      <c r="AI18" s="69" t="e">
        <f ca="1">_xll.SNL.Clients.Office.Excel.Functions.SPG($L18,$AH$3,AI$2,$AH$4)</f>
        <v>#NAME?</v>
      </c>
      <c r="AJ18" s="70" t="str">
        <f ca="1">IFERROR(AVERAGE(_xll.SNL.Clients.Office.Excel.Functions.SPG($L18,$AJ$4,$AH$4,AJ$2),_xll.SNL.Clients.Office.Excel.Functions.SPG($L18,$AJ$3,$AH$4,AJ$2)),"NA")</f>
        <v>NA</v>
      </c>
      <c r="AM18" s="50" t="s">
        <v>70</v>
      </c>
      <c r="AN18" s="50"/>
      <c r="AO18" s="72" t="s">
        <v>89</v>
      </c>
      <c r="AP18" s="42"/>
      <c r="AR18" s="87"/>
    </row>
    <row r="19" spans="1:44" ht="14.4" x14ac:dyDescent="0.25">
      <c r="A19" s="51" t="e">
        <f ca="1">_xll.SNL.Clients.Office.Excel.Functions.SPG($L19, A$3)</f>
        <v>#NAME?</v>
      </c>
      <c r="B19" s="51" t="e">
        <f ca="1">_xll.BDP($K19,B$3)</f>
        <v>#NAME?</v>
      </c>
      <c r="C19" s="51" t="e">
        <f ca="1">_xll.BDP($K19,C$3)</f>
        <v>#NAME?</v>
      </c>
      <c r="D19" s="51" t="e">
        <f ca="1">_xll.BDP($K19,D$3)</f>
        <v>#NAME?</v>
      </c>
      <c r="E19" s="52" t="s">
        <v>110</v>
      </c>
      <c r="F19" s="52" t="s">
        <v>72</v>
      </c>
      <c r="G19" s="52" t="s">
        <v>60</v>
      </c>
      <c r="H19" s="53" t="e">
        <f ca="1">_xll.SNL.Clients.Office.Excel.Functions.SPG($L19, "IQ_TEV", "Options: Curr=USD")</f>
        <v>#NAME?</v>
      </c>
      <c r="I19" s="53" t="e">
        <f ca="1">_xll.SNL.Clients.Office.Excel.Functions.SPG($L19, "SP_MARKETCAP", "Options: Curr=USD")</f>
        <v>#NAME?</v>
      </c>
      <c r="J19" s="54" t="s">
        <v>111</v>
      </c>
      <c r="K19" s="3" t="s">
        <v>112</v>
      </c>
      <c r="L19" s="55" t="s">
        <v>113</v>
      </c>
      <c r="M19" s="56" t="str" cm="1">
        <f t="array" aca="1" ref="M19" ca="1">IFERROR(_xll.SNL.Clients.Office.Excel.Functions.SPG($L19, $M$3)/100,"NA")</f>
        <v>NA</v>
      </c>
      <c r="N19" s="57" t="e" cm="1">
        <f t="array" aca="1" ref="N19" ca="1">_xll.SNL.Clients.Office.Excel.Functions.SPG($L19, "SP_PCFPS_FWD","FY2024")</f>
        <v>#NAME?</v>
      </c>
      <c r="O19" s="58" t="e" cm="1">
        <f t="array" aca="1" ref="O19" ca="1">_xll.SNL.Clients.Office.Excel.Functions.SPG($L19, "SP_PCFPS_FWD","FY2025")</f>
        <v>#NAME?</v>
      </c>
      <c r="P19" s="58" t="e" cm="1">
        <f t="array" aca="1" ref="P19" ca="1">_xll.SNL.Clients.Office.Excel.Functions.SPG($L19, "SP_PCFPS_FWD","FY2025")</f>
        <v>#NAME?</v>
      </c>
      <c r="Q19" s="76" t="str">
        <f ca="1">IFERROR(_xll.SNL.Clients.Office.Excel.Functions.SPG($L19, "SP_FCF_EST",Q$2, "Options: Curr=USD")/1000/$I19,"NA")</f>
        <v>NA</v>
      </c>
      <c r="R19" s="60" t="str">
        <f ca="1">IFERROR(_xll.SNL.Clients.Office.Excel.Functions.SPG($L19, "SP_FCF_EST",R$2, "Options: Curr=USD")/1000/$I19,"NA")</f>
        <v>NA</v>
      </c>
      <c r="S19" s="60" t="e">
        <f ca="1">_xll.SNL.Clients.Office.Excel.Functions.SPG($L19, "SP_FCF_EST",S$2, "Options: Curr=USD")/1000/$I19</f>
        <v>#NAME?</v>
      </c>
      <c r="T19" s="57" t="e" cm="1">
        <f t="array" aca="1" ref="T19" ca="1">_xll.SNL.Clients.Office.Excel.Functions.SPG($L19, "SP_PE_FWD","FY2024")</f>
        <v>#NAME?</v>
      </c>
      <c r="U19" s="58" t="e" cm="1">
        <f t="array" aca="1" ref="U19" ca="1">_xll.SNL.Clients.Office.Excel.Functions.SPG($L19, "SP_PE_FWD","FY2025")</f>
        <v>#NAME?</v>
      </c>
      <c r="V19" s="58" t="e" cm="1">
        <f t="array" aca="1" ref="V19" ca="1">_xll.SNL.Clients.Office.Excel.Functions.SPG($L19, "SP_PCFPS_FWD",V$2)</f>
        <v>#NAME?</v>
      </c>
      <c r="W19" s="73" t="e" cm="1">
        <f t="array" aca="1" ref="W19" ca="1">IF((_xll.SNL.Clients.Office.Excel.Functions.SPG($L19,$W$3,W$4,"Options: Curr=USD") / _xll.SNL.Clients.Office.Excel.Functions.SPG($L19,"SP_EBITDA_EST",W$2,"Options: Curr=USD")) &lt; 0, "NM", (_xll.SNL.Clients.Office.Excel.Functions.SPG($L19,$W$3,W$4,"Options: Curr=USD") / _xll.SNL.Clients.Office.Excel.Functions.SPG($L19,"SP_EBITDA_EST",W$2,"Options: Curr=USD")))</f>
        <v>#NAME?</v>
      </c>
      <c r="X19" s="64" t="e" cm="1">
        <f t="array" aca="1" ref="X19" ca="1">_xll.SNL.Clients.Office.Excel.Functions.SPG($L19, $X$3,X$4)</f>
        <v>#NAME?</v>
      </c>
      <c r="Y19" s="65" t="e">
        <f ca="1">_xll.SNL.Clients.Office.Excel.Functions.SPG($L19, Y$3, $Y$2,$Y$4)/1000</f>
        <v>#NAME?</v>
      </c>
      <c r="Z19" s="65" t="e">
        <f ca="1">_xll.SNL.Clients.Office.Excel.Functions.SPG($L19, Z$3, $Y$2,$Y$4)/1000</f>
        <v>#NAME?</v>
      </c>
      <c r="AA19" s="65" t="e">
        <f ca="1">_xll.SNL.Clients.Office.Excel.Functions.SPG($L19, AA$3, $Y$2,$Y$4)/1000</f>
        <v>#NAME?</v>
      </c>
      <c r="AB19" s="74" t="str">
        <f t="shared" ca="1" si="3"/>
        <v>NA</v>
      </c>
      <c r="AC19" s="65" t="str">
        <f t="shared" ca="1" si="3"/>
        <v>NA</v>
      </c>
      <c r="AD19" s="75" t="str">
        <f t="shared" ca="1" si="3"/>
        <v>NA</v>
      </c>
      <c r="AE19" s="57" t="e" cm="1">
        <f t="array" aca="1" ref="AE19" ca="1">_xll.SNL.Clients.Office.Excel.Functions.SPG($L19, $AE$3,AE$2)</f>
        <v>#NAME?</v>
      </c>
      <c r="AF19" s="58" t="e" cm="1">
        <f t="array" aca="1" ref="AF19" ca="1">_xll.SNL.Clients.Office.Excel.Functions.SPG($L19, $AE$3,AF$2)</f>
        <v>#NAME?</v>
      </c>
      <c r="AG19" s="59" t="e" cm="1">
        <f t="array" aca="1" ref="AG19" ca="1">_xll.SNL.Clients.Office.Excel.Functions.SPG($L19, $AE$3,AG$2)</f>
        <v>#NAME?</v>
      </c>
      <c r="AH19" s="69" t="e">
        <f ca="1">_xll.SNL.Clients.Office.Excel.Functions.SPG($L19,$AH$3,AH$2,$AH$4)</f>
        <v>#NAME?</v>
      </c>
      <c r="AI19" s="69" t="e">
        <f ca="1">_xll.SNL.Clients.Office.Excel.Functions.SPG($L19,$AH$3,AI$2,$AH$4)</f>
        <v>#NAME?</v>
      </c>
      <c r="AJ19" s="70" t="str">
        <f ca="1">IFERROR(AVERAGE(_xll.SNL.Clients.Office.Excel.Functions.SPG($L19,$AJ$4,$AH$4,AJ$2),_xll.SNL.Clients.Office.Excel.Functions.SPG($L19,$AJ$3,$AH$4,AJ$2)),"NA")</f>
        <v>NA</v>
      </c>
      <c r="AM19" s="50" t="s">
        <v>70</v>
      </c>
      <c r="AN19" s="50"/>
      <c r="AO19" s="72" t="s">
        <v>89</v>
      </c>
      <c r="AP19" s="42"/>
    </row>
    <row r="20" spans="1:44" ht="14.4" x14ac:dyDescent="0.25">
      <c r="A20" s="51" t="e">
        <f ca="1">_xll.SNL.Clients.Office.Excel.Functions.SPG($L20, A$3)</f>
        <v>#NAME?</v>
      </c>
      <c r="B20" s="51" t="e">
        <f ca="1">_xll.BDP($K20,B$3)</f>
        <v>#NAME?</v>
      </c>
      <c r="C20" s="51" t="e">
        <f ca="1">_xll.BDP($K20,C$3)</f>
        <v>#NAME?</v>
      </c>
      <c r="D20" s="51" t="e">
        <f ca="1">_xll.BDP($K20,D$3)</f>
        <v>#NAME?</v>
      </c>
      <c r="E20" s="52" t="s">
        <v>114</v>
      </c>
      <c r="F20" s="52" t="s">
        <v>72</v>
      </c>
      <c r="G20" s="52" t="s">
        <v>60</v>
      </c>
      <c r="H20" s="53" t="e">
        <f ca="1">_xll.SNL.Clients.Office.Excel.Functions.SPG($L20, "IQ_TEV", "Options: Curr=USD")</f>
        <v>#NAME?</v>
      </c>
      <c r="I20" s="53" t="e">
        <f ca="1">_xll.SNL.Clients.Office.Excel.Functions.SPG($L20, "SP_MARKETCAP", "Options: Curr=USD")</f>
        <v>#NAME?</v>
      </c>
      <c r="J20" s="54" t="s">
        <v>115</v>
      </c>
      <c r="K20" s="3" t="s">
        <v>116</v>
      </c>
      <c r="L20" s="55" t="s">
        <v>117</v>
      </c>
      <c r="M20" s="56" t="str" cm="1">
        <f t="array" aca="1" ref="M20" ca="1">IFERROR(_xll.SNL.Clients.Office.Excel.Functions.SPG($L20, $M$3)/100,"NA")</f>
        <v>NA</v>
      </c>
      <c r="N20" s="57" t="e" cm="1">
        <f t="array" aca="1" ref="N20" ca="1">_xll.SNL.Clients.Office.Excel.Functions.SPG($L20, "SP_PCFPS_FWD","FY2024")</f>
        <v>#NAME?</v>
      </c>
      <c r="O20" s="58" t="e" cm="1">
        <f t="array" aca="1" ref="O20" ca="1">_xll.SNL.Clients.Office.Excel.Functions.SPG($L20, "SP_PCFPS_FWD","FY2025")</f>
        <v>#NAME?</v>
      </c>
      <c r="P20" s="58" t="e" cm="1">
        <f t="array" aca="1" ref="P20" ca="1">_xll.SNL.Clients.Office.Excel.Functions.SPG($L20, "SP_PCFPS_FWD","FY2025")</f>
        <v>#NAME?</v>
      </c>
      <c r="Q20" s="76" t="str">
        <f ca="1">IFERROR(_xll.SNL.Clients.Office.Excel.Functions.SPG($L20, "SP_FCF_EST",Q$2, "Options: Curr=USD")/1000/$I20,"NA")</f>
        <v>NA</v>
      </c>
      <c r="R20" s="60" t="str">
        <f ca="1">IFERROR(_xll.SNL.Clients.Office.Excel.Functions.SPG($L20, "SP_FCF_EST",R$2, "Options: Curr=USD")/1000/$I20,"NA")</f>
        <v>NA</v>
      </c>
      <c r="S20" s="88" t="e">
        <f ca="1">_xll.SNL.Clients.Office.Excel.Functions.SPG($L20, "SP_FCF_EST",S$2, "Options: Curr=USD")/1000/$I20</f>
        <v>#NAME?</v>
      </c>
      <c r="T20" s="57" t="e" cm="1">
        <f t="array" aca="1" ref="T20" ca="1">_xll.SNL.Clients.Office.Excel.Functions.SPG($L20, "SP_PE_FWD","FY2024")</f>
        <v>#NAME?</v>
      </c>
      <c r="U20" s="58" t="e" cm="1">
        <f t="array" aca="1" ref="U20" ca="1">_xll.SNL.Clients.Office.Excel.Functions.SPG($L20, "SP_PE_FWD","FY2025")</f>
        <v>#NAME?</v>
      </c>
      <c r="V20" s="58" t="e" cm="1">
        <f t="array" aca="1" ref="V20" ca="1">_xll.SNL.Clients.Office.Excel.Functions.SPG($L20, "SP_PCFPS_FWD",V$2)</f>
        <v>#NAME?</v>
      </c>
      <c r="W20" s="73" t="e" cm="1">
        <f t="array" aca="1" ref="W20" ca="1">IF((_xll.SNL.Clients.Office.Excel.Functions.SPG($L20,$W$3,W$4,"Options: Curr=USD") / _xll.SNL.Clients.Office.Excel.Functions.SPG($L20,"SP_EBITDA_EST",W$2,"Options: Curr=USD")) &lt; 0, "NM", (_xll.SNL.Clients.Office.Excel.Functions.SPG($L20,$W$3,W$4,"Options: Curr=USD") / _xll.SNL.Clients.Office.Excel.Functions.SPG($L20,"SP_EBITDA_EST",W$2,"Options: Curr=USD")))</f>
        <v>#NAME?</v>
      </c>
      <c r="X20" s="64" t="e" cm="1">
        <f t="array" aca="1" ref="X20" ca="1">_xll.SNL.Clients.Office.Excel.Functions.SPG($L20, $X$3,X$4)</f>
        <v>#NAME?</v>
      </c>
      <c r="Y20" s="65" t="e">
        <f ca="1">_xll.SNL.Clients.Office.Excel.Functions.SPG($L20, Y$3, $Y$2,$Y$4)/1000</f>
        <v>#NAME?</v>
      </c>
      <c r="Z20" s="65" t="e">
        <f ca="1">_xll.SNL.Clients.Office.Excel.Functions.SPG($L20, Z$3, $Y$2,$Y$4)/1000</f>
        <v>#NAME?</v>
      </c>
      <c r="AA20" s="65" t="e">
        <f ca="1">_xll.SNL.Clients.Office.Excel.Functions.SPG($L20, AA$3, $Y$2,$Y$4)/1000</f>
        <v>#NAME?</v>
      </c>
      <c r="AB20" s="74" t="str">
        <f t="shared" ca="1" si="3"/>
        <v>NA</v>
      </c>
      <c r="AC20" s="65" t="str">
        <f t="shared" ca="1" si="3"/>
        <v>NA</v>
      </c>
      <c r="AD20" s="75" t="str">
        <f t="shared" ca="1" si="3"/>
        <v>NA</v>
      </c>
      <c r="AE20" s="57" t="e" cm="1">
        <f t="array" aca="1" ref="AE20" ca="1">_xll.SNL.Clients.Office.Excel.Functions.SPG($L20, $AE$3,AE$2)</f>
        <v>#NAME?</v>
      </c>
      <c r="AF20" s="58" t="e" cm="1">
        <f t="array" aca="1" ref="AF20" ca="1">_xll.SNL.Clients.Office.Excel.Functions.SPG($L20, $AE$3,AF$2)</f>
        <v>#NAME?</v>
      </c>
      <c r="AG20" s="59" t="e" cm="1">
        <f t="array" aca="1" ref="AG20" ca="1">_xll.SNL.Clients.Office.Excel.Functions.SPG($L20, $AE$3,AG$2)</f>
        <v>#NAME?</v>
      </c>
      <c r="AH20" s="69" t="e">
        <f ca="1">_xll.SNL.Clients.Office.Excel.Functions.SPG($L20,$AH$3,AH$2,$AH$4)</f>
        <v>#NAME?</v>
      </c>
      <c r="AI20" s="69" t="e">
        <f ca="1">_xll.SNL.Clients.Office.Excel.Functions.SPG($L20,$AH$3,AI$2,$AH$4)</f>
        <v>#NAME?</v>
      </c>
      <c r="AJ20" s="70" t="str">
        <f ca="1">IFERROR(AVERAGE(_xll.SNL.Clients.Office.Excel.Functions.SPG($L20,$AJ$4,$AH$4,AJ$2),_xll.SNL.Clients.Office.Excel.Functions.SPG($L20,$AJ$3,$AH$4,AJ$2)),"NA")</f>
        <v>NA</v>
      </c>
      <c r="AM20" s="50" t="s">
        <v>70</v>
      </c>
      <c r="AN20" s="50"/>
      <c r="AO20" s="72" t="s">
        <v>89</v>
      </c>
      <c r="AP20" s="42"/>
    </row>
    <row r="21" spans="1:44" ht="14.4" x14ac:dyDescent="0.25">
      <c r="A21" s="51" t="e">
        <f ca="1">_xll.SNL.Clients.Office.Excel.Functions.SPG($L21, A$3)</f>
        <v>#NAME?</v>
      </c>
      <c r="B21" s="51" t="e">
        <f ca="1">_xll.BDP($K21,B$3)</f>
        <v>#NAME?</v>
      </c>
      <c r="C21" s="51" t="e">
        <f ca="1">_xll.BDP($K21,C$3)</f>
        <v>#NAME?</v>
      </c>
      <c r="D21" s="51" t="e">
        <f ca="1">_xll.BDP($K21,D$3)</f>
        <v>#NAME?</v>
      </c>
      <c r="E21" s="52" t="s">
        <v>118</v>
      </c>
      <c r="F21" s="52" t="s">
        <v>72</v>
      </c>
      <c r="G21" s="52" t="s">
        <v>60</v>
      </c>
      <c r="H21" s="53" t="e">
        <f ca="1">_xll.SNL.Clients.Office.Excel.Functions.SPG($L21, "IQ_TEV", "Options: Curr=USD")</f>
        <v>#NAME?</v>
      </c>
      <c r="I21" s="53" t="e">
        <f ca="1">_xll.SNL.Clients.Office.Excel.Functions.SPG($L21, "SP_MARKETCAP", "Options: Curr=USD")</f>
        <v>#NAME?</v>
      </c>
      <c r="J21" s="54" t="s">
        <v>119</v>
      </c>
      <c r="K21" s="3" t="s">
        <v>120</v>
      </c>
      <c r="L21" s="55" t="s">
        <v>121</v>
      </c>
      <c r="M21" s="56" t="str" cm="1">
        <f t="array" aca="1" ref="M21" ca="1">IFERROR(_xll.SNL.Clients.Office.Excel.Functions.SPG($L21, $M$3)/100,"NA")</f>
        <v>NA</v>
      </c>
      <c r="N21" s="57" t="e" cm="1">
        <f t="array" aca="1" ref="N21" ca="1">_xll.SNL.Clients.Office.Excel.Functions.SPG($L21, "SP_PCFPS_FWD","FY2024")</f>
        <v>#NAME?</v>
      </c>
      <c r="O21" s="58" t="e" cm="1">
        <f t="array" aca="1" ref="O21" ca="1">_xll.SNL.Clients.Office.Excel.Functions.SPG($L21, "SP_PCFPS_FWD","FY2025")</f>
        <v>#NAME?</v>
      </c>
      <c r="P21" s="58" t="e" cm="1">
        <f t="array" aca="1" ref="P21" ca="1">_xll.SNL.Clients.Office.Excel.Functions.SPG($L21, "SP_PCFPS_FWD","FY2025")</f>
        <v>#NAME?</v>
      </c>
      <c r="Q21" s="76" t="str">
        <f ca="1">IFERROR(_xll.SNL.Clients.Office.Excel.Functions.SPG($L21, "SP_FCF_EST",Q$2, "Options: Curr=USD")/1000/$I21,"NA")</f>
        <v>NA</v>
      </c>
      <c r="R21" s="60" t="str">
        <f ca="1">IFERROR(_xll.SNL.Clients.Office.Excel.Functions.SPG($L21, "SP_FCF_EST",R$2, "Options: Curr=USD")/1000/$I21,"NA")</f>
        <v>NA</v>
      </c>
      <c r="S21" s="88" t="e">
        <f ca="1">_xll.SNL.Clients.Office.Excel.Functions.SPG($L21, "SP_FCF_EST",S$2, "Options: Curr=USD")/1000/$I21</f>
        <v>#NAME?</v>
      </c>
      <c r="T21" s="57" t="e" cm="1">
        <f t="array" aca="1" ref="T21" ca="1">_xll.SNL.Clients.Office.Excel.Functions.SPG($L21, "SP_PE_FWD","FY2024")</f>
        <v>#NAME?</v>
      </c>
      <c r="U21" s="58" t="e" cm="1">
        <f t="array" aca="1" ref="U21" ca="1">_xll.SNL.Clients.Office.Excel.Functions.SPG($L21, "SP_PE_FWD","FY2025")</f>
        <v>#NAME?</v>
      </c>
      <c r="V21" s="58" t="e" cm="1">
        <f t="array" aca="1" ref="V21" ca="1">_xll.SNL.Clients.Office.Excel.Functions.SPG($L21, "SP_PCFPS_FWD",V$2)</f>
        <v>#NAME?</v>
      </c>
      <c r="W21" s="73" t="e" cm="1">
        <f t="array" aca="1" ref="W21" ca="1">IF((_xll.SNL.Clients.Office.Excel.Functions.SPG($L21,$W$3,W$4,"Options: Curr=USD") / _xll.SNL.Clients.Office.Excel.Functions.SPG($L21,"SP_EBITDA_EST",W$2,"Options: Curr=USD")) &lt; 0, "NM", (_xll.SNL.Clients.Office.Excel.Functions.SPG($L21,$W$3,W$4,"Options: Curr=USD") / _xll.SNL.Clients.Office.Excel.Functions.SPG($L21,"SP_EBITDA_EST",W$2,"Options: Curr=USD")))</f>
        <v>#NAME?</v>
      </c>
      <c r="X21" s="64" t="e" cm="1">
        <f t="array" aca="1" ref="X21" ca="1">_xll.SNL.Clients.Office.Excel.Functions.SPG($L21, $X$3,X$4)</f>
        <v>#NAME?</v>
      </c>
      <c r="Y21" s="65" t="e">
        <f ca="1">_xll.SNL.Clients.Office.Excel.Functions.SPG($L21, Y$3, $Y$2,$Y$4)/1000</f>
        <v>#NAME?</v>
      </c>
      <c r="Z21" s="65" t="e">
        <f ca="1">_xll.SNL.Clients.Office.Excel.Functions.SPG($L21, Z$3, $Y$2,$Y$4)/1000</f>
        <v>#NAME?</v>
      </c>
      <c r="AA21" s="65" t="e">
        <f ca="1">_xll.SNL.Clients.Office.Excel.Functions.SPG($L21, AA$3, $Y$2,$Y$4)/1000</f>
        <v>#NAME?</v>
      </c>
      <c r="AB21" s="74" t="str">
        <f t="shared" ca="1" si="3"/>
        <v>NA</v>
      </c>
      <c r="AC21" s="65" t="str">
        <f t="shared" ca="1" si="3"/>
        <v>NA</v>
      </c>
      <c r="AD21" s="75" t="str">
        <f t="shared" ca="1" si="3"/>
        <v>NA</v>
      </c>
      <c r="AE21" s="57" t="e" cm="1">
        <f t="array" aca="1" ref="AE21" ca="1">_xll.SNL.Clients.Office.Excel.Functions.SPG($L21, $AE$3,AE$2)</f>
        <v>#NAME?</v>
      </c>
      <c r="AF21" s="58" t="e" cm="1">
        <f t="array" aca="1" ref="AF21" ca="1">_xll.SNL.Clients.Office.Excel.Functions.SPG($L21, $AE$3,AF$2)</f>
        <v>#NAME?</v>
      </c>
      <c r="AG21" s="59" t="e" cm="1">
        <f t="array" aca="1" ref="AG21" ca="1">_xll.SNL.Clients.Office.Excel.Functions.SPG($L21, $AE$3,AG$2)</f>
        <v>#NAME?</v>
      </c>
      <c r="AH21" s="69" t="e">
        <f ca="1">_xll.SNL.Clients.Office.Excel.Functions.SPG($L21,$AH$3,AH$2,$AH$4)</f>
        <v>#NAME?</v>
      </c>
      <c r="AI21" s="69" t="e">
        <f ca="1">_xll.SNL.Clients.Office.Excel.Functions.SPG($L21,$AH$3,AI$2,$AH$4)</f>
        <v>#NAME?</v>
      </c>
      <c r="AJ21" s="70" t="str">
        <f ca="1">IFERROR(AVERAGE(_xll.SNL.Clients.Office.Excel.Functions.SPG($L21,$AJ$4,$AH$4,AJ$2),_xll.SNL.Clients.Office.Excel.Functions.SPG($L21,$AJ$3,$AH$4,AJ$2)),"NA")</f>
        <v>NA</v>
      </c>
      <c r="AM21" s="50" t="s">
        <v>70</v>
      </c>
      <c r="AN21" s="50"/>
      <c r="AO21" s="72" t="s">
        <v>89</v>
      </c>
      <c r="AP21" s="42"/>
    </row>
    <row r="22" spans="1:44" ht="14.4" x14ac:dyDescent="0.25">
      <c r="A22" s="51" t="e">
        <f ca="1">_xll.SNL.Clients.Office.Excel.Functions.SPG($L22, A$3)</f>
        <v>#NAME?</v>
      </c>
      <c r="B22" s="51" t="e">
        <f ca="1">_xll.BDP($K22,B$3)</f>
        <v>#NAME?</v>
      </c>
      <c r="C22" s="51" t="e">
        <f ca="1">_xll.BDP($K22,C$3)</f>
        <v>#NAME?</v>
      </c>
      <c r="D22" s="51" t="e">
        <f ca="1">_xll.BDP($K22,D$3)</f>
        <v>#NAME?</v>
      </c>
      <c r="E22" s="52" t="s">
        <v>122</v>
      </c>
      <c r="F22" s="52" t="s">
        <v>72</v>
      </c>
      <c r="G22" s="52" t="s">
        <v>60</v>
      </c>
      <c r="H22" s="53" t="e">
        <f ca="1">_xll.SNL.Clients.Office.Excel.Functions.SPG($L22, "IQ_TEV", "Options: Curr=USD")</f>
        <v>#NAME?</v>
      </c>
      <c r="I22" s="53" t="e">
        <f ca="1">_xll.SNL.Clients.Office.Excel.Functions.SPG($L22, "SP_MARKETCAP", "Options: Curr=USD")</f>
        <v>#NAME?</v>
      </c>
      <c r="J22" s="54" t="s">
        <v>123</v>
      </c>
      <c r="K22" s="3" t="s">
        <v>124</v>
      </c>
      <c r="L22" s="55" t="s">
        <v>125</v>
      </c>
      <c r="M22" s="56" t="str" cm="1">
        <f t="array" aca="1" ref="M22" ca="1">IFERROR(_xll.SNL.Clients.Office.Excel.Functions.SPG($L22, $M$3)/100,"NA")</f>
        <v>NA</v>
      </c>
      <c r="N22" s="57" t="e" cm="1">
        <f t="array" aca="1" ref="N22" ca="1">_xll.SNL.Clients.Office.Excel.Functions.SPG($L22, "SP_PCFPS_FWD","FY2024")</f>
        <v>#NAME?</v>
      </c>
      <c r="O22" s="58" t="e" cm="1">
        <f t="array" aca="1" ref="O22" ca="1">_xll.SNL.Clients.Office.Excel.Functions.SPG($L22, "SP_PCFPS_FWD","FY2025")</f>
        <v>#NAME?</v>
      </c>
      <c r="P22" s="58" t="e" cm="1">
        <f t="array" aca="1" ref="P22" ca="1">_xll.SNL.Clients.Office.Excel.Functions.SPG($L22, "SP_PCFPS_FWD","FY2025")</f>
        <v>#NAME?</v>
      </c>
      <c r="Q22" s="76" t="str">
        <f ca="1">IFERROR(_xll.SNL.Clients.Office.Excel.Functions.SPG($L22, "SP_FCF_EST",Q$2, "Options: Curr=USD")/1000/$I22,"NA")</f>
        <v>NA</v>
      </c>
      <c r="R22" s="60" t="str">
        <f ca="1">IFERROR(_xll.SNL.Clients.Office.Excel.Functions.SPG($L22, "SP_FCF_EST",R$2, "Options: Curr=USD")/1000/$I22,"NA")</f>
        <v>NA</v>
      </c>
      <c r="S22" s="60" t="e">
        <f ca="1">_xll.SNL.Clients.Office.Excel.Functions.SPG($L22, "SP_FCF_EST",S$2, "Options: Curr=USD")/1000/$I22</f>
        <v>#NAME?</v>
      </c>
      <c r="T22" s="57" t="e" cm="1">
        <f t="array" aca="1" ref="T22" ca="1">_xll.SNL.Clients.Office.Excel.Functions.SPG($L22, "SP_PE_FWD","FY2024")</f>
        <v>#NAME?</v>
      </c>
      <c r="U22" s="58" t="e" cm="1">
        <f t="array" aca="1" ref="U22" ca="1">_xll.SNL.Clients.Office.Excel.Functions.SPG($L22, "SP_PE_FWD","FY2025")</f>
        <v>#NAME?</v>
      </c>
      <c r="V22" s="58" t="e" cm="1">
        <f t="array" aca="1" ref="V22" ca="1">_xll.SNL.Clients.Office.Excel.Functions.SPG($L22, "SP_PCFPS_FWD",V$2)</f>
        <v>#NAME?</v>
      </c>
      <c r="W22" s="77" t="e" cm="1">
        <f t="array" aca="1" ref="W22" ca="1">IF((_xll.SNL.Clients.Office.Excel.Functions.SPG($L22,$W$3,W$4,"Options: Curr=USD") / _xll.SNL.Clients.Office.Excel.Functions.SPG($L22,"SP_EBITDA_EST",W$2,"Options: Curr=USD")) &lt; 0, "NM", (_xll.SNL.Clients.Office.Excel.Functions.SPG($L22,$W$3,W$4,"Options: Curr=USD") / _xll.SNL.Clients.Office.Excel.Functions.SPG($L22,"SP_EBITDA_EST",W$2,"Options: Curr=USD")))</f>
        <v>#NAME?</v>
      </c>
      <c r="X22" s="64" t="e" cm="1">
        <f t="array" aca="1" ref="X22" ca="1">_xll.SNL.Clients.Office.Excel.Functions.SPG($L22, $X$3,X$4)</f>
        <v>#NAME?</v>
      </c>
      <c r="Y22" s="65" t="e">
        <f ca="1">_xll.SNL.Clients.Office.Excel.Functions.SPG($L22, Y$3, $Y$2,$Y$4)/1000</f>
        <v>#NAME?</v>
      </c>
      <c r="Z22" s="65" t="e">
        <f ca="1">_xll.SNL.Clients.Office.Excel.Functions.SPG($L22, Z$3, $Y$2,$Y$4)/1000</f>
        <v>#NAME?</v>
      </c>
      <c r="AA22" s="65" t="e">
        <f ca="1">_xll.SNL.Clients.Office.Excel.Functions.SPG($L22, AA$3, $Y$2,$Y$4)/1000</f>
        <v>#NAME?</v>
      </c>
      <c r="AB22" s="74" t="str">
        <f t="shared" ca="1" si="3"/>
        <v>NA</v>
      </c>
      <c r="AC22" s="65" t="str">
        <f t="shared" ca="1" si="3"/>
        <v>NA</v>
      </c>
      <c r="AD22" s="75" t="str">
        <f t="shared" ca="1" si="3"/>
        <v>NA</v>
      </c>
      <c r="AE22" s="57" t="e" cm="1">
        <f t="array" aca="1" ref="AE22" ca="1">_xll.SNL.Clients.Office.Excel.Functions.SPG($L22, $AE$3,AE$2)</f>
        <v>#NAME?</v>
      </c>
      <c r="AF22" s="58" t="e" cm="1">
        <f t="array" aca="1" ref="AF22" ca="1">_xll.SNL.Clients.Office.Excel.Functions.SPG($L22, $AE$3,AF$2)</f>
        <v>#NAME?</v>
      </c>
      <c r="AG22" s="89" t="e" cm="1">
        <f t="array" aca="1" ref="AG22" ca="1">_xll.SNL.Clients.Office.Excel.Functions.SPG($L22, $AE$3,AG$2)</f>
        <v>#NAME?</v>
      </c>
      <c r="AH22" s="69" t="e">
        <f ca="1">_xll.SNL.Clients.Office.Excel.Functions.SPG($L22,$AH$3,AH$2,$AH$4)</f>
        <v>#NAME?</v>
      </c>
      <c r="AI22" s="69" t="e">
        <f ca="1">_xll.SNL.Clients.Office.Excel.Functions.SPG($L22,$AH$3,AI$2,$AH$4)</f>
        <v>#NAME?</v>
      </c>
      <c r="AJ22" s="70" t="str">
        <f ca="1">IFERROR(AVERAGE(_xll.SNL.Clients.Office.Excel.Functions.SPG($L22,$AJ$4,$AH$4,AJ$2),_xll.SNL.Clients.Office.Excel.Functions.SPG($L22,$AJ$3,$AH$4,AJ$2)),"NA")</f>
        <v>NA</v>
      </c>
      <c r="AM22" s="90" t="s">
        <v>70</v>
      </c>
      <c r="AN22" s="90"/>
      <c r="AO22" s="72" t="s">
        <v>89</v>
      </c>
      <c r="AP22" s="91"/>
    </row>
    <row r="23" spans="1:44" x14ac:dyDescent="0.25">
      <c r="A23" s="51"/>
      <c r="B23" s="51"/>
      <c r="C23" s="51"/>
      <c r="D23" s="51"/>
      <c r="E23" s="51"/>
      <c r="F23" s="51"/>
      <c r="G23" s="51"/>
      <c r="H23" s="53"/>
      <c r="I23" s="53"/>
      <c r="J23" s="78"/>
      <c r="K23" s="78"/>
      <c r="L23" s="92" t="s">
        <v>90</v>
      </c>
      <c r="M23" s="93" t="e" cm="1">
        <f t="array" aca="1" ref="M23" ca="1">AVERAGE(IFERROR(M14:M22, ""))</f>
        <v>#DIV/0!</v>
      </c>
      <c r="N23" s="94"/>
      <c r="O23" s="81"/>
      <c r="P23" s="81"/>
      <c r="Q23" s="83" t="e">
        <f ca="1">AVERAGE(Q14:Q22)</f>
        <v>#DIV/0!</v>
      </c>
      <c r="R23" s="83" t="e">
        <f ca="1">AVERAGE(R14:R22)</f>
        <v>#DIV/0!</v>
      </c>
      <c r="S23" s="83" t="e">
        <f ca="1">AVERAGE(S14:S22)</f>
        <v>#NAME?</v>
      </c>
      <c r="T23" s="94"/>
      <c r="U23" s="81"/>
      <c r="V23" s="81"/>
      <c r="W23" s="81"/>
      <c r="X23" s="81"/>
      <c r="AB23" s="84" t="e" cm="1">
        <f t="array" aca="1" ref="AB23" ca="1">AVERAGE(IFERROR(AB14:AB22, ""))</f>
        <v>#DIV/0!</v>
      </c>
      <c r="AC23" s="85" t="e" cm="1">
        <f t="array" aca="1" ref="AC23" ca="1">AVERAGE(IFERROR(AC14:AC22, ""))</f>
        <v>#DIV/0!</v>
      </c>
      <c r="AD23" s="86" t="e" cm="1">
        <f t="array" aca="1" ref="AD23" ca="1">AVERAGE(IFERROR(AD14:AD22, ""))</f>
        <v>#DIV/0!</v>
      </c>
      <c r="AE23" s="81" t="e" cm="1">
        <f t="array" aca="1" ref="AE23" ca="1">AVERAGE(IFERROR(AE14:AE22, ""))</f>
        <v>#DIV/0!</v>
      </c>
      <c r="AF23" s="81" t="e" cm="1">
        <f t="array" aca="1" ref="AF23" ca="1">AVERAGE(IFERROR(AF14:AF22, ""))</f>
        <v>#DIV/0!</v>
      </c>
      <c r="AG23" s="82" t="e" cm="1">
        <f t="array" aca="1" ref="AG23" ca="1">AVERAGE(IFERROR(AG14:AG22, ""))</f>
        <v>#DIV/0!</v>
      </c>
      <c r="AH23" s="81" t="e" cm="1">
        <f t="array" aca="1" ref="AH23" ca="1">AVERAGE(IFERROR(AH14:AH22, ""))</f>
        <v>#DIV/0!</v>
      </c>
      <c r="AI23" s="81" t="e" cm="1">
        <f t="array" aca="1" ref="AI23" ca="1">AVERAGE(IFERROR(AI14:AI22, ""))</f>
        <v>#DIV/0!</v>
      </c>
      <c r="AJ23" s="82" t="e" cm="1">
        <f t="array" aca="1" ref="AJ23" ca="1">AVERAGE(IFERROR(AJ14:AJ22, ""))</f>
        <v>#DIV/0!</v>
      </c>
    </row>
    <row r="24" spans="1:44" x14ac:dyDescent="0.25">
      <c r="A24" s="51"/>
      <c r="B24" s="51"/>
      <c r="C24" s="51"/>
      <c r="D24" s="51"/>
      <c r="E24" s="51"/>
      <c r="F24" s="51"/>
      <c r="G24" s="51"/>
      <c r="H24" s="53"/>
      <c r="I24" s="53"/>
    </row>
    <row r="25" spans="1:44" x14ac:dyDescent="0.25">
      <c r="A25" s="51"/>
      <c r="B25" s="51"/>
      <c r="C25" s="51"/>
      <c r="D25" s="51"/>
      <c r="E25" s="51"/>
      <c r="F25" s="51"/>
      <c r="G25" s="51"/>
      <c r="H25" s="53"/>
      <c r="I25" s="53"/>
    </row>
    <row r="26" spans="1:44" x14ac:dyDescent="0.25">
      <c r="A26" s="51"/>
      <c r="B26" s="51"/>
      <c r="C26" s="51"/>
      <c r="D26" s="51"/>
      <c r="E26" s="51"/>
      <c r="F26" s="51"/>
      <c r="G26" s="51"/>
    </row>
    <row r="27" spans="1:44" x14ac:dyDescent="0.25">
      <c r="A27" s="51"/>
      <c r="B27" s="51"/>
      <c r="C27" s="51"/>
      <c r="D27" s="51"/>
      <c r="E27" s="51"/>
      <c r="F27" s="51"/>
      <c r="G27" s="51"/>
    </row>
    <row r="28" spans="1:44" x14ac:dyDescent="0.25">
      <c r="A28" s="51"/>
      <c r="B28" s="51"/>
      <c r="C28" s="51"/>
      <c r="D28" s="51"/>
      <c r="E28" s="51"/>
      <c r="F28" s="51"/>
      <c r="G28" s="51"/>
      <c r="H28" s="53"/>
      <c r="I28" s="53"/>
    </row>
    <row r="29" spans="1:44" x14ac:dyDescent="0.25">
      <c r="A29" s="51"/>
      <c r="B29" s="51"/>
      <c r="C29" s="51"/>
      <c r="D29" s="51"/>
      <c r="E29" s="51"/>
      <c r="F29" s="51"/>
      <c r="G29" s="51"/>
      <c r="H29" s="53"/>
      <c r="I29" s="53"/>
    </row>
    <row r="30" spans="1:44" x14ac:dyDescent="0.25">
      <c r="A30" s="51"/>
      <c r="B30" s="51"/>
      <c r="C30" s="51"/>
      <c r="D30" s="51"/>
      <c r="E30" s="51"/>
      <c r="F30" s="51"/>
      <c r="G30" s="51"/>
      <c r="H30" s="53"/>
      <c r="I30" s="53"/>
    </row>
    <row r="31" spans="1:44" x14ac:dyDescent="0.25">
      <c r="A31" s="51"/>
      <c r="B31" s="51"/>
      <c r="C31" s="51"/>
      <c r="D31" s="51"/>
      <c r="E31" s="51"/>
      <c r="F31" s="51"/>
      <c r="G31" s="51"/>
      <c r="H31" s="53"/>
      <c r="I31" s="53"/>
    </row>
    <row r="32" spans="1:44" x14ac:dyDescent="0.25">
      <c r="A32" s="51"/>
      <c r="B32" s="51"/>
      <c r="C32" s="51"/>
      <c r="D32" s="51"/>
      <c r="E32" s="51"/>
      <c r="F32" s="51"/>
      <c r="G32" s="51"/>
      <c r="H32" s="53"/>
      <c r="I32" s="53"/>
    </row>
    <row r="33" spans="1:9" x14ac:dyDescent="0.25">
      <c r="A33" s="51"/>
      <c r="B33" s="51"/>
      <c r="C33" s="51"/>
      <c r="D33" s="51"/>
      <c r="E33" s="51"/>
      <c r="F33" s="51"/>
      <c r="G33" s="51"/>
      <c r="H33" s="53"/>
      <c r="I33" s="53"/>
    </row>
    <row r="34" spans="1:9" x14ac:dyDescent="0.25">
      <c r="A34" s="51"/>
      <c r="B34" s="51"/>
      <c r="C34" s="51"/>
      <c r="D34" s="51"/>
      <c r="E34" s="51"/>
      <c r="F34" s="51"/>
      <c r="G34" s="51"/>
      <c r="H34" s="53"/>
      <c r="I34" s="53"/>
    </row>
    <row r="35" spans="1:9" x14ac:dyDescent="0.25">
      <c r="A35" s="51"/>
      <c r="B35" s="51"/>
      <c r="C35" s="51"/>
      <c r="D35" s="51"/>
      <c r="E35" s="51"/>
      <c r="F35" s="51"/>
      <c r="G35" s="51"/>
      <c r="H35" s="53"/>
      <c r="I35" s="53"/>
    </row>
    <row r="36" spans="1:9" x14ac:dyDescent="0.25">
      <c r="A36" s="51"/>
      <c r="B36" s="51"/>
      <c r="C36" s="51"/>
      <c r="D36" s="51"/>
      <c r="E36" s="51"/>
      <c r="F36" s="51"/>
      <c r="G36" s="51"/>
      <c r="H36" s="53"/>
      <c r="I36" s="53"/>
    </row>
    <row r="37" spans="1:9" x14ac:dyDescent="0.25">
      <c r="A37" s="51"/>
      <c r="B37" s="51"/>
      <c r="C37" s="51"/>
      <c r="D37" s="51"/>
      <c r="E37" s="51"/>
      <c r="F37" s="51"/>
      <c r="G37" s="51"/>
      <c r="H37" s="53"/>
      <c r="I37" s="53"/>
    </row>
    <row r="38" spans="1:9" x14ac:dyDescent="0.25">
      <c r="A38" s="51"/>
      <c r="B38" s="51"/>
      <c r="C38" s="51"/>
      <c r="D38" s="51"/>
      <c r="E38" s="51"/>
      <c r="F38" s="51"/>
      <c r="G38" s="51"/>
      <c r="H38" s="53"/>
      <c r="I38" s="53"/>
    </row>
    <row r="39" spans="1:9" x14ac:dyDescent="0.25">
      <c r="A39" s="51"/>
      <c r="B39" s="51"/>
      <c r="C39" s="51"/>
      <c r="D39" s="51"/>
      <c r="E39" s="51"/>
      <c r="F39" s="51"/>
      <c r="G39" s="51"/>
      <c r="H39" s="53"/>
      <c r="I39" s="53"/>
    </row>
    <row r="40" spans="1:9" x14ac:dyDescent="0.25">
      <c r="A40" s="51"/>
      <c r="B40" s="51"/>
      <c r="C40" s="51"/>
      <c r="D40" s="51"/>
      <c r="E40" s="51"/>
      <c r="F40" s="51"/>
      <c r="G40" s="51"/>
      <c r="H40" s="53"/>
      <c r="I40" s="53"/>
    </row>
    <row r="41" spans="1:9" x14ac:dyDescent="0.25">
      <c r="A41" s="51"/>
      <c r="B41" s="51"/>
      <c r="C41" s="51"/>
      <c r="D41" s="51"/>
      <c r="E41" s="51"/>
      <c r="F41" s="51"/>
      <c r="G41" s="51"/>
      <c r="H41" s="53"/>
      <c r="I41" s="53"/>
    </row>
    <row r="42" spans="1:9" x14ac:dyDescent="0.25">
      <c r="A42" s="51"/>
      <c r="B42" s="51"/>
      <c r="C42" s="51"/>
      <c r="D42" s="51"/>
      <c r="E42" s="51"/>
      <c r="F42" s="51"/>
      <c r="G42" s="51"/>
      <c r="H42" s="53"/>
      <c r="I42" s="53"/>
    </row>
    <row r="43" spans="1:9" x14ac:dyDescent="0.25">
      <c r="A43" s="51"/>
      <c r="B43" s="51"/>
      <c r="C43" s="51"/>
      <c r="D43" s="51"/>
      <c r="E43" s="51"/>
      <c r="F43" s="51"/>
      <c r="G43" s="51"/>
      <c r="H43" s="53"/>
      <c r="I43" s="53"/>
    </row>
    <row r="44" spans="1:9" x14ac:dyDescent="0.25">
      <c r="A44" s="51"/>
      <c r="B44" s="51"/>
      <c r="C44" s="51"/>
      <c r="D44" s="51"/>
      <c r="E44" s="51"/>
      <c r="F44" s="51"/>
      <c r="G44" s="51"/>
      <c r="H44" s="53"/>
      <c r="I44" s="53"/>
    </row>
    <row r="45" spans="1:9" x14ac:dyDescent="0.25">
      <c r="A45" s="51"/>
      <c r="B45" s="51"/>
      <c r="C45" s="51"/>
      <c r="D45" s="51"/>
      <c r="E45" s="51"/>
      <c r="F45" s="51"/>
      <c r="G45" s="51"/>
      <c r="H45" s="53"/>
      <c r="I45" s="53"/>
    </row>
    <row r="46" spans="1:9" x14ac:dyDescent="0.25">
      <c r="A46" s="51"/>
      <c r="B46" s="51"/>
      <c r="C46" s="51"/>
      <c r="D46" s="51"/>
      <c r="E46" s="51"/>
      <c r="F46" s="51"/>
      <c r="G46" s="51"/>
      <c r="H46" s="53"/>
      <c r="I46" s="53"/>
    </row>
    <row r="47" spans="1:9" x14ac:dyDescent="0.25">
      <c r="A47" s="51"/>
      <c r="B47" s="51"/>
      <c r="C47" s="51"/>
      <c r="D47" s="51"/>
      <c r="E47" s="51"/>
      <c r="F47" s="51"/>
      <c r="G47" s="51"/>
      <c r="H47" s="53"/>
      <c r="I47" s="53"/>
    </row>
    <row r="48" spans="1:9" x14ac:dyDescent="0.25">
      <c r="A48" s="51"/>
      <c r="B48" s="51"/>
      <c r="C48" s="51"/>
      <c r="D48" s="51"/>
      <c r="E48" s="51"/>
      <c r="F48" s="51"/>
      <c r="G48" s="51"/>
      <c r="H48" s="53"/>
      <c r="I48" s="53"/>
    </row>
    <row r="49" spans="1:9" x14ac:dyDescent="0.25">
      <c r="A49" s="51"/>
      <c r="B49" s="51"/>
      <c r="C49" s="51"/>
      <c r="D49" s="51"/>
      <c r="E49" s="51"/>
      <c r="F49" s="51"/>
      <c r="G49" s="51"/>
      <c r="H49" s="53"/>
      <c r="I49" s="53"/>
    </row>
    <row r="50" spans="1:9" x14ac:dyDescent="0.25">
      <c r="A50" s="51"/>
      <c r="B50" s="51"/>
      <c r="C50" s="51"/>
      <c r="D50" s="51"/>
      <c r="E50" s="51"/>
      <c r="F50" s="51"/>
      <c r="G50" s="51"/>
      <c r="H50" s="53"/>
      <c r="I50" s="53"/>
    </row>
    <row r="51" spans="1:9" x14ac:dyDescent="0.25">
      <c r="A51" s="51"/>
      <c r="B51" s="51"/>
      <c r="C51" s="51"/>
      <c r="D51" s="51"/>
      <c r="E51" s="51"/>
      <c r="F51" s="51"/>
      <c r="G51" s="51"/>
      <c r="H51" s="53"/>
      <c r="I51" s="53"/>
    </row>
    <row r="52" spans="1:9" x14ac:dyDescent="0.25">
      <c r="A52" s="51"/>
      <c r="B52" s="51"/>
      <c r="C52" s="51"/>
      <c r="D52" s="51"/>
      <c r="E52" s="51"/>
      <c r="F52" s="51"/>
      <c r="G52" s="51"/>
      <c r="H52" s="53"/>
      <c r="I52" s="53"/>
    </row>
    <row r="53" spans="1:9" x14ac:dyDescent="0.25">
      <c r="A53" s="51"/>
      <c r="B53" s="51"/>
      <c r="C53" s="51"/>
      <c r="D53" s="51"/>
      <c r="E53" s="51"/>
      <c r="F53" s="51"/>
      <c r="G53" s="51"/>
      <c r="H53" s="53"/>
      <c r="I53" s="53"/>
    </row>
    <row r="54" spans="1:9" x14ac:dyDescent="0.3">
      <c r="H54" s="53"/>
      <c r="I54" s="53"/>
    </row>
    <row r="55" spans="1:9" x14ac:dyDescent="0.3">
      <c r="A55" s="95"/>
      <c r="B55" s="95"/>
      <c r="C55" s="95"/>
      <c r="D55" s="95"/>
      <c r="E55" s="95"/>
      <c r="F55" s="95"/>
      <c r="G55" s="95"/>
      <c r="H55" s="53"/>
      <c r="I55" s="53"/>
    </row>
    <row r="56" spans="1:9" x14ac:dyDescent="0.3">
      <c r="H56" s="53"/>
      <c r="I56" s="53"/>
    </row>
    <row r="57" spans="1:9" x14ac:dyDescent="0.3">
      <c r="H57" s="53"/>
      <c r="I57" s="53"/>
    </row>
    <row r="58" spans="1:9" x14ac:dyDescent="0.3">
      <c r="H58" s="53"/>
      <c r="I58" s="53"/>
    </row>
    <row r="59" spans="1:9" x14ac:dyDescent="0.3">
      <c r="H59" s="53"/>
      <c r="I59" s="53"/>
    </row>
    <row r="60" spans="1:9" x14ac:dyDescent="0.3">
      <c r="H60" s="53"/>
      <c r="I60" s="53"/>
    </row>
    <row r="61" spans="1:9" x14ac:dyDescent="0.3">
      <c r="H61" s="53"/>
      <c r="I61" s="53"/>
    </row>
    <row r="62" spans="1:9" x14ac:dyDescent="0.3">
      <c r="H62" s="53"/>
      <c r="I62" s="53"/>
    </row>
    <row r="63" spans="1:9" x14ac:dyDescent="0.3">
      <c r="H63" s="53"/>
      <c r="I63" s="53"/>
    </row>
    <row r="64" spans="1:9" x14ac:dyDescent="0.3">
      <c r="H64" s="53"/>
      <c r="I64" s="53"/>
    </row>
    <row r="65" spans="8:9" x14ac:dyDescent="0.3">
      <c r="H65" s="53"/>
      <c r="I65" s="53"/>
    </row>
    <row r="66" spans="8:9" x14ac:dyDescent="0.3">
      <c r="H66" s="53"/>
      <c r="I66" s="53"/>
    </row>
    <row r="67" spans="8:9" x14ac:dyDescent="0.3">
      <c r="H67" s="53"/>
      <c r="I67" s="53"/>
    </row>
    <row r="68" spans="8:9" x14ac:dyDescent="0.3">
      <c r="H68" s="53"/>
      <c r="I68" s="53"/>
    </row>
  </sheetData>
  <mergeCells count="14">
    <mergeCell ref="AE1:AG1"/>
    <mergeCell ref="AH1:AJ1"/>
    <mergeCell ref="I1:I2"/>
    <mergeCell ref="M1:M2"/>
    <mergeCell ref="N1:P1"/>
    <mergeCell ref="Q1:R1"/>
    <mergeCell ref="T1:V1"/>
    <mergeCell ref="AB1:AD1"/>
    <mergeCell ref="A1:A2"/>
    <mergeCell ref="B1:B2"/>
    <mergeCell ref="C1:C2"/>
    <mergeCell ref="E1:E2"/>
    <mergeCell ref="F1:F2"/>
    <mergeCell ref="H1:H2"/>
  </mergeCells>
  <dataValidations count="4">
    <dataValidation allowBlank="1" errorTitle="1x1xSingleCell" error="Savannah Resources Plc" promptTitle="FactSet Formula" prompt="=FDS(B51,&quot;RTP_NAME&quot;)" sqref="AR18" xr:uid="{4F8445F0-992D-45B2-9762-4A5D828F89DA}"/>
    <dataValidation allowBlank="1" errorTitle="1x1xSingleCell" error="Leo Lithium Ltd." promptTitle="FactSet Formula" prompt="=FDS(B49,&quot;RTP_NAME&quot;)" sqref="AR17" xr:uid="{83E34D92-51C1-41D6-96A8-2A50E0A8E3F4}"/>
    <dataValidation allowBlank="1" errorTitle="1x1xSingleCell" error="Atlantic Lithium Limited." promptTitle="FactSet Formula" prompt="=FDS(B48,&quot;RTP_NAME&quot;)" sqref="AR16" xr:uid="{0ECE082C-B2AC-4209-BF36-854F03AF65E8}"/>
    <dataValidation allowBlank="1" errorTitle="1x1xSingleCell" error="Latin Resources Ltd" promptTitle="FactSet Formula" prompt="=FDS(B32,&quot;RTP_NAME&quot;)" sqref="AR15" xr:uid="{9E1FCA8B-F936-45E1-85E4-1141F85BF652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Lithium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SU</dc:creator>
  <cp:lastModifiedBy>H SU</cp:lastModifiedBy>
  <dcterms:created xsi:type="dcterms:W3CDTF">2026-02-20T08:49:13Z</dcterms:created>
  <dcterms:modified xsi:type="dcterms:W3CDTF">2026-02-20T08:49:15Z</dcterms:modified>
</cp:coreProperties>
</file>