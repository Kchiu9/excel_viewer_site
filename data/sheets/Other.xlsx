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aa9e46087b5738/0-Concordia_Capital/excel_to_https/excel_web_refresh/export/sheets/"/>
    </mc:Choice>
  </mc:AlternateContent>
  <xr:revisionPtr revIDLastSave="0" documentId="8_{FEB0D179-5F93-4513-9EE2-DC09DC01788B}" xr6:coauthVersionLast="47" xr6:coauthVersionMax="47" xr10:uidLastSave="{00000000-0000-0000-0000-000000000000}"/>
  <bookViews>
    <workbookView xWindow="-108" yWindow="-108" windowWidth="23256" windowHeight="12456" xr2:uid="{53289ADF-FB53-4867-A173-7FF45EEE36FD}"/>
  </bookViews>
  <sheets>
    <sheet name="Other" sheetId="2" r:id="rId1"/>
  </sheets>
  <externalReferences>
    <externalReference r:id="rId2"/>
    <externalReference r:id="rId3"/>
  </externalReferences>
  <definedNames>
    <definedName name="agprice">[1]Prices!$B$3</definedName>
    <definedName name="auprice">[1]Prices!$B$1</definedName>
    <definedName name="CIQWBGuid" hidden="1">"5376053f-e0f2-40b8-a1e8-f124d84bdcfe"</definedName>
    <definedName name="CIQWBInfo" hidden="1">"{ ""CIQVersion"":""9.52.4409.4666"" }"</definedName>
    <definedName name="cuprice">[1]Prices!$B$2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localSheetId="0" hidden="1">46064.7990046296</definedName>
    <definedName name="IQ_NAMES_REVISION_DATE_" hidden="1">46064.7990046296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rketcap">[2]Inputs!$F$335</definedName>
    <definedName name="niprice">[1]Prices!$B$6</definedName>
    <definedName name="Numbershares">[2]Inputs!$F$323</definedName>
    <definedName name="pbprice">[1]Prices!$B$4</definedName>
    <definedName name="znprice">[1]Prices!$B$5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15" i="2" l="1" a="1"/>
  <c r="AA15" i="2" s="1"/>
  <c r="Z15" i="2" a="1"/>
  <c r="Z15" i="2" s="1"/>
  <c r="Y15" i="2" a="1"/>
  <c r="Y15" i="2" s="1"/>
  <c r="X15" i="2" a="1"/>
  <c r="X15" i="2" s="1"/>
  <c r="W15" i="2" a="1"/>
  <c r="W15" i="2" s="1"/>
  <c r="V15" i="2" a="1"/>
  <c r="V15" i="2" s="1"/>
  <c r="U15" i="2" a="1"/>
  <c r="U15" i="2" s="1"/>
  <c r="T15" i="2" a="1"/>
  <c r="T15" i="2" s="1"/>
  <c r="S15" i="2" a="1"/>
  <c r="S15" i="2" s="1"/>
  <c r="P15" i="2" a="1"/>
  <c r="P15" i="2" s="1"/>
  <c r="O15" i="2" a="1"/>
  <c r="O15" i="2" s="1"/>
  <c r="N15" i="2" a="1"/>
  <c r="N15" i="2" s="1"/>
  <c r="M15" i="2" a="1"/>
  <c r="M15" i="2" s="1"/>
  <c r="I15" i="2"/>
  <c r="R15" i="2" s="1"/>
  <c r="H15" i="2"/>
  <c r="D15" i="2"/>
  <c r="C15" i="2"/>
  <c r="B15" i="2"/>
  <c r="A15" i="2"/>
  <c r="AA14" i="2" a="1"/>
  <c r="AA14" i="2" s="1"/>
  <c r="Z14" i="2" a="1"/>
  <c r="Z14" i="2" s="1"/>
  <c r="Y14" i="2" a="1"/>
  <c r="Y14" i="2" s="1"/>
  <c r="X14" i="2" a="1"/>
  <c r="X14" i="2" s="1"/>
  <c r="W14" i="2" a="1"/>
  <c r="W14" i="2" s="1"/>
  <c r="V14" i="2" a="1"/>
  <c r="V14" i="2" s="1"/>
  <c r="U14" i="2" a="1"/>
  <c r="U14" i="2" s="1"/>
  <c r="T14" i="2" a="1"/>
  <c r="T14" i="2" s="1"/>
  <c r="S14" i="2" a="1"/>
  <c r="S14" i="2" s="1"/>
  <c r="R14" i="2"/>
  <c r="Q14" i="2"/>
  <c r="P14" i="2" a="1"/>
  <c r="P14" i="2" s="1"/>
  <c r="O14" i="2" a="1"/>
  <c r="O14" i="2" s="1"/>
  <c r="N14" i="2" a="1"/>
  <c r="N14" i="2" s="1"/>
  <c r="M14" i="2" a="1"/>
  <c r="M14" i="2" s="1"/>
  <c r="I14" i="2"/>
  <c r="H14" i="2"/>
  <c r="D14" i="2"/>
  <c r="C14" i="2"/>
  <c r="B14" i="2"/>
  <c r="A14" i="2"/>
  <c r="AA13" i="2" a="1"/>
  <c r="AA13" i="2" s="1"/>
  <c r="Z13" i="2" a="1"/>
  <c r="Z13" i="2" s="1"/>
  <c r="Y13" i="2" a="1"/>
  <c r="Y13" i="2" s="1"/>
  <c r="X13" i="2" a="1"/>
  <c r="X13" i="2" s="1"/>
  <c r="W13" i="2" a="1"/>
  <c r="W13" i="2" s="1"/>
  <c r="V13" i="2" a="1"/>
  <c r="V13" i="2" s="1"/>
  <c r="U13" i="2" a="1"/>
  <c r="U13" i="2" s="1"/>
  <c r="T13" i="2" a="1"/>
  <c r="T13" i="2" s="1"/>
  <c r="S13" i="2" a="1"/>
  <c r="S13" i="2" s="1"/>
  <c r="P13" i="2" a="1"/>
  <c r="P13" i="2" s="1"/>
  <c r="O13" i="2" a="1"/>
  <c r="O13" i="2" s="1"/>
  <c r="N13" i="2" a="1"/>
  <c r="N13" i="2" s="1"/>
  <c r="M13" i="2" a="1"/>
  <c r="M13" i="2" s="1"/>
  <c r="I13" i="2"/>
  <c r="R13" i="2" s="1"/>
  <c r="H13" i="2"/>
  <c r="D13" i="2"/>
  <c r="C13" i="2"/>
  <c r="B13" i="2"/>
  <c r="A13" i="2"/>
  <c r="AA12" i="2" a="1"/>
  <c r="AA12" i="2" s="1"/>
  <c r="Z12" i="2" a="1"/>
  <c r="Z12" i="2" s="1"/>
  <c r="Y12" i="2" a="1"/>
  <c r="Y12" i="2" s="1"/>
  <c r="X12" i="2" a="1"/>
  <c r="X12" i="2" s="1"/>
  <c r="W12" i="2" a="1"/>
  <c r="W12" i="2" s="1"/>
  <c r="V12" i="2" a="1"/>
  <c r="V12" i="2" s="1"/>
  <c r="U12" i="2" a="1"/>
  <c r="U12" i="2" s="1"/>
  <c r="T12" i="2" a="1"/>
  <c r="T12" i="2" s="1"/>
  <c r="S12" i="2" a="1"/>
  <c r="S12" i="2" s="1"/>
  <c r="Q12" i="2"/>
  <c r="P12" i="2" a="1"/>
  <c r="P12" i="2" s="1"/>
  <c r="O12" i="2" a="1"/>
  <c r="O12" i="2" s="1"/>
  <c r="N12" i="2" a="1"/>
  <c r="N12" i="2" s="1"/>
  <c r="M12" i="2" a="1"/>
  <c r="M12" i="2" s="1"/>
  <c r="I12" i="2"/>
  <c r="R12" i="2" s="1"/>
  <c r="H12" i="2"/>
  <c r="D12" i="2"/>
  <c r="C12" i="2"/>
  <c r="B12" i="2"/>
  <c r="A12" i="2"/>
  <c r="AA11" i="2" a="1"/>
  <c r="AA11" i="2" s="1"/>
  <c r="Z11" i="2" a="1"/>
  <c r="Z11" i="2" s="1"/>
  <c r="Y11" i="2" a="1"/>
  <c r="Y11" i="2" s="1"/>
  <c r="X11" i="2" a="1"/>
  <c r="X11" i="2" s="1"/>
  <c r="W11" i="2" a="1"/>
  <c r="W11" i="2" s="1"/>
  <c r="V11" i="2" a="1"/>
  <c r="V11" i="2" s="1"/>
  <c r="U11" i="2" a="1"/>
  <c r="U11" i="2" s="1"/>
  <c r="T11" i="2" a="1"/>
  <c r="T11" i="2" s="1"/>
  <c r="S11" i="2" a="1"/>
  <c r="S11" i="2" s="1"/>
  <c r="P11" i="2" a="1"/>
  <c r="P11" i="2" s="1"/>
  <c r="O11" i="2" a="1"/>
  <c r="O11" i="2" s="1"/>
  <c r="N11" i="2" a="1"/>
  <c r="N11" i="2" s="1"/>
  <c r="M11" i="2" a="1"/>
  <c r="M11" i="2" s="1"/>
  <c r="I11" i="2"/>
  <c r="R11" i="2" s="1"/>
  <c r="H11" i="2"/>
  <c r="D11" i="2"/>
  <c r="C11" i="2"/>
  <c r="B11" i="2"/>
  <c r="A11" i="2"/>
  <c r="AA10" i="2" a="1"/>
  <c r="AA10" i="2" s="1"/>
  <c r="Z10" i="2" a="1"/>
  <c r="Z10" i="2" s="1"/>
  <c r="Y10" i="2" a="1"/>
  <c r="Y10" i="2" s="1"/>
  <c r="X10" i="2" a="1"/>
  <c r="X10" i="2" s="1"/>
  <c r="W10" i="2" a="1"/>
  <c r="W10" i="2" s="1"/>
  <c r="V10" i="2" a="1"/>
  <c r="V10" i="2" s="1"/>
  <c r="U10" i="2" a="1"/>
  <c r="U10" i="2" s="1"/>
  <c r="T10" i="2" a="1"/>
  <c r="T10" i="2" s="1"/>
  <c r="S10" i="2" a="1"/>
  <c r="S10" i="2" s="1"/>
  <c r="R10" i="2"/>
  <c r="Q10" i="2"/>
  <c r="P10" i="2" a="1"/>
  <c r="P10" i="2" s="1"/>
  <c r="O10" i="2" a="1"/>
  <c r="O10" i="2" s="1"/>
  <c r="N10" i="2" a="1"/>
  <c r="N10" i="2" s="1"/>
  <c r="M10" i="2" a="1"/>
  <c r="M10" i="2" s="1"/>
  <c r="I10" i="2"/>
  <c r="H10" i="2"/>
  <c r="D10" i="2"/>
  <c r="C10" i="2"/>
  <c r="B10" i="2"/>
  <c r="A10" i="2"/>
  <c r="AA9" i="2" a="1"/>
  <c r="AA9" i="2" s="1"/>
  <c r="Z9" i="2" a="1"/>
  <c r="Z9" i="2" s="1"/>
  <c r="Y9" i="2" a="1"/>
  <c r="Y9" i="2" s="1"/>
  <c r="X9" i="2" a="1"/>
  <c r="X9" i="2" s="1"/>
  <c r="W9" i="2" a="1"/>
  <c r="W9" i="2" s="1"/>
  <c r="V9" i="2" a="1"/>
  <c r="V9" i="2" s="1"/>
  <c r="U9" i="2" a="1"/>
  <c r="U9" i="2" s="1"/>
  <c r="T9" i="2" a="1"/>
  <c r="T9" i="2" s="1"/>
  <c r="S9" i="2" a="1"/>
  <c r="S9" i="2" s="1"/>
  <c r="R9" i="2"/>
  <c r="Q9" i="2"/>
  <c r="P9" i="2" a="1"/>
  <c r="P9" i="2" s="1"/>
  <c r="O9" i="2" a="1"/>
  <c r="O9" i="2" s="1"/>
  <c r="N9" i="2" a="1"/>
  <c r="N9" i="2" s="1"/>
  <c r="M9" i="2" a="1"/>
  <c r="M9" i="2" s="1"/>
  <c r="I9" i="2"/>
  <c r="H9" i="2"/>
  <c r="D9" i="2"/>
  <c r="C9" i="2"/>
  <c r="B9" i="2"/>
  <c r="A9" i="2"/>
  <c r="AA8" i="2" a="1"/>
  <c r="AA8" i="2" s="1"/>
  <c r="Z8" i="2" a="1"/>
  <c r="Z8" i="2" s="1"/>
  <c r="Y8" i="2" a="1"/>
  <c r="Y8" i="2" s="1"/>
  <c r="X8" i="2" a="1"/>
  <c r="X8" i="2" s="1"/>
  <c r="W8" i="2" a="1"/>
  <c r="W8" i="2" s="1"/>
  <c r="V8" i="2" a="1"/>
  <c r="V8" i="2" s="1"/>
  <c r="U8" i="2" a="1"/>
  <c r="U8" i="2" s="1"/>
  <c r="T8" i="2" a="1"/>
  <c r="T8" i="2" s="1"/>
  <c r="S8" i="2" a="1"/>
  <c r="S8" i="2" s="1"/>
  <c r="Q8" i="2"/>
  <c r="P8" i="2" a="1"/>
  <c r="P8" i="2" s="1"/>
  <c r="O8" i="2" a="1"/>
  <c r="O8" i="2" s="1"/>
  <c r="N8" i="2" a="1"/>
  <c r="N8" i="2" s="1"/>
  <c r="M8" i="2" a="1"/>
  <c r="M8" i="2" s="1"/>
  <c r="I8" i="2"/>
  <c r="R8" i="2" s="1"/>
  <c r="H8" i="2"/>
  <c r="D8" i="2"/>
  <c r="C8" i="2"/>
  <c r="B8" i="2"/>
  <c r="A8" i="2"/>
  <c r="AA7" i="2" a="1"/>
  <c r="AA7" i="2" s="1"/>
  <c r="Z7" i="2" a="1"/>
  <c r="Z7" i="2" s="1"/>
  <c r="Y7" i="2" a="1"/>
  <c r="Y7" i="2" s="1"/>
  <c r="X7" i="2" a="1"/>
  <c r="X7" i="2" s="1"/>
  <c r="W7" i="2" a="1"/>
  <c r="W7" i="2" s="1"/>
  <c r="V7" i="2" a="1"/>
  <c r="V7" i="2" s="1"/>
  <c r="U7" i="2" a="1"/>
  <c r="U7" i="2" s="1"/>
  <c r="T7" i="2" a="1"/>
  <c r="T7" i="2" s="1"/>
  <c r="S7" i="2" a="1"/>
  <c r="S7" i="2" s="1"/>
  <c r="P7" i="2" a="1"/>
  <c r="P7" i="2" s="1"/>
  <c r="O7" i="2" a="1"/>
  <c r="O7" i="2" s="1"/>
  <c r="N7" i="2" a="1"/>
  <c r="N7" i="2" s="1"/>
  <c r="M7" i="2" a="1"/>
  <c r="M7" i="2" s="1"/>
  <c r="I7" i="2"/>
  <c r="R7" i="2" s="1"/>
  <c r="H7" i="2"/>
  <c r="D7" i="2"/>
  <c r="C7" i="2"/>
  <c r="B7" i="2"/>
  <c r="A7" i="2"/>
  <c r="AA6" i="2" a="1"/>
  <c r="AA6" i="2" s="1"/>
  <c r="Z6" i="2" a="1"/>
  <c r="Z6" i="2" s="1"/>
  <c r="Y6" i="2" a="1"/>
  <c r="Y6" i="2" s="1"/>
  <c r="X6" i="2" a="1"/>
  <c r="X6" i="2" s="1"/>
  <c r="W6" i="2" a="1"/>
  <c r="W6" i="2" s="1"/>
  <c r="V6" i="2" a="1"/>
  <c r="V6" i="2" s="1"/>
  <c r="U6" i="2" a="1"/>
  <c r="U6" i="2" s="1"/>
  <c r="T6" i="2" a="1"/>
  <c r="T6" i="2" s="1"/>
  <c r="S6" i="2" a="1"/>
  <c r="S6" i="2" s="1"/>
  <c r="R6" i="2"/>
  <c r="Q6" i="2"/>
  <c r="P6" i="2" a="1"/>
  <c r="P6" i="2" s="1"/>
  <c r="O6" i="2" a="1"/>
  <c r="O6" i="2" s="1"/>
  <c r="N6" i="2" a="1"/>
  <c r="N6" i="2" s="1"/>
  <c r="M6" i="2" a="1"/>
  <c r="M6" i="2" s="1"/>
  <c r="I6" i="2"/>
  <c r="H6" i="2"/>
  <c r="D6" i="2"/>
  <c r="C6" i="2"/>
  <c r="B6" i="2"/>
  <c r="A6" i="2"/>
  <c r="Q13" i="2" l="1"/>
  <c r="Q7" i="2"/>
  <c r="Q11" i="2"/>
  <c r="Q1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<sst xmlns="http://schemas.openxmlformats.org/spreadsheetml/2006/main" count="134" uniqueCount="94">
  <si>
    <t>Last Earnings Date</t>
  </si>
  <si>
    <t>Exp. Next Earnings Date (BBG)</t>
  </si>
  <si>
    <t>Confirmed / Estimated Date (BBG)</t>
  </si>
  <si>
    <t>Sales Result</t>
  </si>
  <si>
    <t>Exp. Next Earnings Date (HC)</t>
  </si>
  <si>
    <t>Confirmed / Estimated Date (HC)</t>
  </si>
  <si>
    <t>Enterprise Value (US$)</t>
  </si>
  <si>
    <t>Market Cap ($US)</t>
  </si>
  <si>
    <t>Price / NAV Consensus</t>
  </si>
  <si>
    <t>Price / CF</t>
  </si>
  <si>
    <t>FCF Yield %</t>
  </si>
  <si>
    <t>Price / Earnings</t>
  </si>
  <si>
    <t>Net Debt / EBITDA</t>
  </si>
  <si>
    <t xml:space="preserve"> Debt / Equity</t>
  </si>
  <si>
    <t>EV / EBITDA</t>
  </si>
  <si>
    <t>Dividend Yield %</t>
  </si>
  <si>
    <t>Model (Y/N)</t>
  </si>
  <si>
    <t>Priority?</t>
  </si>
  <si>
    <t>Stock of Interest</t>
  </si>
  <si>
    <t>Comment</t>
  </si>
  <si>
    <t>Date
(BBG)</t>
  </si>
  <si>
    <t>Date
(HC)</t>
  </si>
  <si>
    <t>Bloomberg
Ticker</t>
  </si>
  <si>
    <t>Ticker</t>
  </si>
  <si>
    <t>FY2024</t>
  </si>
  <si>
    <t>FY2025</t>
  </si>
  <si>
    <t>FY2026</t>
  </si>
  <si>
    <t>SNL_EARNINGS_RELEASE_DATE</t>
  </si>
  <si>
    <t>EXPECTED_REPORT_DT</t>
  </si>
  <si>
    <t>EXPECTED_REPORT_TYP</t>
  </si>
  <si>
    <t>SALES_RESULT_DATE</t>
  </si>
  <si>
    <t>SP_PNAVPS_FWD</t>
  </si>
  <si>
    <t>SP_PCFPS_FWD</t>
  </si>
  <si>
    <t>SP_FCF_EST</t>
  </si>
  <si>
    <t>SP_FCF_FWD</t>
  </si>
  <si>
    <t>SP_PE_FWD</t>
  </si>
  <si>
    <t>IQ_NET_DEBT</t>
  </si>
  <si>
    <t>SP_DEBT_TO_EQUITY</t>
  </si>
  <si>
    <t>SP_TEV_EBITDA_FWD</t>
  </si>
  <si>
    <t>SP_DIV_YIELD</t>
  </si>
  <si>
    <t>FQ0</t>
  </si>
  <si>
    <t>FH0</t>
  </si>
  <si>
    <t>DIVERSIFIEDS</t>
  </si>
  <si>
    <t>28/08/2025</t>
  </si>
  <si>
    <t>Confirmed</t>
  </si>
  <si>
    <t>21/07/2025</t>
  </si>
  <si>
    <t>South32</t>
  </si>
  <si>
    <t>S32 AU Equity</t>
  </si>
  <si>
    <t>ASX:S32</t>
  </si>
  <si>
    <t>N</t>
  </si>
  <si>
    <t>YES</t>
  </si>
  <si>
    <t>30/04/2025</t>
  </si>
  <si>
    <t>IGO</t>
  </si>
  <si>
    <t>IGO AU Equity</t>
  </si>
  <si>
    <t>ASX:IGO</t>
  </si>
  <si>
    <t>13/05/2025</t>
  </si>
  <si>
    <t>#N/A N/A</t>
  </si>
  <si>
    <t>Sherritt</t>
  </si>
  <si>
    <t>S CN Equity</t>
  </si>
  <si>
    <t>TSX:S</t>
  </si>
  <si>
    <t>NO</t>
  </si>
  <si>
    <t>27/08/2025</t>
  </si>
  <si>
    <t>Estimated</t>
  </si>
  <si>
    <t>29/04/2025</t>
  </si>
  <si>
    <t>Nickel Industries</t>
  </si>
  <si>
    <t>NIC AU Equity</t>
  </si>
  <si>
    <t>ASX:NIC</t>
  </si>
  <si>
    <t>18/07/2025</t>
  </si>
  <si>
    <t>Boliden</t>
  </si>
  <si>
    <t>BOL SS Equity</t>
  </si>
  <si>
    <t>OM:BOL</t>
  </si>
  <si>
    <t>10/09/2025</t>
  </si>
  <si>
    <t>Adriatic Metals</t>
  </si>
  <si>
    <t>ADT AU Equity</t>
  </si>
  <si>
    <t>ASX:ADT</t>
  </si>
  <si>
    <t>Y</t>
  </si>
  <si>
    <t>21/08/2025</t>
  </si>
  <si>
    <t>Iluka Resources</t>
  </si>
  <si>
    <t>ILU AU Equity</t>
  </si>
  <si>
    <t>ASX:ILU</t>
  </si>
  <si>
    <t>08/05/2025</t>
  </si>
  <si>
    <t>MP Materials Corp</t>
  </si>
  <si>
    <t>MP US Equity</t>
  </si>
  <si>
    <t>NYSE:MP</t>
  </si>
  <si>
    <t>30/07/2025</t>
  </si>
  <si>
    <t>30/10/2025</t>
  </si>
  <si>
    <t>Eramet</t>
  </si>
  <si>
    <t>ERA FP Equity</t>
  </si>
  <si>
    <t>ENXTPA:ERA</t>
  </si>
  <si>
    <t>28/04/2025</t>
  </si>
  <si>
    <t>Lynas Rare Earths</t>
  </si>
  <si>
    <t>LYC AU Equity</t>
  </si>
  <si>
    <t>ASX:LYC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</si>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</sst>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2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charset val="204"/>
    </font>
    <font>
      <b/>
      <sz val="10"/>
      <color rgb="FF000000"/>
      <name val="Times New Roman"/>
      <family val="1"/>
    </font>
    <font>
      <b/>
      <sz val="10"/>
      <color rgb="FF000000"/>
      <name val="Times New Roman"/>
      <family val="1"/>
      <charset val="204"/>
    </font>
    <font>
      <b/>
      <i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6"/>
      <color rgb="FF525252"/>
      <name val="Arial"/>
      <family val="2"/>
    </font>
    <font>
      <sz val="6"/>
      <color rgb="FF000000"/>
      <name val="Arial"/>
      <family val="2"/>
    </font>
    <font>
      <sz val="7"/>
      <color rgb="FF000000"/>
      <name val="Arial"/>
      <family val="2"/>
    </font>
    <font>
      <b/>
      <sz val="13"/>
      <color rgb="FF000000"/>
      <name val="Times New Roman"/>
      <family val="1"/>
    </font>
    <font>
      <sz val="10"/>
      <color rgb="FF0000FF"/>
      <name val="Times New Roman"/>
      <family val="1"/>
    </font>
    <font>
      <sz val="11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9" fontId="5" fillId="0" borderId="0" applyFont="0" applyFill="0" applyBorder="0" applyAlignment="0" applyProtection="0"/>
  </cellStyleXfs>
  <cellXfs count="82">
    <xf numFmtId="0" fontId="0" fillId="0" borderId="0" xfId="0"/>
    <xf numFmtId="0" fontId="2" fillId="2" borderId="0" xfId="1" applyFont="1" applyFill="1" applyAlignment="1">
      <alignment horizontal="center" vertical="top" wrapText="1"/>
    </xf>
    <xf numFmtId="0" fontId="3" fillId="2" borderId="0" xfId="1" applyFont="1" applyFill="1" applyAlignment="1">
      <alignment horizontal="center" vertical="top" wrapText="1"/>
    </xf>
    <xf numFmtId="0" fontId="2" fillId="2" borderId="0" xfId="1" applyFont="1" applyFill="1" applyAlignment="1">
      <alignment horizontal="center" vertical="top" wrapText="1"/>
    </xf>
    <xf numFmtId="0" fontId="1" fillId="0" borderId="1" xfId="1" applyBorder="1" applyAlignment="1">
      <alignment horizontal="left" vertical="top"/>
    </xf>
    <xf numFmtId="0" fontId="1" fillId="0" borderId="2" xfId="1" applyBorder="1" applyAlignment="1">
      <alignment horizontal="left" vertical="top"/>
    </xf>
    <xf numFmtId="0" fontId="2" fillId="0" borderId="3" xfId="1" applyFont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top" wrapText="1"/>
    </xf>
    <xf numFmtId="0" fontId="2" fillId="3" borderId="5" xfId="1" applyFont="1" applyFill="1" applyBorder="1" applyAlignment="1">
      <alignment horizontal="center" vertical="top" wrapText="1"/>
    </xf>
    <xf numFmtId="0" fontId="2" fillId="3" borderId="6" xfId="1" applyFont="1" applyFill="1" applyBorder="1" applyAlignment="1">
      <alignment horizontal="center" vertical="top" wrapText="1"/>
    </xf>
    <xf numFmtId="0" fontId="2" fillId="3" borderId="5" xfId="1" applyFont="1" applyFill="1" applyBorder="1" applyAlignment="1">
      <alignment horizontal="center" vertical="top" wrapText="1"/>
    </xf>
    <xf numFmtId="0" fontId="2" fillId="3" borderId="7" xfId="1" applyFont="1" applyFill="1" applyBorder="1" applyAlignment="1">
      <alignment horizontal="center" vertical="top" wrapText="1"/>
    </xf>
    <xf numFmtId="0" fontId="2" fillId="3" borderId="7" xfId="1" applyFont="1" applyFill="1" applyBorder="1" applyAlignment="1">
      <alignment vertical="top" wrapText="1"/>
    </xf>
    <xf numFmtId="0" fontId="1" fillId="0" borderId="0" xfId="1" applyAlignment="1">
      <alignment horizontal="left" vertical="top"/>
    </xf>
    <xf numFmtId="0" fontId="2" fillId="4" borderId="7" xfId="1" applyFont="1" applyFill="1" applyBorder="1" applyAlignment="1">
      <alignment vertical="top" wrapText="1"/>
    </xf>
    <xf numFmtId="0" fontId="1" fillId="0" borderId="8" xfId="1" applyBorder="1" applyAlignment="1">
      <alignment horizontal="left" vertical="top"/>
    </xf>
    <xf numFmtId="0" fontId="3" fillId="0" borderId="0" xfId="1" applyFont="1" applyAlignment="1">
      <alignment horizontal="center" vertical="top" wrapText="1"/>
    </xf>
    <xf numFmtId="0" fontId="2" fillId="0" borderId="0" xfId="1" applyFont="1" applyAlignment="1">
      <alignment horizontal="center" vertical="top"/>
    </xf>
    <xf numFmtId="0" fontId="2" fillId="0" borderId="9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top" wrapText="1"/>
    </xf>
    <xf numFmtId="0" fontId="4" fillId="0" borderId="2" xfId="1" applyFont="1" applyBorder="1" applyAlignment="1">
      <alignment horizontal="center" vertical="top" wrapText="1"/>
    </xf>
    <xf numFmtId="0" fontId="4" fillId="0" borderId="10" xfId="1" applyFont="1" applyBorder="1" applyAlignment="1">
      <alignment horizontal="center" vertical="top" wrapText="1"/>
    </xf>
    <xf numFmtId="0" fontId="4" fillId="0" borderId="11" xfId="1" applyFont="1" applyBorder="1" applyAlignment="1">
      <alignment horizontal="center" vertical="top" wrapText="1"/>
    </xf>
    <xf numFmtId="0" fontId="5" fillId="0" borderId="12" xfId="1" applyFont="1" applyBorder="1" applyAlignment="1">
      <alignment horizontal="left" vertical="top"/>
    </xf>
    <xf numFmtId="0" fontId="1" fillId="0" borderId="11" xfId="1" applyBorder="1" applyAlignment="1">
      <alignment horizontal="left" vertical="top"/>
    </xf>
    <xf numFmtId="0" fontId="1" fillId="0" borderId="10" xfId="1" applyBorder="1" applyAlignment="1">
      <alignment horizontal="left" vertical="top"/>
    </xf>
    <xf numFmtId="0" fontId="6" fillId="0" borderId="9" xfId="1" applyFont="1" applyBorder="1" applyAlignment="1">
      <alignment horizontal="left" vertical="top"/>
    </xf>
    <xf numFmtId="0" fontId="6" fillId="0" borderId="0" xfId="1" applyFont="1" applyAlignment="1">
      <alignment horizontal="left" vertical="top"/>
    </xf>
    <xf numFmtId="0" fontId="6" fillId="0" borderId="8" xfId="1" applyFont="1" applyBorder="1" applyAlignment="1">
      <alignment horizontal="left" vertical="top"/>
    </xf>
    <xf numFmtId="0" fontId="6" fillId="0" borderId="12" xfId="1" applyFont="1" applyBorder="1" applyAlignment="1">
      <alignment horizontal="left" vertical="top"/>
    </xf>
    <xf numFmtId="0" fontId="7" fillId="0" borderId="0" xfId="1" applyFont="1" applyAlignment="1">
      <alignment horizontal="left" vertical="top"/>
    </xf>
    <xf numFmtId="0" fontId="8" fillId="0" borderId="13" xfId="1" applyFont="1" applyBorder="1" applyAlignment="1">
      <alignment horizontal="left" vertical="top"/>
    </xf>
    <xf numFmtId="0" fontId="1" fillId="0" borderId="13" xfId="1" applyBorder="1" applyAlignment="1">
      <alignment horizontal="left" vertical="top"/>
    </xf>
    <xf numFmtId="0" fontId="1" fillId="0" borderId="12" xfId="1" applyBorder="1" applyAlignment="1">
      <alignment horizontal="left" vertical="top"/>
    </xf>
    <xf numFmtId="0" fontId="6" fillId="0" borderId="14" xfId="1" applyFont="1" applyBorder="1" applyAlignment="1">
      <alignment horizontal="left" vertical="top"/>
    </xf>
    <xf numFmtId="0" fontId="9" fillId="4" borderId="4" xfId="1" applyFont="1" applyFill="1" applyBorder="1" applyAlignment="1">
      <alignment horizontal="left" vertical="top"/>
    </xf>
    <xf numFmtId="0" fontId="9" fillId="4" borderId="5" xfId="1" applyFont="1" applyFill="1" applyBorder="1" applyAlignment="1">
      <alignment horizontal="left" vertical="top"/>
    </xf>
    <xf numFmtId="0" fontId="1" fillId="4" borderId="5" xfId="1" applyFill="1" applyBorder="1" applyAlignment="1">
      <alignment horizontal="left" vertical="top"/>
    </xf>
    <xf numFmtId="0" fontId="1" fillId="4" borderId="5" xfId="1" applyFill="1" applyBorder="1" applyAlignment="1">
      <alignment horizontal="center" vertical="top"/>
    </xf>
    <xf numFmtId="0" fontId="1" fillId="4" borderId="15" xfId="1" applyFill="1" applyBorder="1" applyAlignment="1">
      <alignment horizontal="center" vertical="top"/>
    </xf>
    <xf numFmtId="0" fontId="1" fillId="4" borderId="6" xfId="1" applyFill="1" applyBorder="1" applyAlignment="1">
      <alignment horizontal="center" vertical="top"/>
    </xf>
    <xf numFmtId="14" fontId="1" fillId="0" borderId="0" xfId="1" applyNumberFormat="1" applyAlignment="1">
      <alignment horizontal="center"/>
    </xf>
    <xf numFmtId="14" fontId="10" fillId="0" borderId="0" xfId="1" applyNumberFormat="1" applyFont="1" applyAlignment="1">
      <alignment horizontal="right"/>
    </xf>
    <xf numFmtId="4" fontId="5" fillId="0" borderId="0" xfId="1" applyNumberFormat="1" applyFont="1" applyAlignment="1">
      <alignment horizontal="right" vertical="top"/>
    </xf>
    <xf numFmtId="0" fontId="11" fillId="0" borderId="8" xfId="1" applyFont="1" applyBorder="1" applyAlignment="1">
      <alignment horizontal="left" vertical="top"/>
    </xf>
    <xf numFmtId="2" fontId="1" fillId="0" borderId="9" xfId="1" applyNumberFormat="1" applyBorder="1" applyAlignment="1">
      <alignment horizontal="center" vertical="top"/>
    </xf>
    <xf numFmtId="164" fontId="1" fillId="0" borderId="8" xfId="1" applyNumberFormat="1" applyBorder="1" applyAlignment="1">
      <alignment horizontal="center" vertical="top"/>
    </xf>
    <xf numFmtId="164" fontId="1" fillId="0" borderId="0" xfId="1" applyNumberFormat="1" applyAlignment="1">
      <alignment horizontal="center" vertical="top"/>
    </xf>
    <xf numFmtId="164" fontId="1" fillId="0" borderId="12" xfId="1" applyNumberFormat="1" applyBorder="1" applyAlignment="1">
      <alignment horizontal="center" vertical="top"/>
    </xf>
    <xf numFmtId="165" fontId="0" fillId="0" borderId="0" xfId="2" applyNumberFormat="1" applyFont="1" applyBorder="1" applyAlignment="1">
      <alignment horizontal="center" vertical="top"/>
    </xf>
    <xf numFmtId="165" fontId="0" fillId="0" borderId="10" xfId="2" applyNumberFormat="1" applyFont="1" applyBorder="1" applyAlignment="1">
      <alignment horizontal="center" vertical="top"/>
    </xf>
    <xf numFmtId="9" fontId="0" fillId="0" borderId="1" xfId="2" applyFont="1" applyBorder="1" applyAlignment="1">
      <alignment horizontal="center" vertical="top"/>
    </xf>
    <xf numFmtId="9" fontId="0" fillId="0" borderId="11" xfId="2" applyFont="1" applyBorder="1" applyAlignment="1">
      <alignment horizontal="center" vertical="top"/>
    </xf>
    <xf numFmtId="164" fontId="1" fillId="0" borderId="13" xfId="1" applyNumberFormat="1" applyBorder="1" applyAlignment="1">
      <alignment horizontal="center" vertical="top"/>
    </xf>
    <xf numFmtId="0" fontId="1" fillId="0" borderId="13" xfId="1" applyBorder="1" applyAlignment="1">
      <alignment horizontal="center" vertical="top"/>
    </xf>
    <xf numFmtId="0" fontId="5" fillId="0" borderId="13" xfId="1" applyFont="1" applyBorder="1" applyAlignment="1">
      <alignment horizontal="left" vertical="top"/>
    </xf>
    <xf numFmtId="4" fontId="10" fillId="0" borderId="0" xfId="1" applyNumberFormat="1" applyFont="1" applyAlignment="1">
      <alignment horizontal="right" vertical="top"/>
    </xf>
    <xf numFmtId="9" fontId="0" fillId="0" borderId="0" xfId="2" applyFont="1" applyBorder="1" applyAlignment="1">
      <alignment horizontal="center" vertical="top"/>
    </xf>
    <xf numFmtId="9" fontId="0" fillId="0" borderId="13" xfId="2" applyFont="1" applyBorder="1" applyAlignment="1">
      <alignment horizontal="center" vertical="top"/>
    </xf>
    <xf numFmtId="0" fontId="5" fillId="0" borderId="0" xfId="1" applyFont="1" applyAlignment="1">
      <alignment horizontal="left" vertical="top"/>
    </xf>
    <xf numFmtId="0" fontId="1" fillId="0" borderId="8" xfId="1" applyBorder="1" applyAlignment="1">
      <alignment horizontal="center" vertical="top"/>
    </xf>
    <xf numFmtId="165" fontId="0" fillId="0" borderId="0" xfId="2" applyNumberFormat="1" applyFont="1" applyFill="1" applyBorder="1" applyAlignment="1">
      <alignment horizontal="center" vertical="top"/>
    </xf>
    <xf numFmtId="0" fontId="1" fillId="5" borderId="13" xfId="1" applyFill="1" applyBorder="1" applyAlignment="1">
      <alignment horizontal="center" vertical="top"/>
    </xf>
    <xf numFmtId="3" fontId="1" fillId="0" borderId="0" xfId="1" applyNumberFormat="1" applyAlignment="1">
      <alignment horizontal="center"/>
    </xf>
    <xf numFmtId="0" fontId="11" fillId="0" borderId="16" xfId="1" applyFont="1" applyBorder="1" applyAlignment="1">
      <alignment horizontal="left" vertical="top"/>
    </xf>
    <xf numFmtId="0" fontId="1" fillId="0" borderId="15" xfId="1" applyBorder="1" applyAlignment="1">
      <alignment horizontal="left" vertical="top"/>
    </xf>
    <xf numFmtId="0" fontId="5" fillId="0" borderId="15" xfId="1" applyFont="1" applyBorder="1" applyAlignment="1">
      <alignment horizontal="left" vertical="top"/>
    </xf>
    <xf numFmtId="2" fontId="1" fillId="0" borderId="17" xfId="1" applyNumberFormat="1" applyBorder="1" applyAlignment="1">
      <alignment horizontal="center" vertical="top"/>
    </xf>
    <xf numFmtId="164" fontId="1" fillId="0" borderId="16" xfId="1" applyNumberFormat="1" applyBorder="1" applyAlignment="1">
      <alignment horizontal="center" vertical="top"/>
    </xf>
    <xf numFmtId="164" fontId="1" fillId="0" borderId="15" xfId="1" applyNumberFormat="1" applyBorder="1" applyAlignment="1">
      <alignment horizontal="center" vertical="top"/>
    </xf>
    <xf numFmtId="164" fontId="1" fillId="0" borderId="14" xfId="1" applyNumberFormat="1" applyBorder="1" applyAlignment="1">
      <alignment horizontal="center" vertical="top"/>
    </xf>
    <xf numFmtId="165" fontId="0" fillId="0" borderId="15" xfId="2" applyNumberFormat="1" applyFont="1" applyBorder="1" applyAlignment="1">
      <alignment horizontal="center" vertical="top"/>
    </xf>
    <xf numFmtId="9" fontId="0" fillId="0" borderId="15" xfId="2" applyFont="1" applyBorder="1" applyAlignment="1">
      <alignment horizontal="center" vertical="top"/>
    </xf>
    <xf numFmtId="9" fontId="0" fillId="0" borderId="18" xfId="2" applyFont="1" applyBorder="1" applyAlignment="1">
      <alignment horizontal="center" vertical="top"/>
    </xf>
    <xf numFmtId="164" fontId="1" fillId="0" borderId="18" xfId="1" applyNumberFormat="1" applyBorder="1" applyAlignment="1">
      <alignment horizontal="center" vertical="top"/>
    </xf>
    <xf numFmtId="0" fontId="1" fillId="0" borderId="16" xfId="1" applyBorder="1" applyAlignment="1">
      <alignment horizontal="center" vertical="top"/>
    </xf>
    <xf numFmtId="0" fontId="1" fillId="0" borderId="18" xfId="1" applyBorder="1" applyAlignment="1">
      <alignment horizontal="left" vertical="top"/>
    </xf>
    <xf numFmtId="0" fontId="5" fillId="0" borderId="18" xfId="1" applyFont="1" applyBorder="1" applyAlignment="1">
      <alignment horizontal="left" vertical="top"/>
    </xf>
    <xf numFmtId="0" fontId="1" fillId="0" borderId="14" xfId="1" applyBorder="1" applyAlignment="1">
      <alignment horizontal="left" vertical="top"/>
    </xf>
    <xf numFmtId="14" fontId="1" fillId="0" borderId="0" xfId="1" applyNumberFormat="1" applyAlignment="1">
      <alignment horizontal="left" vertical="top"/>
    </xf>
    <xf numFmtId="0" fontId="11" fillId="0" borderId="0" xfId="1" applyFont="1" applyAlignment="1">
      <alignment horizontal="left" vertical="top"/>
    </xf>
    <xf numFmtId="0" fontId="1" fillId="6" borderId="0" xfId="1" applyFill="1" applyAlignment="1">
      <alignment horizontal="left" vertical="top"/>
    </xf>
  </cellXfs>
  <cellStyles count="3">
    <cellStyle name="常规" xfId="0" builtinId="0"/>
    <cellStyle name="常规 2" xfId="1" xr:uid="{C88CEB21-96D2-4E44-832B-9AE49EFBD677}"/>
    <cellStyle name="百分比 2" xfId="2" xr:uid="{BB1C2AE3-4AD1-4B19-852E-E8B320C890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8aa9e46087b5738/0-Concordia_Capital/excel_to_https/excel_web_refresh/agent/Miners_Comps_Screener_Web.xlsx" TargetMode="External"/><Relationship Id="rId1" Type="http://schemas.openxmlformats.org/officeDocument/2006/relationships/externalLinkPath" Target="/28aa9e46087b5738/0-Concordia_Capital/excel_to_https/excel_web_refresh/agent/Miners_Comps_Screener_Web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rakewood.sharepoint.com/sites/Drakewood/Shared%20Documents/Resource%20Investments/Company%20Research/Gold%20and%20Silver/Victoria%20Gold/Victoria%20Gold%20Model%20200624.xlsx" TargetMode="External"/><Relationship Id="rId1" Type="http://schemas.openxmlformats.org/officeDocument/2006/relationships/externalLinkPath" Target="https://drakewood.sharepoint.com/sites/Drakewood/Shared%20Documents/Resource%20Investments/Company%20Research/Gold%20and%20Silver/Victoria%20Gold/Victoria%20Gold%20Model%202006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snloffice"/>
      <sheetName val="Golds"/>
      <sheetName val="Golds Colour"/>
      <sheetName val="Gold PNAVs "/>
      <sheetName val="Copper"/>
      <sheetName val="Copper Colour"/>
      <sheetName val="Copper PNAVs"/>
      <sheetName val="Silver"/>
      <sheetName val="Silver Colour"/>
      <sheetName val="Silver PNAVs"/>
      <sheetName val="Diversifieds"/>
      <sheetName val="Diversifieds Colour"/>
      <sheetName val="PGMs"/>
      <sheetName val="Iron Ore"/>
      <sheetName val="Uranium"/>
      <sheetName val="Lithium"/>
      <sheetName val="Other"/>
      <sheetName val="Coal"/>
      <sheetName val="O&amp;G"/>
      <sheetName val="Aluminium"/>
      <sheetName val="Watchlist"/>
      <sheetName val="Small Cap"/>
      <sheetName val="Prices"/>
      <sheetName val="Commodity Conviction"/>
      <sheetName val="S&amp;P Tickers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">
          <cell r="B1">
            <v>3000</v>
          </cell>
        </row>
        <row r="2">
          <cell r="B2">
            <v>9500</v>
          </cell>
        </row>
        <row r="3">
          <cell r="B3">
            <v>30</v>
          </cell>
        </row>
        <row r="4">
          <cell r="B4">
            <v>2200</v>
          </cell>
        </row>
        <row r="5">
          <cell r="B5">
            <v>3000</v>
          </cell>
        </row>
        <row r="6">
          <cell r="B6">
            <v>19000</v>
          </cell>
        </row>
      </sheetData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snloffice"/>
      <sheetName val="Valuation"/>
      <sheetName val="Inputs"/>
      <sheetName val="Financials (consolidated) Q"/>
      <sheetName val="Financials (consolidated)"/>
      <sheetName val="EAGLE"/>
      <sheetName val="BREWERY CREEK"/>
      <sheetName val="3"/>
      <sheetName val="4"/>
      <sheetName val="5"/>
      <sheetName val="Balance Sheet"/>
      <sheetName val="Income Statement"/>
      <sheetName val="Cash Flow"/>
      <sheetName val="43-101"/>
      <sheetName val="Tables"/>
      <sheetName val="brokers"/>
      <sheetName val="Notes"/>
      <sheetName val="Quarterly Resul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A4504-6786-486E-9604-A646374A31DF}">
  <dimension ref="A1:AF80"/>
  <sheetViews>
    <sheetView showGridLines="0" tabSelected="1" workbookViewId="0">
      <pane xSplit="10" ySplit="4" topLeftCell="K5" activePane="bottomRight" state="frozen"/>
      <selection activeCell="I2678" sqref="I2678"/>
      <selection pane="topRight" activeCell="I2678" sqref="I2678"/>
      <selection pane="bottomLeft" activeCell="I2678" sqref="I2678"/>
      <selection pane="bottomRight" activeCell="I2678" sqref="I2678"/>
    </sheetView>
  </sheetViews>
  <sheetFormatPr defaultRowHeight="13.2" outlineLevelRow="1" outlineLevelCol="1" x14ac:dyDescent="0.3"/>
  <cols>
    <col min="1" max="9" width="12.77734375" style="13" customWidth="1" outlineLevel="1"/>
    <col min="10" max="11" width="29.77734375" style="13" customWidth="1"/>
    <col min="12" max="12" width="13.109375" style="13" customWidth="1"/>
    <col min="13" max="13" width="12.77734375" style="13" customWidth="1"/>
    <col min="14" max="14" width="7.77734375" style="13" customWidth="1"/>
    <col min="15" max="16" width="8.109375" style="13" bestFit="1" customWidth="1"/>
    <col min="17" max="17" width="8.109375" style="13" customWidth="1"/>
    <col min="18" max="18" width="8.77734375" style="13" bestFit="1" customWidth="1"/>
    <col min="19" max="19" width="9.6640625" style="13" customWidth="1"/>
    <col min="20" max="20" width="9.109375" style="13" customWidth="1"/>
    <col min="21" max="21" width="8.109375" style="13" bestFit="1" customWidth="1"/>
    <col min="22" max="22" width="11.77734375" style="13" customWidth="1"/>
    <col min="23" max="23" width="8.109375" style="13" customWidth="1"/>
    <col min="24" max="24" width="8" style="13" customWidth="1"/>
    <col min="25" max="26" width="8.109375" style="13" bestFit="1" customWidth="1"/>
    <col min="27" max="27" width="14.77734375" style="13" customWidth="1"/>
    <col min="28" max="30" width="8.88671875" style="13"/>
    <col min="31" max="31" width="9.6640625" style="13" bestFit="1" customWidth="1"/>
    <col min="32" max="16384" width="8.88671875" style="13"/>
  </cols>
  <sheetData>
    <row r="1" spans="1:32" ht="27" customHeigh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3</v>
      </c>
      <c r="F1" s="2" t="s">
        <v>4</v>
      </c>
      <c r="G1" s="2" t="s">
        <v>5</v>
      </c>
      <c r="H1" s="1" t="s">
        <v>6</v>
      </c>
      <c r="I1" s="1" t="s">
        <v>7</v>
      </c>
      <c r="J1" s="4"/>
      <c r="K1" s="5"/>
      <c r="L1" s="5"/>
      <c r="M1" s="6" t="s">
        <v>8</v>
      </c>
      <c r="N1" s="7" t="s">
        <v>9</v>
      </c>
      <c r="O1" s="8"/>
      <c r="P1" s="9"/>
      <c r="Q1" s="7" t="s">
        <v>10</v>
      </c>
      <c r="R1" s="9"/>
      <c r="S1" s="7" t="s">
        <v>11</v>
      </c>
      <c r="T1" s="8"/>
      <c r="U1" s="9"/>
      <c r="V1" s="10" t="s">
        <v>12</v>
      </c>
      <c r="W1" s="11" t="s">
        <v>13</v>
      </c>
      <c r="X1" s="7" t="s">
        <v>14</v>
      </c>
      <c r="Y1" s="8"/>
      <c r="Z1" s="9"/>
      <c r="AA1" s="12" t="s">
        <v>15</v>
      </c>
      <c r="AC1" s="14" t="s">
        <v>16</v>
      </c>
      <c r="AD1" s="14" t="s">
        <v>17</v>
      </c>
      <c r="AE1" s="14" t="s">
        <v>18</v>
      </c>
      <c r="AF1" s="14" t="s">
        <v>19</v>
      </c>
    </row>
    <row r="2" spans="1:32" ht="33.75" customHeight="1" x14ac:dyDescent="0.3">
      <c r="A2" s="1"/>
      <c r="B2" s="2"/>
      <c r="C2" s="2"/>
      <c r="D2" s="3" t="s">
        <v>20</v>
      </c>
      <c r="E2" s="3" t="s">
        <v>21</v>
      </c>
      <c r="F2" s="2"/>
      <c r="G2" s="2"/>
      <c r="H2" s="1"/>
      <c r="I2" s="1"/>
      <c r="J2" s="15"/>
      <c r="K2" s="16" t="s">
        <v>22</v>
      </c>
      <c r="L2" s="17" t="s">
        <v>23</v>
      </c>
      <c r="M2" s="18"/>
      <c r="N2" s="19" t="s">
        <v>24</v>
      </c>
      <c r="O2" s="20" t="s">
        <v>25</v>
      </c>
      <c r="P2" s="21" t="s">
        <v>26</v>
      </c>
      <c r="Q2" s="19" t="s">
        <v>24</v>
      </c>
      <c r="R2" s="20" t="s">
        <v>25</v>
      </c>
      <c r="S2" s="19" t="s">
        <v>24</v>
      </c>
      <c r="T2" s="20" t="s">
        <v>25</v>
      </c>
      <c r="U2" s="21" t="s">
        <v>26</v>
      </c>
      <c r="V2" s="19" t="s">
        <v>24</v>
      </c>
      <c r="W2" s="22"/>
      <c r="X2" s="19" t="s">
        <v>24</v>
      </c>
      <c r="Y2" s="20" t="s">
        <v>25</v>
      </c>
      <c r="Z2" s="21" t="s">
        <v>26</v>
      </c>
      <c r="AA2" s="23"/>
      <c r="AC2" s="4"/>
      <c r="AD2" s="24"/>
      <c r="AE2" s="24"/>
      <c r="AF2" s="25"/>
    </row>
    <row r="3" spans="1:32" hidden="1" outlineLevel="1" x14ac:dyDescent="0.3">
      <c r="A3" s="26" t="s">
        <v>27</v>
      </c>
      <c r="B3" s="27" t="s">
        <v>28</v>
      </c>
      <c r="C3" s="27" t="s">
        <v>29</v>
      </c>
      <c r="D3" s="27" t="s">
        <v>30</v>
      </c>
      <c r="E3" s="27"/>
      <c r="F3" s="27"/>
      <c r="G3" s="27"/>
      <c r="J3" s="15"/>
      <c r="L3" s="17"/>
      <c r="M3" s="26" t="s">
        <v>31</v>
      </c>
      <c r="N3" s="28" t="s">
        <v>32</v>
      </c>
      <c r="Q3" s="28" t="s">
        <v>33</v>
      </c>
      <c r="R3" s="29" t="s">
        <v>34</v>
      </c>
      <c r="S3" s="28" t="s">
        <v>35</v>
      </c>
      <c r="V3" s="30" t="s">
        <v>36</v>
      </c>
      <c r="W3" s="30" t="s">
        <v>37</v>
      </c>
      <c r="X3" s="28" t="s">
        <v>38</v>
      </c>
      <c r="AA3" s="31" t="s">
        <v>39</v>
      </c>
      <c r="AC3" s="15"/>
      <c r="AD3" s="32"/>
      <c r="AE3" s="32"/>
      <c r="AF3" s="33"/>
    </row>
    <row r="4" spans="1:32" hidden="1" outlineLevel="1" x14ac:dyDescent="0.3">
      <c r="J4" s="15"/>
      <c r="L4" s="17"/>
      <c r="M4" s="26"/>
      <c r="N4" s="28"/>
      <c r="Q4" s="28"/>
      <c r="R4" s="34"/>
      <c r="S4" s="28"/>
      <c r="V4" s="30" t="s">
        <v>40</v>
      </c>
      <c r="W4" s="30" t="s">
        <v>41</v>
      </c>
      <c r="AA4" s="32"/>
      <c r="AC4" s="15"/>
      <c r="AD4" s="32"/>
      <c r="AE4" s="32"/>
      <c r="AF4" s="33"/>
    </row>
    <row r="5" spans="1:32" ht="16.8" collapsed="1" x14ac:dyDescent="0.3">
      <c r="J5" s="35" t="s">
        <v>42</v>
      </c>
      <c r="K5" s="36"/>
      <c r="L5" s="37"/>
      <c r="M5" s="37"/>
      <c r="N5" s="38"/>
      <c r="O5" s="38"/>
      <c r="P5" s="38"/>
      <c r="Q5" s="39"/>
      <c r="R5" s="38"/>
      <c r="S5" s="38"/>
      <c r="T5" s="38"/>
      <c r="U5" s="38"/>
      <c r="V5" s="38"/>
      <c r="W5" s="38"/>
      <c r="X5" s="38"/>
      <c r="Y5" s="38"/>
      <c r="Z5" s="38"/>
      <c r="AA5" s="40"/>
      <c r="AC5" s="15"/>
      <c r="AD5" s="32"/>
      <c r="AE5" s="32"/>
      <c r="AF5" s="33"/>
    </row>
    <row r="6" spans="1:32" ht="14.4" x14ac:dyDescent="0.25">
      <c r="A6" s="41" t="e">
        <f ca="1">_xll.SNL.Clients.Office.Excel.Functions.SPG($L6, A$3)</f>
        <v>#NAME?</v>
      </c>
      <c r="B6" s="41" t="e">
        <f ca="1">_xll.BDP($K6,B$3)</f>
        <v>#NAME?</v>
      </c>
      <c r="C6" s="41" t="e">
        <f ca="1">_xll.BDP($K6,C$3)</f>
        <v>#NAME?</v>
      </c>
      <c r="D6" s="41" t="e">
        <f ca="1">_xll.BDP($K6,D$3)</f>
        <v>#NAME?</v>
      </c>
      <c r="E6" s="42" t="s">
        <v>43</v>
      </c>
      <c r="F6" s="42" t="s">
        <v>44</v>
      </c>
      <c r="G6" s="42" t="s">
        <v>45</v>
      </c>
      <c r="H6" s="43" t="e">
        <f ca="1">_xll.SNL.Clients.Office.Excel.Functions.SPG($L6, "IQ_TEV", "Options: Curr=USD")</f>
        <v>#NAME?</v>
      </c>
      <c r="I6" s="43" t="e">
        <f ca="1">_xll.SNL.Clients.Office.Excel.Functions.SPG($L6, "SP_MARKETCAP", "Options: Curr=USD")</f>
        <v>#NAME?</v>
      </c>
      <c r="J6" s="44" t="s">
        <v>46</v>
      </c>
      <c r="K6" s="13" t="s">
        <v>47</v>
      </c>
      <c r="L6" s="13" t="s">
        <v>48</v>
      </c>
      <c r="M6" s="45" t="str" cm="1">
        <f t="array" aca="1" ref="M6" ca="1">IFERROR(_xll.SNL.Clients.Office.Excel.Functions.SPG($L6, $M$3)/100,"NA")</f>
        <v>NA</v>
      </c>
      <c r="N6" s="46" t="e" cm="1">
        <f t="array" aca="1" ref="N6" ca="1">_xll.SNL.Clients.Office.Excel.Functions.SPG($L6, "SP_PCFPS_FWD",N$2)</f>
        <v>#NAME?</v>
      </c>
      <c r="O6" s="47" t="e" cm="1">
        <f t="array" aca="1" ref="O6" ca="1">_xll.SNL.Clients.Office.Excel.Functions.SPG($L6, "SP_PCFPS_FWD",O$2)</f>
        <v>#NAME?</v>
      </c>
      <c r="P6" s="48" t="e" cm="1">
        <f t="array" aca="1" ref="P6" ca="1">_xll.SNL.Clients.Office.Excel.Functions.SPG($L6, "SP_PCFPS_FWD",P$2)</f>
        <v>#NAME?</v>
      </c>
      <c r="Q6" s="49" t="e">
        <f ca="1">_xll.SNL.Clients.Office.Excel.Functions.SPG($L6, "SP_FCF_EST",Q$2, "Options: Curr=USD")/1000/$I6</f>
        <v>#NAME?</v>
      </c>
      <c r="R6" s="50" t="e">
        <f ca="1">_xll.SNL.Clients.Office.Excel.Functions.SPG($L6, "SP_FCF_EST",R$2, "Options: Curr=USD")/1000/$I6</f>
        <v>#NAME?</v>
      </c>
      <c r="S6" s="46" t="e" cm="1">
        <f t="array" aca="1" ref="S6" ca="1">_xll.SNL.Clients.Office.Excel.Functions.SPG($L6, "SP_PE_FWD",S$2)</f>
        <v>#NAME?</v>
      </c>
      <c r="T6" s="47" t="e" cm="1">
        <f t="array" aca="1" ref="T6" ca="1">_xll.SNL.Clients.Office.Excel.Functions.SPG($L6, "SP_PE_FWD",T$2)</f>
        <v>#NAME?</v>
      </c>
      <c r="U6" s="48" t="e" cm="1">
        <f t="array" aca="1" ref="U6" ca="1">_xll.SNL.Clients.Office.Excel.Functions.SPG($L6, "SP_PE_FWD",U$2)</f>
        <v>#NAME?</v>
      </c>
      <c r="V6" s="51" t="e" cm="1">
        <f t="array" aca="1" ref="V6" ca="1">IF((_xll.SNL.Clients.Office.Excel.Functions.SPG($L6,$V$3,V$4,"Options: Curr=USD") / _xll.SNL.Clients.Office.Excel.Functions.SPG($L6,"SP_EBITDA_EST",V$2,"Options: Curr=USD")) &lt; 0, "NM", (_xll.SNL.Clients.Office.Excel.Functions.SPG($L6,$V$3,V$4,"Options: Curr=USD") / _xll.SNL.Clients.Office.Excel.Functions.SPG($L6,"SP_EBITDA_EST",V$2,"Options: Curr=USD")))</f>
        <v>#NAME?</v>
      </c>
      <c r="W6" s="52" t="e" cm="1">
        <f t="array" aca="1" ref="W6" ca="1">_xll.SNL.Clients.Office.Excel.Functions.SPG($L6, $W$3,W$4)</f>
        <v>#NAME?</v>
      </c>
      <c r="X6" s="46" t="e" cm="1">
        <f t="array" aca="1" ref="X6" ca="1">_xll.SNL.Clients.Office.Excel.Functions.SPG($L6, $X$3,X$2)</f>
        <v>#NAME?</v>
      </c>
      <c r="Y6" s="47" t="e" cm="1">
        <f t="array" aca="1" ref="Y6" ca="1">_xll.SNL.Clients.Office.Excel.Functions.SPG($L6, $X$3,Y$2)</f>
        <v>#NAME?</v>
      </c>
      <c r="Z6" s="48" t="e" cm="1">
        <f t="array" aca="1" ref="Z6" ca="1">_xll.SNL.Clients.Office.Excel.Functions.SPG($L6, $X$3,Z$2)</f>
        <v>#NAME?</v>
      </c>
      <c r="AA6" s="53" t="e" cm="1">
        <f t="array" aca="1" ref="AA6" ca="1">_xll.SNL.Clients.Office.Excel.Functions.SPG($L6, $AA$3)</f>
        <v>#NAME?</v>
      </c>
      <c r="AC6" s="54" t="s">
        <v>49</v>
      </c>
      <c r="AD6" s="32"/>
      <c r="AE6" s="55" t="s">
        <v>50</v>
      </c>
      <c r="AF6" s="33"/>
    </row>
    <row r="7" spans="1:32" ht="14.4" x14ac:dyDescent="0.25">
      <c r="A7" s="41" t="e">
        <f ca="1">_xll.SNL.Clients.Office.Excel.Functions.SPG($L7, A$3)</f>
        <v>#NAME?</v>
      </c>
      <c r="B7" s="41" t="e">
        <f ca="1">_xll.BDP($K7,B$3)</f>
        <v>#NAME?</v>
      </c>
      <c r="C7" s="41" t="e">
        <f ca="1">_xll.BDP($K7,C$3)</f>
        <v>#NAME?</v>
      </c>
      <c r="D7" s="41" t="e">
        <f ca="1">_xll.BDP($K7,D$3)</f>
        <v>#NAME?</v>
      </c>
      <c r="E7" s="56" t="s">
        <v>43</v>
      </c>
      <c r="F7" s="56" t="s">
        <v>44</v>
      </c>
      <c r="G7" s="56" t="s">
        <v>51</v>
      </c>
      <c r="H7" s="43" t="e">
        <f ca="1">_xll.SNL.Clients.Office.Excel.Functions.SPG($L7, "IQ_TEV", "Options: Curr=USD")</f>
        <v>#NAME?</v>
      </c>
      <c r="I7" s="43" t="e">
        <f ca="1">_xll.SNL.Clients.Office.Excel.Functions.SPG($L7, "SP_MARKETCAP", "Options: Curr=USD")</f>
        <v>#NAME?</v>
      </c>
      <c r="J7" s="44" t="s">
        <v>52</v>
      </c>
      <c r="K7" s="13" t="s">
        <v>53</v>
      </c>
      <c r="L7" s="13" t="s">
        <v>54</v>
      </c>
      <c r="M7" s="45" t="str" cm="1">
        <f t="array" aca="1" ref="M7" ca="1">IFERROR(_xll.SNL.Clients.Office.Excel.Functions.SPG($L7, $M$3)/100,"NA")</f>
        <v>NA</v>
      </c>
      <c r="N7" s="46" t="e" cm="1">
        <f t="array" aca="1" ref="N7" ca="1">_xll.SNL.Clients.Office.Excel.Functions.SPG($L7, "SP_PCFPS_FWD",N$2)</f>
        <v>#NAME?</v>
      </c>
      <c r="O7" s="47" t="e" cm="1">
        <f t="array" aca="1" ref="O7" ca="1">_xll.SNL.Clients.Office.Excel.Functions.SPG($L7, "SP_PCFPS_FWD",O$2)</f>
        <v>#NAME?</v>
      </c>
      <c r="P7" s="48" t="e" cm="1">
        <f t="array" aca="1" ref="P7" ca="1">_xll.SNL.Clients.Office.Excel.Functions.SPG($L7, "SP_PCFPS_FWD",P$2)</f>
        <v>#NAME?</v>
      </c>
      <c r="Q7" s="49" t="e">
        <f ca="1">_xll.SNL.Clients.Office.Excel.Functions.SPG($L7, "SP_FCF_EST",Q$2, "Options: Curr=USD")/1000/$I7</f>
        <v>#NAME?</v>
      </c>
      <c r="R7" s="49" t="e">
        <f ca="1">_xll.SNL.Clients.Office.Excel.Functions.SPG($L7, "SP_FCF_EST",R$2, "Options: Curr=USD")/1000/$I7</f>
        <v>#NAME?</v>
      </c>
      <c r="S7" s="46" t="e" cm="1">
        <f t="array" aca="1" ref="S7" ca="1">_xll.SNL.Clients.Office.Excel.Functions.SPG($L7, "SP_PE_FWD",S$2)</f>
        <v>#NAME?</v>
      </c>
      <c r="T7" s="47" t="e" cm="1">
        <f t="array" aca="1" ref="T7" ca="1">_xll.SNL.Clients.Office.Excel.Functions.SPG($L7, "SP_PE_FWD",T$2)</f>
        <v>#NAME?</v>
      </c>
      <c r="U7" s="48" t="e" cm="1">
        <f t="array" aca="1" ref="U7" ca="1">_xll.SNL.Clients.Office.Excel.Functions.SPG($L7, "SP_PE_FWD",U$2)</f>
        <v>#NAME?</v>
      </c>
      <c r="V7" s="57" t="e" cm="1">
        <f t="array" aca="1" ref="V7" ca="1">IF((_xll.SNL.Clients.Office.Excel.Functions.SPG($L7,$V$3,V$4,"Options: Curr=USD") / _xll.SNL.Clients.Office.Excel.Functions.SPG($L7,"SP_EBITDA_EST",V$2,"Options: Curr=USD")) &lt; 0, "NM", (_xll.SNL.Clients.Office.Excel.Functions.SPG($L7,$V$3,V$4,"Options: Curr=USD") / _xll.SNL.Clients.Office.Excel.Functions.SPG($L7,"SP_EBITDA_EST",V$2,"Options: Curr=USD")))</f>
        <v>#NAME?</v>
      </c>
      <c r="W7" s="58" t="e" cm="1">
        <f t="array" aca="1" ref="W7" ca="1">_xll.SNL.Clients.Office.Excel.Functions.SPG($L7, $W$3,W$4)</f>
        <v>#NAME?</v>
      </c>
      <c r="X7" s="46" t="e" cm="1">
        <f t="array" aca="1" ref="X7" ca="1">_xll.SNL.Clients.Office.Excel.Functions.SPG($L7, $X$3,X$2)</f>
        <v>#NAME?</v>
      </c>
      <c r="Y7" s="47" t="e" cm="1">
        <f t="array" aca="1" ref="Y7" ca="1">_xll.SNL.Clients.Office.Excel.Functions.SPG($L7, $X$3,Y$2)</f>
        <v>#NAME?</v>
      </c>
      <c r="Z7" s="48" t="e" cm="1">
        <f t="array" aca="1" ref="Z7" ca="1">_xll.SNL.Clients.Office.Excel.Functions.SPG($L7, $X$3,Z$2)</f>
        <v>#NAME?</v>
      </c>
      <c r="AA7" s="53" t="e" cm="1">
        <f t="array" aca="1" ref="AA7" ca="1">_xll.SNL.Clients.Office.Excel.Functions.SPG($L7, $AA$3)</f>
        <v>#NAME?</v>
      </c>
      <c r="AC7" s="54" t="s">
        <v>49</v>
      </c>
      <c r="AD7" s="32"/>
      <c r="AE7" s="55" t="s">
        <v>50</v>
      </c>
      <c r="AF7" s="33"/>
    </row>
    <row r="8" spans="1:32" ht="14.4" x14ac:dyDescent="0.25">
      <c r="A8" s="41" t="e">
        <f ca="1">_xll.SNL.Clients.Office.Excel.Functions.SPG($L8, A$3)</f>
        <v>#NAME?</v>
      </c>
      <c r="B8" s="41" t="e">
        <f ca="1">_xll.BDP($K8,B$3)</f>
        <v>#NAME?</v>
      </c>
      <c r="C8" s="41" t="e">
        <f ca="1">_xll.BDP($K8,C$3)</f>
        <v>#NAME?</v>
      </c>
      <c r="D8" s="41" t="e">
        <f ca="1">_xll.BDP($K8,D$3)</f>
        <v>#NAME?</v>
      </c>
      <c r="E8" s="56" t="s">
        <v>55</v>
      </c>
      <c r="F8" s="56" t="s">
        <v>44</v>
      </c>
      <c r="G8" s="56" t="s">
        <v>56</v>
      </c>
      <c r="H8" s="43" t="e">
        <f ca="1">_xll.SNL.Clients.Office.Excel.Functions.SPG($L8, "IQ_TEV", "Options: Curr=USD")</f>
        <v>#NAME?</v>
      </c>
      <c r="I8" s="43" t="e">
        <f ca="1">_xll.SNL.Clients.Office.Excel.Functions.SPG($L8, "SP_MARKETCAP", "Options: Curr=USD")</f>
        <v>#NAME?</v>
      </c>
      <c r="J8" s="44" t="s">
        <v>57</v>
      </c>
      <c r="K8" s="13" t="s">
        <v>58</v>
      </c>
      <c r="L8" s="59" t="s">
        <v>59</v>
      </c>
      <c r="M8" s="45" t="str" cm="1">
        <f t="array" aca="1" ref="M8" ca="1">IFERROR(_xll.SNL.Clients.Office.Excel.Functions.SPG($L8, $M$3)/100,"NA")</f>
        <v>NA</v>
      </c>
      <c r="N8" s="46" t="e" cm="1">
        <f t="array" aca="1" ref="N8" ca="1">_xll.SNL.Clients.Office.Excel.Functions.SPG($L8, "SP_PCFPS_FWD",N$2)</f>
        <v>#NAME?</v>
      </c>
      <c r="O8" s="47" t="e" cm="1">
        <f t="array" aca="1" ref="O8" ca="1">_xll.SNL.Clients.Office.Excel.Functions.SPG($L8, "SP_PCFPS_FWD",O$2)</f>
        <v>#NAME?</v>
      </c>
      <c r="P8" s="48" t="e" cm="1">
        <f t="array" aca="1" ref="P8" ca="1">_xll.SNL.Clients.Office.Excel.Functions.SPG($L8, "SP_PCFPS_FWD",P$2)</f>
        <v>#NAME?</v>
      </c>
      <c r="Q8" s="49" t="e">
        <f ca="1">_xll.SNL.Clients.Office.Excel.Functions.SPG($L8, "SP_FCF_EST",Q$2, "Options: Curr=USD")/1000/$I8</f>
        <v>#NAME?</v>
      </c>
      <c r="R8" s="49" t="e">
        <f ca="1">_xll.SNL.Clients.Office.Excel.Functions.SPG($L8, "SP_FCF_EST",R$2, "Options: Curr=USD")/1000/$I8</f>
        <v>#NAME?</v>
      </c>
      <c r="S8" s="46" t="e" cm="1">
        <f t="array" aca="1" ref="S8" ca="1">_xll.SNL.Clients.Office.Excel.Functions.SPG($L8, "SP_PE_FWD",S$2)</f>
        <v>#NAME?</v>
      </c>
      <c r="T8" s="47" t="e" cm="1">
        <f t="array" aca="1" ref="T8" ca="1">_xll.SNL.Clients.Office.Excel.Functions.SPG($L8, "SP_PE_FWD",T$2)</f>
        <v>#NAME?</v>
      </c>
      <c r="U8" s="48" t="e" cm="1">
        <f t="array" aca="1" ref="U8" ca="1">_xll.SNL.Clients.Office.Excel.Functions.SPG($L8, "SP_PE_FWD",U$2)</f>
        <v>#NAME?</v>
      </c>
      <c r="V8" s="57" t="e" cm="1">
        <f t="array" aca="1" ref="V8" ca="1">IF((_xll.SNL.Clients.Office.Excel.Functions.SPG($L8,$V$3,V$4,"Options: Curr=USD") / _xll.SNL.Clients.Office.Excel.Functions.SPG($L8,"SP_EBITDA_EST",V$2,"Options: Curr=USD")) &lt; 0, "NM", (_xll.SNL.Clients.Office.Excel.Functions.SPG($L8,$V$3,V$4,"Options: Curr=USD") / _xll.SNL.Clients.Office.Excel.Functions.SPG($L8,"SP_EBITDA_EST",V$2,"Options: Curr=USD")))</f>
        <v>#NAME?</v>
      </c>
      <c r="W8" s="58" t="e" cm="1">
        <f t="array" aca="1" ref="W8" ca="1">_xll.SNL.Clients.Office.Excel.Functions.SPG($L8, $W$3,W$4)</f>
        <v>#NAME?</v>
      </c>
      <c r="X8" s="46" t="e" cm="1">
        <f t="array" aca="1" ref="X8" ca="1">_xll.SNL.Clients.Office.Excel.Functions.SPG($L8, $X$3,X$2)</f>
        <v>#NAME?</v>
      </c>
      <c r="Y8" s="47" t="e" cm="1">
        <f t="array" aca="1" ref="Y8" ca="1">_xll.SNL.Clients.Office.Excel.Functions.SPG($L8, $X$3,Y$2)</f>
        <v>#NAME?</v>
      </c>
      <c r="Z8" s="48" t="e" cm="1">
        <f t="array" aca="1" ref="Z8" ca="1">_xll.SNL.Clients.Office.Excel.Functions.SPG($L8, $X$3,Z$2)</f>
        <v>#NAME?</v>
      </c>
      <c r="AA8" s="53" t="e" cm="1">
        <f t="array" aca="1" ref="AA8" ca="1">_xll.SNL.Clients.Office.Excel.Functions.SPG($L8, $AA$3)</f>
        <v>#NAME?</v>
      </c>
      <c r="AC8" s="60" t="s">
        <v>49</v>
      </c>
      <c r="AD8" s="32"/>
      <c r="AE8" s="55" t="s">
        <v>60</v>
      </c>
      <c r="AF8" s="33"/>
    </row>
    <row r="9" spans="1:32" ht="14.4" x14ac:dyDescent="0.25">
      <c r="A9" s="41" t="e">
        <f ca="1">_xll.SNL.Clients.Office.Excel.Functions.SPG($L9, A$3)</f>
        <v>#NAME?</v>
      </c>
      <c r="B9" s="41" t="e">
        <f ca="1">_xll.BDP($K9,B$3)</f>
        <v>#NAME?</v>
      </c>
      <c r="C9" s="41" t="e">
        <f ca="1">_xll.BDP($K9,C$3)</f>
        <v>#NAME?</v>
      </c>
      <c r="D9" s="41" t="e">
        <f ca="1">_xll.BDP($K9,D$3)</f>
        <v>#NAME?</v>
      </c>
      <c r="E9" s="56" t="s">
        <v>61</v>
      </c>
      <c r="F9" s="56" t="s">
        <v>62</v>
      </c>
      <c r="G9" s="56" t="s">
        <v>63</v>
      </c>
      <c r="H9" s="43" t="e">
        <f ca="1">_xll.SNL.Clients.Office.Excel.Functions.SPG($L9, "IQ_TEV", "Options: Curr=USD")</f>
        <v>#NAME?</v>
      </c>
      <c r="I9" s="43" t="e">
        <f ca="1">_xll.SNL.Clients.Office.Excel.Functions.SPG($L9, "SP_MARKETCAP", "Options: Curr=USD")</f>
        <v>#NAME?</v>
      </c>
      <c r="J9" s="44" t="s">
        <v>64</v>
      </c>
      <c r="K9" s="13" t="s">
        <v>65</v>
      </c>
      <c r="L9" s="59" t="s">
        <v>66</v>
      </c>
      <c r="M9" s="45" t="str" cm="1">
        <f t="array" aca="1" ref="M9" ca="1">IFERROR(_xll.SNL.Clients.Office.Excel.Functions.SPG($L9, $M$3)/100,"NA")</f>
        <v>NA</v>
      </c>
      <c r="N9" s="46" t="e" cm="1">
        <f t="array" aca="1" ref="N9" ca="1">_xll.SNL.Clients.Office.Excel.Functions.SPG($L9, "SP_PCFPS_FWD",N$2)</f>
        <v>#NAME?</v>
      </c>
      <c r="O9" s="47" t="e" cm="1">
        <f t="array" aca="1" ref="O9" ca="1">_xll.SNL.Clients.Office.Excel.Functions.SPG($L9, "SP_PCFPS_FWD",O$2)</f>
        <v>#NAME?</v>
      </c>
      <c r="P9" s="48" t="e" cm="1">
        <f t="array" aca="1" ref="P9" ca="1">_xll.SNL.Clients.Office.Excel.Functions.SPG($L9, "SP_PCFPS_FWD",P$2)</f>
        <v>#NAME?</v>
      </c>
      <c r="Q9" s="61" t="e">
        <f ca="1">_xll.SNL.Clients.Office.Excel.Functions.SPG($L9, "SP_FCF_EST",Q$2, "Options: Curr=USD")/1000/$I9</f>
        <v>#NAME?</v>
      </c>
      <c r="R9" s="61" t="e">
        <f ca="1">_xll.SNL.Clients.Office.Excel.Functions.SPG($L9, "SP_FCF_EST",R$2, "Options: Curr=USD")/1000/$I9</f>
        <v>#NAME?</v>
      </c>
      <c r="S9" s="46" t="e" cm="1">
        <f t="array" aca="1" ref="S9" ca="1">_xll.SNL.Clients.Office.Excel.Functions.SPG($L9, "SP_PE_FWD",S$2)</f>
        <v>#NAME?</v>
      </c>
      <c r="T9" s="47" t="e" cm="1">
        <f t="array" aca="1" ref="T9" ca="1">_xll.SNL.Clients.Office.Excel.Functions.SPG($L9, "SP_PE_FWD",T$2)</f>
        <v>#NAME?</v>
      </c>
      <c r="U9" s="48" t="e" cm="1">
        <f t="array" aca="1" ref="U9" ca="1">_xll.SNL.Clients.Office.Excel.Functions.SPG($L9, "SP_PE_FWD",U$2)</f>
        <v>#NAME?</v>
      </c>
      <c r="V9" s="57" t="e" cm="1">
        <f t="array" aca="1" ref="V9" ca="1">IF((_xll.SNL.Clients.Office.Excel.Functions.SPG($L9,$V$3,V$4,"Options: Curr=USD") / _xll.SNL.Clients.Office.Excel.Functions.SPG($L9,"SP_EBITDA_EST",V$2,"Options: Curr=USD")) &lt; 0, "NM", (_xll.SNL.Clients.Office.Excel.Functions.SPG($L9,$V$3,V$4,"Options: Curr=USD") / _xll.SNL.Clients.Office.Excel.Functions.SPG($L9,"SP_EBITDA_EST",V$2,"Options: Curr=USD")))</f>
        <v>#NAME?</v>
      </c>
      <c r="W9" s="58" t="e" cm="1">
        <f t="array" aca="1" ref="W9" ca="1">_xll.SNL.Clients.Office.Excel.Functions.SPG($L9, $W$3,W$4)</f>
        <v>#NAME?</v>
      </c>
      <c r="X9" s="46" t="e" cm="1">
        <f t="array" aca="1" ref="X9" ca="1">_xll.SNL.Clients.Office.Excel.Functions.SPG($L9, $X$3,X$2)</f>
        <v>#NAME?</v>
      </c>
      <c r="Y9" s="47" t="e" cm="1">
        <f t="array" aca="1" ref="Y9" ca="1">_xll.SNL.Clients.Office.Excel.Functions.SPG($L9, $X$3,Y$2)</f>
        <v>#NAME?</v>
      </c>
      <c r="Z9" s="48" t="e" cm="1">
        <f t="array" aca="1" ref="Z9" ca="1">_xll.SNL.Clients.Office.Excel.Functions.SPG($L9, $X$3,Z$2)</f>
        <v>#NAME?</v>
      </c>
      <c r="AA9" s="53" t="e" cm="1">
        <f t="array" aca="1" ref="AA9" ca="1">_xll.SNL.Clients.Office.Excel.Functions.SPG($L9, $AA$3)</f>
        <v>#NAME?</v>
      </c>
      <c r="AC9" s="60" t="s">
        <v>49</v>
      </c>
      <c r="AD9" s="32"/>
      <c r="AE9" s="55" t="s">
        <v>50</v>
      </c>
      <c r="AF9" s="33"/>
    </row>
    <row r="10" spans="1:32" ht="14.4" x14ac:dyDescent="0.25">
      <c r="A10" s="41" t="e">
        <f ca="1">_xll.SNL.Clients.Office.Excel.Functions.SPG($L10, A$3)</f>
        <v>#NAME?</v>
      </c>
      <c r="B10" s="41" t="e">
        <f ca="1">_xll.BDP($K10,B$3)</f>
        <v>#NAME?</v>
      </c>
      <c r="C10" s="41" t="e">
        <f ca="1">_xll.BDP($K10,C$3)</f>
        <v>#NAME?</v>
      </c>
      <c r="D10" s="41" t="e">
        <f ca="1">_xll.BDP($K10,D$3)</f>
        <v>#NAME?</v>
      </c>
      <c r="E10" s="56" t="s">
        <v>67</v>
      </c>
      <c r="F10" s="56" t="s">
        <v>44</v>
      </c>
      <c r="G10" s="56" t="s">
        <v>56</v>
      </c>
      <c r="H10" s="43" t="e">
        <f ca="1">_xll.SNL.Clients.Office.Excel.Functions.SPG($L10, "IQ_TEV", "Options: Curr=USD")</f>
        <v>#NAME?</v>
      </c>
      <c r="I10" s="43" t="e">
        <f ca="1">_xll.SNL.Clients.Office.Excel.Functions.SPG($L10, "SP_MARKETCAP", "Options: Curr=USD")</f>
        <v>#NAME?</v>
      </c>
      <c r="J10" s="44" t="s">
        <v>68</v>
      </c>
      <c r="K10" s="13" t="s">
        <v>69</v>
      </c>
      <c r="L10" s="59" t="s">
        <v>70</v>
      </c>
      <c r="M10" s="45" t="str" cm="1">
        <f t="array" aca="1" ref="M10" ca="1">IFERROR(_xll.SNL.Clients.Office.Excel.Functions.SPG($L10, $M$3)/100,"NA")</f>
        <v>NA</v>
      </c>
      <c r="N10" s="46" t="e" cm="1">
        <f t="array" aca="1" ref="N10" ca="1">_xll.SNL.Clients.Office.Excel.Functions.SPG($L10, "SP_PCFPS_FWD",N$2)</f>
        <v>#NAME?</v>
      </c>
      <c r="O10" s="47" t="e" cm="1">
        <f t="array" aca="1" ref="O10" ca="1">_xll.SNL.Clients.Office.Excel.Functions.SPG($L10, "SP_PCFPS_FWD",O$2)</f>
        <v>#NAME?</v>
      </c>
      <c r="P10" s="48" t="e" cm="1">
        <f t="array" aca="1" ref="P10" ca="1">_xll.SNL.Clients.Office.Excel.Functions.SPG($L10, "SP_PCFPS_FWD",P$2)</f>
        <v>#NAME?</v>
      </c>
      <c r="Q10" s="49" t="e">
        <f ca="1">_xll.SNL.Clients.Office.Excel.Functions.SPG($L10, "SP_FCF_EST",Q$2, "Options: Curr=USD")/1000/$I10</f>
        <v>#NAME?</v>
      </c>
      <c r="R10" s="49" t="e">
        <f ca="1">_xll.SNL.Clients.Office.Excel.Functions.SPG($L10, "SP_FCF_EST",R$2, "Options: Curr=USD")/1000/$I10</f>
        <v>#NAME?</v>
      </c>
      <c r="S10" s="46" t="e" cm="1">
        <f t="array" aca="1" ref="S10" ca="1">_xll.SNL.Clients.Office.Excel.Functions.SPG($L10, "SP_PE_FWD",S$2)</f>
        <v>#NAME?</v>
      </c>
      <c r="T10" s="47" t="e" cm="1">
        <f t="array" aca="1" ref="T10" ca="1">_xll.SNL.Clients.Office.Excel.Functions.SPG($L10, "SP_PE_FWD",T$2)</f>
        <v>#NAME?</v>
      </c>
      <c r="U10" s="48" t="e" cm="1">
        <f t="array" aca="1" ref="U10" ca="1">_xll.SNL.Clients.Office.Excel.Functions.SPG($L10, "SP_PE_FWD",U$2)</f>
        <v>#NAME?</v>
      </c>
      <c r="V10" s="57" t="e" cm="1">
        <f t="array" aca="1" ref="V10" ca="1">IF((_xll.SNL.Clients.Office.Excel.Functions.SPG($L10,$V$3,V$4,"Options: Curr=USD") / _xll.SNL.Clients.Office.Excel.Functions.SPG($L10,"SP_EBITDA_EST",V$2,"Options: Curr=USD")) &lt; 0, "NM", (_xll.SNL.Clients.Office.Excel.Functions.SPG($L10,$V$3,V$4,"Options: Curr=USD") / _xll.SNL.Clients.Office.Excel.Functions.SPG($L10,"SP_EBITDA_EST",V$2,"Options: Curr=USD")))</f>
        <v>#NAME?</v>
      </c>
      <c r="W10" s="58" t="e" cm="1">
        <f t="array" aca="1" ref="W10" ca="1">_xll.SNL.Clients.Office.Excel.Functions.SPG($L10, $W$3,W$4)</f>
        <v>#NAME?</v>
      </c>
      <c r="X10" s="46" t="e" cm="1">
        <f t="array" aca="1" ref="X10" ca="1">_xll.SNL.Clients.Office.Excel.Functions.SPG($L10, $X$3,X$2)</f>
        <v>#NAME?</v>
      </c>
      <c r="Y10" s="47" t="e" cm="1">
        <f t="array" aca="1" ref="Y10" ca="1">_xll.SNL.Clients.Office.Excel.Functions.SPG($L10, $X$3,Y$2)</f>
        <v>#NAME?</v>
      </c>
      <c r="Z10" s="48" t="e" cm="1">
        <f t="array" aca="1" ref="Z10" ca="1">_xll.SNL.Clients.Office.Excel.Functions.SPG($L10, $X$3,Z$2)</f>
        <v>#NAME?</v>
      </c>
      <c r="AA10" s="53" t="e" cm="1">
        <f t="array" aca="1" ref="AA10" ca="1">_xll.SNL.Clients.Office.Excel.Functions.SPG($L10, $AA$3)</f>
        <v>#NAME?</v>
      </c>
      <c r="AC10" s="60" t="s">
        <v>49</v>
      </c>
      <c r="AD10" s="32"/>
      <c r="AE10" s="55" t="s">
        <v>50</v>
      </c>
      <c r="AF10" s="33"/>
    </row>
    <row r="11" spans="1:32" ht="14.4" x14ac:dyDescent="0.25">
      <c r="A11" s="41" t="e">
        <f ca="1">_xll.SNL.Clients.Office.Excel.Functions.SPG($L11, A$3)</f>
        <v>#NAME?</v>
      </c>
      <c r="B11" s="41" t="e">
        <f ca="1">_xll.BDP($K11,B$3)</f>
        <v>#NAME?</v>
      </c>
      <c r="C11" s="41" t="e">
        <f ca="1">_xll.BDP($K11,C$3)</f>
        <v>#NAME?</v>
      </c>
      <c r="D11" s="41" t="e">
        <f ca="1">_xll.BDP($K11,D$3)</f>
        <v>#NAME?</v>
      </c>
      <c r="E11" s="56" t="s">
        <v>71</v>
      </c>
      <c r="F11" s="56" t="s">
        <v>62</v>
      </c>
      <c r="G11" s="56" t="s">
        <v>56</v>
      </c>
      <c r="H11" s="43" t="e">
        <f ca="1">_xll.SNL.Clients.Office.Excel.Functions.SPG($L11, "IQ_TEV", "Options: Curr=USD")</f>
        <v>#NAME?</v>
      </c>
      <c r="I11" s="43" t="e">
        <f ca="1">_xll.SNL.Clients.Office.Excel.Functions.SPG($L11, "SP_MARKETCAP", "Options: Curr=USD")</f>
        <v>#NAME?</v>
      </c>
      <c r="J11" s="44" t="s">
        <v>72</v>
      </c>
      <c r="K11" s="13" t="s">
        <v>73</v>
      </c>
      <c r="L11" s="59" t="s">
        <v>74</v>
      </c>
      <c r="M11" s="45" t="str" cm="1">
        <f t="array" aca="1" ref="M11" ca="1">IFERROR(_xll.SNL.Clients.Office.Excel.Functions.SPG($L11, $M$3)/100,"NA")</f>
        <v>NA</v>
      </c>
      <c r="N11" s="46" t="e" cm="1">
        <f t="array" aca="1" ref="N11" ca="1">_xll.SNL.Clients.Office.Excel.Functions.SPG($L11, "SP_PCFPS_FWD",N$2)</f>
        <v>#NAME?</v>
      </c>
      <c r="O11" s="47" t="e" cm="1">
        <f t="array" aca="1" ref="O11" ca="1">_xll.SNL.Clients.Office.Excel.Functions.SPG($L11, "SP_PCFPS_FWD",O$2)</f>
        <v>#NAME?</v>
      </c>
      <c r="P11" s="48" t="e" cm="1">
        <f t="array" aca="1" ref="P11" ca="1">_xll.SNL.Clients.Office.Excel.Functions.SPG($L11, "SP_PCFPS_FWD",P$2)</f>
        <v>#NAME?</v>
      </c>
      <c r="Q11" s="49" t="e">
        <f ca="1">_xll.SNL.Clients.Office.Excel.Functions.SPG($L11, "SP_FCF_EST",Q$2, "Options: Curr=USD")/1000/$I11</f>
        <v>#NAME?</v>
      </c>
      <c r="R11" s="49" t="e">
        <f ca="1">_xll.SNL.Clients.Office.Excel.Functions.SPG($L11, "SP_FCF_EST",R$2, "Options: Curr=USD")/1000/$I11</f>
        <v>#NAME?</v>
      </c>
      <c r="S11" s="46" t="e" cm="1">
        <f t="array" aca="1" ref="S11" ca="1">_xll.SNL.Clients.Office.Excel.Functions.SPG($L11, "SP_PE_FWD",S$2)</f>
        <v>#NAME?</v>
      </c>
      <c r="T11" s="47" t="e" cm="1">
        <f t="array" aca="1" ref="T11" ca="1">_xll.SNL.Clients.Office.Excel.Functions.SPG($L11, "SP_PE_FWD",T$2)</f>
        <v>#NAME?</v>
      </c>
      <c r="U11" s="48" t="e" cm="1">
        <f t="array" aca="1" ref="U11" ca="1">_xll.SNL.Clients.Office.Excel.Functions.SPG($L11, "SP_PE_FWD",U$2)</f>
        <v>#NAME?</v>
      </c>
      <c r="V11" s="57" t="e" cm="1">
        <f t="array" aca="1" ref="V11" ca="1">IF((_xll.SNL.Clients.Office.Excel.Functions.SPG($L11,$V$3,V$4,"Options: Curr=USD") / _xll.SNL.Clients.Office.Excel.Functions.SPG($L11,"SP_EBITDA_EST",V$2,"Options: Curr=USD")) &lt; 0, "NM", (_xll.SNL.Clients.Office.Excel.Functions.SPG($L11,$V$3,V$4,"Options: Curr=USD") / _xll.SNL.Clients.Office.Excel.Functions.SPG($L11,"SP_EBITDA_EST",V$2,"Options: Curr=USD")))</f>
        <v>#NAME?</v>
      </c>
      <c r="W11" s="58" t="e" cm="1">
        <f t="array" aca="1" ref="W11" ca="1">_xll.SNL.Clients.Office.Excel.Functions.SPG($L11, $W$3,W$4)</f>
        <v>#NAME?</v>
      </c>
      <c r="X11" s="46" t="e" cm="1">
        <f t="array" aca="1" ref="X11" ca="1">_xll.SNL.Clients.Office.Excel.Functions.SPG($L11, $X$3,X$2)</f>
        <v>#NAME?</v>
      </c>
      <c r="Y11" s="47" t="e" cm="1">
        <f t="array" aca="1" ref="Y11" ca="1">_xll.SNL.Clients.Office.Excel.Functions.SPG($L11, $X$3,Y$2)</f>
        <v>#NAME?</v>
      </c>
      <c r="Z11" s="48" t="e" cm="1">
        <f t="array" aca="1" ref="Z11" ca="1">_xll.SNL.Clients.Office.Excel.Functions.SPG($L11, $X$3,Z$2)</f>
        <v>#NAME?</v>
      </c>
      <c r="AA11" s="53" t="e" cm="1">
        <f t="array" aca="1" ref="AA11" ca="1">_xll.SNL.Clients.Office.Excel.Functions.SPG($L11, $AA$3)</f>
        <v>#NAME?</v>
      </c>
      <c r="AC11" s="62" t="s">
        <v>75</v>
      </c>
      <c r="AD11" s="32"/>
      <c r="AE11" s="55" t="s">
        <v>50</v>
      </c>
      <c r="AF11" s="33"/>
    </row>
    <row r="12" spans="1:32" ht="14.4" x14ac:dyDescent="0.25">
      <c r="A12" s="41" t="e">
        <f ca="1">_xll.SNL.Clients.Office.Excel.Functions.SPG($L12, A$3)</f>
        <v>#NAME?</v>
      </c>
      <c r="B12" s="41" t="e">
        <f ca="1">_xll.BDP($K12,B$3)</f>
        <v>#NAME?</v>
      </c>
      <c r="C12" s="41" t="e">
        <f ca="1">_xll.BDP($K12,C$3)</f>
        <v>#NAME?</v>
      </c>
      <c r="D12" s="41" t="e">
        <f ca="1">_xll.BDP($K12,D$3)</f>
        <v>#NAME?</v>
      </c>
      <c r="E12" s="56" t="s">
        <v>76</v>
      </c>
      <c r="F12" s="56" t="s">
        <v>62</v>
      </c>
      <c r="G12" s="56" t="s">
        <v>56</v>
      </c>
      <c r="H12" s="43" t="e">
        <f ca="1">_xll.SNL.Clients.Office.Excel.Functions.SPG($L12, "IQ_TEV", "Options: Curr=USD")</f>
        <v>#NAME?</v>
      </c>
      <c r="I12" s="43" t="e">
        <f ca="1">_xll.SNL.Clients.Office.Excel.Functions.SPG($L12, "SP_MARKETCAP", "Options: Curr=USD")</f>
        <v>#NAME?</v>
      </c>
      <c r="J12" s="44" t="s">
        <v>77</v>
      </c>
      <c r="K12" s="13" t="s">
        <v>78</v>
      </c>
      <c r="L12" s="59" t="s">
        <v>79</v>
      </c>
      <c r="M12" s="45" t="str" cm="1">
        <f t="array" aca="1" ref="M12" ca="1">IFERROR(_xll.SNL.Clients.Office.Excel.Functions.SPG($L12, $M$3)/100,"NA")</f>
        <v>NA</v>
      </c>
      <c r="N12" s="46" t="e" cm="1">
        <f t="array" aca="1" ref="N12" ca="1">_xll.SNL.Clients.Office.Excel.Functions.SPG($L12, "SP_PCFPS_FWD",N$2)</f>
        <v>#NAME?</v>
      </c>
      <c r="O12" s="47" t="e" cm="1">
        <f t="array" aca="1" ref="O12" ca="1">_xll.SNL.Clients.Office.Excel.Functions.SPG($L12, "SP_PCFPS_FWD",O$2)</f>
        <v>#NAME?</v>
      </c>
      <c r="P12" s="48" t="e" cm="1">
        <f t="array" aca="1" ref="P12" ca="1">_xll.SNL.Clients.Office.Excel.Functions.SPG($L12, "SP_PCFPS_FWD",P$2)</f>
        <v>#NAME?</v>
      </c>
      <c r="Q12" s="49" t="e">
        <f ca="1">_xll.SNL.Clients.Office.Excel.Functions.SPG($L12, "SP_FCF_EST",Q$2, "Options: Curr=USD")/1000/$I12</f>
        <v>#NAME?</v>
      </c>
      <c r="R12" s="49" t="e">
        <f ca="1">_xll.SNL.Clients.Office.Excel.Functions.SPG($L12, "SP_FCF_EST",R$2, "Options: Curr=USD")/1000/$I12</f>
        <v>#NAME?</v>
      </c>
      <c r="S12" s="46" t="e" cm="1">
        <f t="array" aca="1" ref="S12" ca="1">_xll.SNL.Clients.Office.Excel.Functions.SPG($L12, "SP_PE_FWD",S$2)</f>
        <v>#NAME?</v>
      </c>
      <c r="T12" s="47" t="e" cm="1">
        <f t="array" aca="1" ref="T12" ca="1">_xll.SNL.Clients.Office.Excel.Functions.SPG($L12, "SP_PE_FWD",T$2)</f>
        <v>#NAME?</v>
      </c>
      <c r="U12" s="48" t="e" cm="1">
        <f t="array" aca="1" ref="U12" ca="1">_xll.SNL.Clients.Office.Excel.Functions.SPG($L12, "SP_PE_FWD",U$2)</f>
        <v>#NAME?</v>
      </c>
      <c r="V12" s="57" t="e" cm="1">
        <f t="array" aca="1" ref="V12" ca="1">IF((_xll.SNL.Clients.Office.Excel.Functions.SPG($L12,$V$3,V$4,"Options: Curr=USD") / _xll.SNL.Clients.Office.Excel.Functions.SPG($L12,"SP_EBITDA_EST",V$2,"Options: Curr=USD")) &lt; 0, "NM", (_xll.SNL.Clients.Office.Excel.Functions.SPG($L12,$V$3,V$4,"Options: Curr=USD") / _xll.SNL.Clients.Office.Excel.Functions.SPG($L12,"SP_EBITDA_EST",V$2,"Options: Curr=USD")))</f>
        <v>#NAME?</v>
      </c>
      <c r="W12" s="58" t="e" cm="1">
        <f t="array" aca="1" ref="W12" ca="1">_xll.SNL.Clients.Office.Excel.Functions.SPG($L12, $W$3,W$4)</f>
        <v>#NAME?</v>
      </c>
      <c r="X12" s="46" t="e" cm="1">
        <f t="array" aca="1" ref="X12" ca="1">_xll.SNL.Clients.Office.Excel.Functions.SPG($L12, $X$3,X$2)</f>
        <v>#NAME?</v>
      </c>
      <c r="Y12" s="47" t="e" cm="1">
        <f t="array" aca="1" ref="Y12" ca="1">_xll.SNL.Clients.Office.Excel.Functions.SPG($L12, $X$3,Y$2)</f>
        <v>#NAME?</v>
      </c>
      <c r="Z12" s="48" t="e" cm="1">
        <f t="array" aca="1" ref="Z12" ca="1">_xll.SNL.Clients.Office.Excel.Functions.SPG($L12, $X$3,Z$2)</f>
        <v>#NAME?</v>
      </c>
      <c r="AA12" s="53" t="e" cm="1">
        <f t="array" aca="1" ref="AA12" ca="1">_xll.SNL.Clients.Office.Excel.Functions.SPG($L12, $AA$3)</f>
        <v>#NAME?</v>
      </c>
      <c r="AB12" s="63"/>
      <c r="AC12" s="60" t="s">
        <v>49</v>
      </c>
      <c r="AD12" s="32"/>
      <c r="AE12" s="55" t="s">
        <v>60</v>
      </c>
      <c r="AF12" s="33"/>
    </row>
    <row r="13" spans="1:32" ht="14.4" x14ac:dyDescent="0.25">
      <c r="A13" s="41" t="e">
        <f ca="1">_xll.SNL.Clients.Office.Excel.Functions.SPG($L13, A$3)</f>
        <v>#NAME?</v>
      </c>
      <c r="B13" s="41" t="e">
        <f ca="1">_xll.BDP($K13,B$3)</f>
        <v>#NAME?</v>
      </c>
      <c r="C13" s="41" t="e">
        <f ca="1">_xll.BDP($K13,C$3)</f>
        <v>#NAME?</v>
      </c>
      <c r="D13" s="41" t="e">
        <f ca="1">_xll.BDP($K13,D$3)</f>
        <v>#NAME?</v>
      </c>
      <c r="E13" s="56" t="s">
        <v>80</v>
      </c>
      <c r="F13" s="56" t="s">
        <v>44</v>
      </c>
      <c r="G13" s="56" t="s">
        <v>56</v>
      </c>
      <c r="H13" s="43" t="e">
        <f ca="1">_xll.SNL.Clients.Office.Excel.Functions.SPG($L13, "IQ_TEV", "Options: Curr=USD")</f>
        <v>#NAME?</v>
      </c>
      <c r="I13" s="43" t="e">
        <f ca="1">_xll.SNL.Clients.Office.Excel.Functions.SPG($L13, "SP_MARKETCAP", "Options: Curr=USD")</f>
        <v>#NAME?</v>
      </c>
      <c r="J13" s="44" t="s">
        <v>81</v>
      </c>
      <c r="K13" s="13" t="s">
        <v>82</v>
      </c>
      <c r="L13" s="59" t="s">
        <v>83</v>
      </c>
      <c r="M13" s="45" t="str" cm="1">
        <f t="array" aca="1" ref="M13" ca="1">IFERROR(_xll.SNL.Clients.Office.Excel.Functions.SPG($L13, $M$3)/100,"NA")</f>
        <v>NA</v>
      </c>
      <c r="N13" s="46" t="e" cm="1">
        <f t="array" aca="1" ref="N13" ca="1">_xll.SNL.Clients.Office.Excel.Functions.SPG($L13, "SP_PCFPS_FWD",N$2)</f>
        <v>#NAME?</v>
      </c>
      <c r="O13" s="47" t="e" cm="1">
        <f t="array" aca="1" ref="O13" ca="1">_xll.SNL.Clients.Office.Excel.Functions.SPG($L13, "SP_PCFPS_FWD",O$2)</f>
        <v>#NAME?</v>
      </c>
      <c r="P13" s="48" t="e" cm="1">
        <f t="array" aca="1" ref="P13" ca="1">_xll.SNL.Clients.Office.Excel.Functions.SPG($L13, "SP_PCFPS_FWD",P$2)</f>
        <v>#NAME?</v>
      </c>
      <c r="Q13" s="49" t="e">
        <f ca="1">_xll.SNL.Clients.Office.Excel.Functions.SPG($L13, "SP_FCF_EST",Q$2, "Options: Curr=USD")/1000/$I13</f>
        <v>#NAME?</v>
      </c>
      <c r="R13" s="49" t="e">
        <f ca="1">_xll.SNL.Clients.Office.Excel.Functions.SPG($L13, "SP_FCF_EST",R$2, "Options: Curr=USD")/1000/$I13</f>
        <v>#NAME?</v>
      </c>
      <c r="S13" s="46" t="e" cm="1">
        <f t="array" aca="1" ref="S13" ca="1">_xll.SNL.Clients.Office.Excel.Functions.SPG($L13, "SP_PE_FWD",S$2)</f>
        <v>#NAME?</v>
      </c>
      <c r="T13" s="47" t="e" cm="1">
        <f t="array" aca="1" ref="T13" ca="1">_xll.SNL.Clients.Office.Excel.Functions.SPG($L13, "SP_PE_FWD",T$2)</f>
        <v>#NAME?</v>
      </c>
      <c r="U13" s="48" t="e" cm="1">
        <f t="array" aca="1" ref="U13" ca="1">_xll.SNL.Clients.Office.Excel.Functions.SPG($L13, "SP_PE_FWD",U$2)</f>
        <v>#NAME?</v>
      </c>
      <c r="V13" s="57" t="e" cm="1">
        <f t="array" aca="1" ref="V13" ca="1">IF((_xll.SNL.Clients.Office.Excel.Functions.SPG($L13,$V$3,V$4,"Options: Curr=USD") / _xll.SNL.Clients.Office.Excel.Functions.SPG($L13,"SP_EBITDA_EST",V$2,"Options: Curr=USD")) &lt; 0, "NM", (_xll.SNL.Clients.Office.Excel.Functions.SPG($L13,$V$3,V$4,"Options: Curr=USD") / _xll.SNL.Clients.Office.Excel.Functions.SPG($L13,"SP_EBITDA_EST",V$2,"Options: Curr=USD")))</f>
        <v>#NAME?</v>
      </c>
      <c r="W13" s="58" t="e" cm="1">
        <f t="array" aca="1" ref="W13" ca="1">_xll.SNL.Clients.Office.Excel.Functions.SPG($L13, $W$3,W$4)</f>
        <v>#NAME?</v>
      </c>
      <c r="X13" s="46" t="e" cm="1">
        <f t="array" aca="1" ref="X13" ca="1">_xll.SNL.Clients.Office.Excel.Functions.SPG($L13, $X$3,X$2)</f>
        <v>#NAME?</v>
      </c>
      <c r="Y13" s="47" t="e" cm="1">
        <f t="array" aca="1" ref="Y13" ca="1">_xll.SNL.Clients.Office.Excel.Functions.SPG($L13, $X$3,Y$2)</f>
        <v>#NAME?</v>
      </c>
      <c r="Z13" s="48" t="e" cm="1">
        <f t="array" aca="1" ref="Z13" ca="1">_xll.SNL.Clients.Office.Excel.Functions.SPG($L13, $X$3,Z$2)</f>
        <v>#NAME?</v>
      </c>
      <c r="AA13" s="53" t="e" cm="1">
        <f t="array" aca="1" ref="AA13" ca="1">_xll.SNL.Clients.Office.Excel.Functions.SPG($L13, $AA$3)</f>
        <v>#NAME?</v>
      </c>
      <c r="AC13" s="60" t="s">
        <v>49</v>
      </c>
      <c r="AD13" s="32"/>
      <c r="AE13" s="55" t="s">
        <v>60</v>
      </c>
      <c r="AF13" s="33"/>
    </row>
    <row r="14" spans="1:32" ht="14.4" x14ac:dyDescent="0.25">
      <c r="A14" s="41" t="e">
        <f ca="1">_xll.SNL.Clients.Office.Excel.Functions.SPG($L14, A$3)</f>
        <v>#NAME?</v>
      </c>
      <c r="B14" s="41" t="e">
        <f ca="1">_xll.BDP($K14,B$3)</f>
        <v>#NAME?</v>
      </c>
      <c r="C14" s="41" t="e">
        <f ca="1">_xll.BDP($K14,C$3)</f>
        <v>#NAME?</v>
      </c>
      <c r="D14" s="41" t="e">
        <f ca="1">_xll.BDP($K14,D$3)</f>
        <v>#NAME?</v>
      </c>
      <c r="E14" s="56" t="s">
        <v>84</v>
      </c>
      <c r="F14" s="56" t="s">
        <v>44</v>
      </c>
      <c r="G14" s="56" t="s">
        <v>85</v>
      </c>
      <c r="H14" s="43" t="e">
        <f ca="1">_xll.SNL.Clients.Office.Excel.Functions.SPG($L14, "IQ_TEV", "Options: Curr=USD")</f>
        <v>#NAME?</v>
      </c>
      <c r="I14" s="43" t="e">
        <f ca="1">_xll.SNL.Clients.Office.Excel.Functions.SPG($L14, "SP_MARKETCAP", "Options: Curr=USD")</f>
        <v>#NAME?</v>
      </c>
      <c r="J14" s="44" t="s">
        <v>86</v>
      </c>
      <c r="K14" s="13" t="s">
        <v>87</v>
      </c>
      <c r="L14" s="59" t="s">
        <v>88</v>
      </c>
      <c r="M14" s="45" t="str" cm="1">
        <f t="array" aca="1" ref="M14" ca="1">IFERROR(_xll.SNL.Clients.Office.Excel.Functions.SPG($L14, $M$3)/100,"NA")</f>
        <v>NA</v>
      </c>
      <c r="N14" s="46" t="e" cm="1">
        <f t="array" aca="1" ref="N14" ca="1">_xll.SNL.Clients.Office.Excel.Functions.SPG($L14, "SP_PCFPS_FWD",N$2)</f>
        <v>#NAME?</v>
      </c>
      <c r="O14" s="47" t="e" cm="1">
        <f t="array" aca="1" ref="O14" ca="1">_xll.SNL.Clients.Office.Excel.Functions.SPG($L14, "SP_PCFPS_FWD",O$2)</f>
        <v>#NAME?</v>
      </c>
      <c r="P14" s="48" t="e" cm="1">
        <f t="array" aca="1" ref="P14" ca="1">_xll.SNL.Clients.Office.Excel.Functions.SPG($L14, "SP_PCFPS_FWD",P$2)</f>
        <v>#NAME?</v>
      </c>
      <c r="Q14" s="49" t="e">
        <f ca="1">_xll.SNL.Clients.Office.Excel.Functions.SPG($L14, "SP_FCF_EST",Q$2, "Options: Curr=USD")/1000/$I14</f>
        <v>#NAME?</v>
      </c>
      <c r="R14" s="49" t="e">
        <f ca="1">_xll.SNL.Clients.Office.Excel.Functions.SPG($L14, "SP_FCF_EST",R$2, "Options: Curr=USD")/1000/$I14</f>
        <v>#NAME?</v>
      </c>
      <c r="S14" s="46" t="e" cm="1">
        <f t="array" aca="1" ref="S14" ca="1">_xll.SNL.Clients.Office.Excel.Functions.SPG($L14, "SP_PE_FWD",S$2)</f>
        <v>#NAME?</v>
      </c>
      <c r="T14" s="47" t="e" cm="1">
        <f t="array" aca="1" ref="T14" ca="1">_xll.SNL.Clients.Office.Excel.Functions.SPG($L14, "SP_PE_FWD",T$2)</f>
        <v>#NAME?</v>
      </c>
      <c r="U14" s="48" t="e" cm="1">
        <f t="array" aca="1" ref="U14" ca="1">_xll.SNL.Clients.Office.Excel.Functions.SPG($L14, "SP_PE_FWD",U$2)</f>
        <v>#NAME?</v>
      </c>
      <c r="V14" s="57" t="e" cm="1">
        <f t="array" aca="1" ref="V14" ca="1">IF((_xll.SNL.Clients.Office.Excel.Functions.SPG($L14,$V$3,V$4,"Options: Curr=USD") / _xll.SNL.Clients.Office.Excel.Functions.SPG($L14,"SP_EBITDA_EST",V$2,"Options: Curr=USD")) &lt; 0, "NM", (_xll.SNL.Clients.Office.Excel.Functions.SPG($L14,$V$3,V$4,"Options: Curr=USD") / _xll.SNL.Clients.Office.Excel.Functions.SPG($L14,"SP_EBITDA_EST",V$2,"Options: Curr=USD")))</f>
        <v>#NAME?</v>
      </c>
      <c r="W14" s="58" t="e" cm="1">
        <f t="array" aca="1" ref="W14" ca="1">_xll.SNL.Clients.Office.Excel.Functions.SPG($L14, $W$3,W$4)</f>
        <v>#NAME?</v>
      </c>
      <c r="X14" s="46" t="e" cm="1">
        <f t="array" aca="1" ref="X14" ca="1">_xll.SNL.Clients.Office.Excel.Functions.SPG($L14, $X$3,X$2)</f>
        <v>#NAME?</v>
      </c>
      <c r="Y14" s="47" t="e" cm="1">
        <f t="array" aca="1" ref="Y14" ca="1">_xll.SNL.Clients.Office.Excel.Functions.SPG($L14, $X$3,Y$2)</f>
        <v>#NAME?</v>
      </c>
      <c r="Z14" s="48" t="e" cm="1">
        <f t="array" aca="1" ref="Z14" ca="1">_xll.SNL.Clients.Office.Excel.Functions.SPG($L14, $X$3,Z$2)</f>
        <v>#NAME?</v>
      </c>
      <c r="AA14" s="53" t="e" cm="1">
        <f t="array" aca="1" ref="AA14" ca="1">_xll.SNL.Clients.Office.Excel.Functions.SPG($L14, $AA$3)</f>
        <v>#NAME?</v>
      </c>
      <c r="AC14" s="60" t="s">
        <v>49</v>
      </c>
      <c r="AD14" s="32"/>
      <c r="AE14" s="55" t="s">
        <v>60</v>
      </c>
      <c r="AF14" s="33"/>
    </row>
    <row r="15" spans="1:32" ht="14.4" x14ac:dyDescent="0.25">
      <c r="A15" s="41" t="e">
        <f ca="1">_xll.SNL.Clients.Office.Excel.Functions.SPG($L15, A$3)</f>
        <v>#NAME?</v>
      </c>
      <c r="B15" s="41" t="e">
        <f ca="1">_xll.BDP($K15,B$3)</f>
        <v>#NAME?</v>
      </c>
      <c r="C15" s="41" t="e">
        <f ca="1">_xll.BDP($K15,C$3)</f>
        <v>#NAME?</v>
      </c>
      <c r="D15" s="41" t="e">
        <f ca="1">_xll.BDP($K15,D$3)</f>
        <v>#NAME?</v>
      </c>
      <c r="E15" s="56" t="s">
        <v>43</v>
      </c>
      <c r="F15" s="56" t="s">
        <v>62</v>
      </c>
      <c r="G15" s="56" t="s">
        <v>89</v>
      </c>
      <c r="H15" s="43" t="e">
        <f ca="1">_xll.SNL.Clients.Office.Excel.Functions.SPG($L15, "IQ_TEV", "Options: Curr=USD")</f>
        <v>#NAME?</v>
      </c>
      <c r="I15" s="43" t="e">
        <f ca="1">_xll.SNL.Clients.Office.Excel.Functions.SPG($L15, "SP_MARKETCAP", "Options: Curr=USD")</f>
        <v>#NAME?</v>
      </c>
      <c r="J15" s="64" t="s">
        <v>90</v>
      </c>
      <c r="K15" s="65" t="s">
        <v>91</v>
      </c>
      <c r="L15" s="66" t="s">
        <v>92</v>
      </c>
      <c r="M15" s="67" t="str" cm="1">
        <f t="array" aca="1" ref="M15" ca="1">IFERROR(_xll.SNL.Clients.Office.Excel.Functions.SPG($L15, $M$3)/100,"NA")</f>
        <v>NA</v>
      </c>
      <c r="N15" s="68" t="e" cm="1">
        <f t="array" aca="1" ref="N15" ca="1">_xll.SNL.Clients.Office.Excel.Functions.SPG($L15, "SP_PCFPS_FWD",N$2)</f>
        <v>#NAME?</v>
      </c>
      <c r="O15" s="69" t="e" cm="1">
        <f t="array" aca="1" ref="O15" ca="1">_xll.SNL.Clients.Office.Excel.Functions.SPG($L15, "SP_PCFPS_FWD",O$2)</f>
        <v>#NAME?</v>
      </c>
      <c r="P15" s="70" t="e" cm="1">
        <f t="array" aca="1" ref="P15" ca="1">_xll.SNL.Clients.Office.Excel.Functions.SPG($L15, "SP_PCFPS_FWD",P$2)</f>
        <v>#NAME?</v>
      </c>
      <c r="Q15" s="71" t="e">
        <f ca="1">_xll.SNL.Clients.Office.Excel.Functions.SPG($L15, "SP_FCF_EST",Q$2, "Options: Curr=USD")/1000/$I15</f>
        <v>#NAME?</v>
      </c>
      <c r="R15" s="71" t="e">
        <f ca="1">_xll.SNL.Clients.Office.Excel.Functions.SPG($L15, "SP_FCF_EST",R$2, "Options: Curr=USD")/1000/$I15</f>
        <v>#NAME?</v>
      </c>
      <c r="S15" s="68" t="e" cm="1">
        <f t="array" aca="1" ref="S15" ca="1">_xll.SNL.Clients.Office.Excel.Functions.SPG($L15, "SP_PE_FWD",S$2)</f>
        <v>#NAME?</v>
      </c>
      <c r="T15" s="69" t="e" cm="1">
        <f t="array" aca="1" ref="T15" ca="1">_xll.SNL.Clients.Office.Excel.Functions.SPG($L15, "SP_PE_FWD",T$2)</f>
        <v>#NAME?</v>
      </c>
      <c r="U15" s="70" t="e" cm="1">
        <f t="array" aca="1" ref="U15" ca="1">_xll.SNL.Clients.Office.Excel.Functions.SPG($L15, "SP_PE_FWD",U$2)</f>
        <v>#NAME?</v>
      </c>
      <c r="V15" s="72" t="e" cm="1">
        <f t="array" aca="1" ref="V15" ca="1">IF((_xll.SNL.Clients.Office.Excel.Functions.SPG($L15,$V$3,V$4,"Options: Curr=USD") / _xll.SNL.Clients.Office.Excel.Functions.SPG($L15,"SP_EBITDA_EST",V$2,"Options: Curr=USD")) &lt; 0, "NM", (_xll.SNL.Clients.Office.Excel.Functions.SPG($L15,$V$3,V$4,"Options: Curr=USD") / _xll.SNL.Clients.Office.Excel.Functions.SPG($L15,"SP_EBITDA_EST",V$2,"Options: Curr=USD")))</f>
        <v>#NAME?</v>
      </c>
      <c r="W15" s="73" t="e" cm="1">
        <f t="array" aca="1" ref="W15" ca="1">_xll.SNL.Clients.Office.Excel.Functions.SPG($L15, $W$3,W$4)</f>
        <v>#NAME?</v>
      </c>
      <c r="X15" s="68" t="e" cm="1">
        <f t="array" aca="1" ref="X15" ca="1">_xll.SNL.Clients.Office.Excel.Functions.SPG($L15, $X$3,X$2)</f>
        <v>#NAME?</v>
      </c>
      <c r="Y15" s="69" t="e" cm="1">
        <f t="array" aca="1" ref="Y15" ca="1">_xll.SNL.Clients.Office.Excel.Functions.SPG($L15, $X$3,Y$2)</f>
        <v>#NAME?</v>
      </c>
      <c r="Z15" s="70" t="e" cm="1">
        <f t="array" aca="1" ref="Z15" ca="1">_xll.SNL.Clients.Office.Excel.Functions.SPG($L15, $X$3,Z$2)</f>
        <v>#NAME?</v>
      </c>
      <c r="AA15" s="74" t="e" cm="1">
        <f t="array" aca="1" ref="AA15" ca="1">_xll.SNL.Clients.Office.Excel.Functions.SPG($L15, $AA$3)</f>
        <v>#NAME?</v>
      </c>
      <c r="AC15" s="75" t="s">
        <v>49</v>
      </c>
      <c r="AD15" s="76"/>
      <c r="AE15" s="77" t="s">
        <v>60</v>
      </c>
      <c r="AF15" s="78"/>
    </row>
    <row r="16" spans="1:32" ht="13.8" x14ac:dyDescent="0.3">
      <c r="A16" s="79"/>
      <c r="J16" s="80"/>
      <c r="K16" s="80"/>
    </row>
    <row r="17" spans="1:11" ht="13.8" x14ac:dyDescent="0.25">
      <c r="A17" s="41"/>
      <c r="J17" s="80"/>
      <c r="K17" s="80"/>
    </row>
    <row r="18" spans="1:11" ht="13.8" x14ac:dyDescent="0.25">
      <c r="A18" s="41"/>
      <c r="J18" s="80"/>
      <c r="K18" s="80"/>
    </row>
    <row r="19" spans="1:11" ht="13.8" x14ac:dyDescent="0.25">
      <c r="A19" s="41"/>
      <c r="J19" s="80"/>
      <c r="K19" s="80"/>
    </row>
    <row r="20" spans="1:11" ht="13.8" x14ac:dyDescent="0.25">
      <c r="A20" s="41"/>
      <c r="J20" s="80"/>
      <c r="K20" s="80"/>
    </row>
    <row r="21" spans="1:11" ht="13.8" x14ac:dyDescent="0.25">
      <c r="A21" s="41"/>
      <c r="J21" s="80"/>
      <c r="K21" s="80"/>
    </row>
    <row r="22" spans="1:11" x14ac:dyDescent="0.25">
      <c r="A22" s="41"/>
    </row>
    <row r="23" spans="1:11" x14ac:dyDescent="0.25">
      <c r="A23" s="41"/>
    </row>
    <row r="24" spans="1:11" x14ac:dyDescent="0.25">
      <c r="A24" s="41"/>
    </row>
    <row r="25" spans="1:11" x14ac:dyDescent="0.25">
      <c r="A25" s="41"/>
    </row>
    <row r="26" spans="1:11" x14ac:dyDescent="0.25">
      <c r="A26" s="41"/>
    </row>
    <row r="27" spans="1:11" x14ac:dyDescent="0.25">
      <c r="A27" s="41"/>
    </row>
    <row r="28" spans="1:11" x14ac:dyDescent="0.25">
      <c r="A28" s="41"/>
    </row>
    <row r="29" spans="1:11" x14ac:dyDescent="0.25">
      <c r="A29" s="41"/>
    </row>
    <row r="30" spans="1:11" x14ac:dyDescent="0.25">
      <c r="A30" s="41"/>
    </row>
    <row r="31" spans="1:11" x14ac:dyDescent="0.25">
      <c r="A31" s="41"/>
    </row>
    <row r="32" spans="1:11" x14ac:dyDescent="0.25">
      <c r="A32" s="41"/>
    </row>
    <row r="33" spans="1:19" x14ac:dyDescent="0.25">
      <c r="A33" s="41"/>
    </row>
    <row r="34" spans="1:19" x14ac:dyDescent="0.25">
      <c r="A34" s="41"/>
    </row>
    <row r="35" spans="1:19" x14ac:dyDescent="0.25">
      <c r="A35" s="41"/>
      <c r="S35" s="13" t="s">
        <v>93</v>
      </c>
    </row>
    <row r="36" spans="1:19" x14ac:dyDescent="0.25">
      <c r="A36" s="41"/>
    </row>
    <row r="37" spans="1:19" x14ac:dyDescent="0.25">
      <c r="A37" s="41"/>
    </row>
    <row r="38" spans="1:19" x14ac:dyDescent="0.25">
      <c r="A38" s="41"/>
    </row>
    <row r="39" spans="1:19" x14ac:dyDescent="0.25">
      <c r="A39" s="41"/>
    </row>
    <row r="40" spans="1:19" x14ac:dyDescent="0.25">
      <c r="A40" s="41"/>
    </row>
    <row r="43" spans="1:19" x14ac:dyDescent="0.25">
      <c r="A43" s="41"/>
    </row>
    <row r="44" spans="1:19" x14ac:dyDescent="0.25">
      <c r="A44" s="41"/>
    </row>
    <row r="45" spans="1:19" x14ac:dyDescent="0.25">
      <c r="A45" s="41"/>
    </row>
    <row r="46" spans="1:19" x14ac:dyDescent="0.25">
      <c r="A46" s="41"/>
    </row>
    <row r="47" spans="1:19" x14ac:dyDescent="0.25">
      <c r="A47" s="41"/>
    </row>
    <row r="48" spans="1:19" x14ac:dyDescent="0.25">
      <c r="A48" s="41"/>
    </row>
    <row r="49" spans="1:1" x14ac:dyDescent="0.25">
      <c r="A49" s="41"/>
    </row>
    <row r="50" spans="1:1" x14ac:dyDescent="0.25">
      <c r="A50" s="41"/>
    </row>
    <row r="51" spans="1:1" x14ac:dyDescent="0.25">
      <c r="A51" s="41"/>
    </row>
    <row r="52" spans="1:1" x14ac:dyDescent="0.25">
      <c r="A52" s="41"/>
    </row>
    <row r="53" spans="1:1" x14ac:dyDescent="0.25">
      <c r="A53" s="41"/>
    </row>
    <row r="54" spans="1:1" x14ac:dyDescent="0.25">
      <c r="A54" s="41"/>
    </row>
    <row r="55" spans="1:1" x14ac:dyDescent="0.25">
      <c r="A55" s="41"/>
    </row>
    <row r="56" spans="1:1" x14ac:dyDescent="0.25">
      <c r="A56" s="41"/>
    </row>
    <row r="57" spans="1:1" x14ac:dyDescent="0.25">
      <c r="A57" s="41"/>
    </row>
    <row r="58" spans="1:1" x14ac:dyDescent="0.25">
      <c r="A58" s="41"/>
    </row>
    <row r="59" spans="1:1" x14ac:dyDescent="0.25">
      <c r="A59" s="41"/>
    </row>
    <row r="60" spans="1:1" x14ac:dyDescent="0.25">
      <c r="A60" s="41"/>
    </row>
    <row r="61" spans="1:1" x14ac:dyDescent="0.25">
      <c r="A61" s="41"/>
    </row>
    <row r="62" spans="1:1" x14ac:dyDescent="0.25">
      <c r="A62" s="41"/>
    </row>
    <row r="63" spans="1:1" x14ac:dyDescent="0.25">
      <c r="A63" s="41"/>
    </row>
    <row r="64" spans="1:1" x14ac:dyDescent="0.25">
      <c r="A64" s="41"/>
    </row>
    <row r="65" spans="1:1" x14ac:dyDescent="0.25">
      <c r="A65" s="41"/>
    </row>
    <row r="66" spans="1:1" x14ac:dyDescent="0.25">
      <c r="A66" s="41"/>
    </row>
    <row r="67" spans="1:1" x14ac:dyDescent="0.25">
      <c r="A67" s="41"/>
    </row>
    <row r="68" spans="1:1" x14ac:dyDescent="0.25">
      <c r="A68" s="41"/>
    </row>
    <row r="69" spans="1:1" x14ac:dyDescent="0.25">
      <c r="A69" s="41"/>
    </row>
    <row r="70" spans="1:1" x14ac:dyDescent="0.25">
      <c r="A70" s="41"/>
    </row>
    <row r="71" spans="1:1" x14ac:dyDescent="0.25">
      <c r="A71" s="41"/>
    </row>
    <row r="72" spans="1:1" x14ac:dyDescent="0.25">
      <c r="A72" s="41"/>
    </row>
    <row r="73" spans="1:1" x14ac:dyDescent="0.25">
      <c r="A73" s="41"/>
    </row>
    <row r="74" spans="1:1" x14ac:dyDescent="0.25">
      <c r="A74" s="41"/>
    </row>
    <row r="75" spans="1:1" x14ac:dyDescent="0.25">
      <c r="A75" s="41"/>
    </row>
    <row r="76" spans="1:1" x14ac:dyDescent="0.25">
      <c r="A76" s="41"/>
    </row>
    <row r="77" spans="1:1" x14ac:dyDescent="0.25">
      <c r="A77" s="41"/>
    </row>
    <row r="78" spans="1:1" x14ac:dyDescent="0.25">
      <c r="A78" s="41"/>
    </row>
    <row r="80" spans="1:1" x14ac:dyDescent="0.3">
      <c r="A80" s="81"/>
    </row>
  </sheetData>
  <mergeCells count="12">
    <mergeCell ref="I1:I2"/>
    <mergeCell ref="M1:M2"/>
    <mergeCell ref="N1:P1"/>
    <mergeCell ref="Q1:R1"/>
    <mergeCell ref="S1:U1"/>
    <mergeCell ref="X1:Z1"/>
    <mergeCell ref="A1:A2"/>
    <mergeCell ref="B1:B2"/>
    <mergeCell ref="C1:C2"/>
    <mergeCell ref="F1:F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SU</dc:creator>
  <cp:lastModifiedBy>H SU</cp:lastModifiedBy>
  <dcterms:created xsi:type="dcterms:W3CDTF">2026-02-20T08:49:19Z</dcterms:created>
  <dcterms:modified xsi:type="dcterms:W3CDTF">2026-02-20T08:49:21Z</dcterms:modified>
</cp:coreProperties>
</file>