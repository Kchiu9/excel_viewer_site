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4B4BD955-C0BD-492B-A6A3-C812363FD293}" xr6:coauthVersionLast="47" xr6:coauthVersionMax="47" xr10:uidLastSave="{00000000-0000-0000-0000-000000000000}"/>
  <bookViews>
    <workbookView xWindow="-108" yWindow="-108" windowWidth="23256" windowHeight="12456" xr2:uid="{45535BF3-415A-4919-89D7-9A4B0E9DCCA8}"/>
  </bookViews>
  <sheets>
    <sheet name="Diversifieds Colour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</calcChain>
</file>

<file path=xl/sharedStrings.xml><?xml version="1.0" encoding="utf-8"?>
<sst xmlns="http://schemas.openxmlformats.org/spreadsheetml/2006/main" count="10" uniqueCount="10">
  <si>
    <t>Price / NAV Filter</t>
  </si>
  <si>
    <t>P / CF 25 Filter</t>
  </si>
  <si>
    <t>P/E 25 Filter</t>
  </si>
  <si>
    <t>EV/EBITDA 25 Filter</t>
  </si>
  <si>
    <t>Anglo American</t>
  </si>
  <si>
    <t>BHP</t>
  </si>
  <si>
    <t>Glencore</t>
  </si>
  <si>
    <t>Rio Tinto</t>
  </si>
  <si>
    <t>Vale</t>
  </si>
  <si>
    <t>South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</si>
</sst>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i/>
      <sz val="1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9" fontId="1" fillId="2" borderId="1" xfId="0" applyNumberFormat="1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0" xfId="0" applyFont="1" applyAlignment="1">
      <alignment horizontal="left" vertical="top"/>
    </xf>
    <xf numFmtId="9" fontId="0" fillId="0" borderId="6" xfId="1" applyFont="1" applyBorder="1" applyAlignment="1">
      <alignment horizontal="center" vertical="top"/>
    </xf>
    <xf numFmtId="9" fontId="0" fillId="0" borderId="1" xfId="1" applyFont="1" applyBorder="1" applyAlignment="1">
      <alignment horizontal="center" vertical="top"/>
    </xf>
  </cellXfs>
  <cellStyles count="2">
    <cellStyle name="常规" xfId="0" builtinId="0"/>
    <cellStyle name="百分比" xfId="1" builtinId="5"/>
  </cellStyles>
  <dxfs count="8"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M6">
            <v>1.4772028240989779</v>
          </cell>
          <cell r="O6">
            <v>11.576028500941399</v>
          </cell>
          <cell r="U6">
            <v>74.959522905056502</v>
          </cell>
          <cell r="V6">
            <v>26.068233819123201</v>
          </cell>
        </row>
        <row r="7">
          <cell r="M7">
            <v>1.0829764182895851</v>
          </cell>
          <cell r="O7">
            <v>7.8181004993479002</v>
          </cell>
          <cell r="U7">
            <v>13.5486719209051</v>
          </cell>
          <cell r="V7">
            <v>14.5420794880045</v>
          </cell>
        </row>
        <row r="8">
          <cell r="M8">
            <v>1.1838974448628294</v>
          </cell>
          <cell r="O8">
            <v>13.038264634605</v>
          </cell>
          <cell r="U8">
            <v>34.953085192234902</v>
          </cell>
          <cell r="V8">
            <v>16.9189976019365</v>
          </cell>
        </row>
        <row r="9">
          <cell r="M9">
            <v>1.160310112963959</v>
          </cell>
          <cell r="O9">
            <v>10.235508084884399</v>
          </cell>
          <cell r="U9">
            <v>15.1555468525292</v>
          </cell>
          <cell r="V9">
            <v>11.5587300427649</v>
          </cell>
        </row>
        <row r="10">
          <cell r="M10">
            <v>0.91466879000000001</v>
          </cell>
          <cell r="O10">
            <v>7.9437629120000004</v>
          </cell>
          <cell r="U10">
            <v>8.1421932387999991</v>
          </cell>
          <cell r="V10">
            <v>7.4862132780000001</v>
          </cell>
        </row>
        <row r="11">
          <cell r="M11">
            <v>0.92699825007056158</v>
          </cell>
          <cell r="O11">
            <v>5.7586570347650996</v>
          </cell>
          <cell r="U11">
            <v>12.256669450776499</v>
          </cell>
          <cell r="V11">
            <v>15.2902776668078</v>
          </cell>
        </row>
        <row r="12">
          <cell r="M12">
            <v>1.124342306714319</v>
          </cell>
          <cell r="O12">
            <v>9.3950536110906331</v>
          </cell>
          <cell r="U12">
            <v>26.50261492671703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349C-864B-4F12-8B3D-1A313F656B11}">
  <dimension ref="A1:E9"/>
  <sheetViews>
    <sheetView showGridLines="0" tabSelected="1" workbookViewId="0">
      <pane xSplit="1" ySplit="3" topLeftCell="B4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J4" sqref="J4"/>
    </sheetView>
  </sheetViews>
  <sheetFormatPr defaultRowHeight="13.2" x14ac:dyDescent="0.25"/>
  <cols>
    <col min="1" max="1" width="18.6640625" style="1" bestFit="1" customWidth="1"/>
    <col min="2" max="2" width="11.33203125" style="1" customWidth="1"/>
    <col min="3" max="3" width="9.6640625" style="1" customWidth="1"/>
    <col min="4" max="4" width="8.88671875" style="1"/>
    <col min="5" max="5" width="11" style="1" customWidth="1"/>
    <col min="6" max="16384" width="8.88671875" style="1"/>
  </cols>
  <sheetData>
    <row r="1" spans="1:5" x14ac:dyDescent="0.25">
      <c r="B1" s="2">
        <v>0.2</v>
      </c>
      <c r="C1" s="2">
        <v>0.2</v>
      </c>
      <c r="D1" s="2">
        <v>0.2</v>
      </c>
      <c r="E1" s="2">
        <v>0.2</v>
      </c>
    </row>
    <row r="2" spans="1:5" ht="13.2" customHeight="1" x14ac:dyDescent="0.25">
      <c r="B2" s="3" t="s">
        <v>0</v>
      </c>
      <c r="C2" s="4" t="s">
        <v>1</v>
      </c>
      <c r="D2" s="5" t="s">
        <v>2</v>
      </c>
      <c r="E2" s="6" t="s">
        <v>3</v>
      </c>
    </row>
    <row r="3" spans="1:5" ht="13.2" customHeight="1" x14ac:dyDescent="0.25">
      <c r="B3" s="3"/>
      <c r="C3" s="4"/>
      <c r="D3" s="5"/>
      <c r="E3" s="7"/>
    </row>
    <row r="4" spans="1:5" ht="13.8" x14ac:dyDescent="0.25">
      <c r="A4" s="8" t="s">
        <v>4</v>
      </c>
      <c r="B4" s="9">
        <f>IF([1]Diversifieds!M6=0, "", ([1]Diversifieds!M6-[1]Diversifieds!$M$12)/[1]Diversifieds!$M$12)</f>
        <v>0.31383726759853764</v>
      </c>
      <c r="C4" s="10">
        <f>IF([1]Diversifieds!O6=0, "", ([1]Diversifieds!O6-[1]Diversifieds!$O$12)/[1]Diversifieds!$O$12)</f>
        <v>0.23214076046103435</v>
      </c>
      <c r="D4" s="10">
        <f>IF([1]Diversifieds!U6=0, "", ([1]Diversifieds!U6-[1]Diversifieds!$U$12)/[1]Diversifieds!$U$12)</f>
        <v>1.8283821469062109</v>
      </c>
      <c r="E4" s="10">
        <f>IF([1]Diversifieds!V6=0, "", ([1]Diversifieds!V6-[1]Diversifieds!$U$12)/[1]Diversifieds!$U$12)</f>
        <v>-1.6390122589599026E-2</v>
      </c>
    </row>
    <row r="5" spans="1:5" ht="13.8" x14ac:dyDescent="0.25">
      <c r="A5" s="8" t="s">
        <v>5</v>
      </c>
      <c r="B5" s="9">
        <f>IF([1]Diversifieds!M7=0, "", ([1]Diversifieds!M7-[1]Diversifieds!$M$12)/[1]Diversifieds!$M$12)</f>
        <v>-3.6791187325875857E-2</v>
      </c>
      <c r="C5" s="10">
        <f>IF([1]Diversifieds!O7=0, "", ([1]Diversifieds!O7-[1]Diversifieds!$O$12)/[1]Diversifieds!$O$12)</f>
        <v>-0.16784929357733286</v>
      </c>
      <c r="D5" s="10">
        <f>IF([1]Diversifieds!U7=0, "", ([1]Diversifieds!U7-[1]Diversifieds!$U$12)/[1]Diversifieds!$U$12)</f>
        <v>-0.48877980688438349</v>
      </c>
      <c r="E5" s="10">
        <f>IF([1]Diversifieds!V7=0, "", ([1]Diversifieds!V7-[1]Diversifieds!$U$12)/[1]Diversifieds!$U$12)</f>
        <v>-0.45129642760855382</v>
      </c>
    </row>
    <row r="6" spans="1:5" ht="13.8" x14ac:dyDescent="0.25">
      <c r="A6" s="8" t="s">
        <v>6</v>
      </c>
      <c r="B6" s="9">
        <f>IF([1]Diversifieds!M8=0, "", ([1]Diversifieds!M8-[1]Diversifieds!$M$12)/[1]Diversifieds!$M$12)</f>
        <v>5.296886703707631E-2</v>
      </c>
      <c r="C6" s="10">
        <f>IF([1]Diversifieds!O8=0, "", ([1]Diversifieds!O8-[1]Diversifieds!$O$12)/[1]Diversifieds!$O$12)</f>
        <v>0.38777969496774817</v>
      </c>
      <c r="D6" s="10">
        <f>IF([1]Diversifieds!U8=0, "", ([1]Diversifieds!U8-[1]Diversifieds!$U$12)/[1]Diversifieds!$U$12)</f>
        <v>0.31885420698615796</v>
      </c>
      <c r="E6" s="10">
        <f>IF([1]Diversifieds!V8=0, "", ([1]Diversifieds!V8-[1]Diversifieds!$U$12)/[1]Diversifieds!$U$12)</f>
        <v>-0.36161025435717958</v>
      </c>
    </row>
    <row r="7" spans="1:5" ht="13.8" x14ac:dyDescent="0.25">
      <c r="A7" s="8" t="s">
        <v>7</v>
      </c>
      <c r="B7" s="9">
        <f>IF([1]Diversifieds!M9=0, "", ([1]Diversifieds!M9-[1]Diversifieds!$M$12)/[1]Diversifieds!$M$12)</f>
        <v>3.1990085256819373E-2</v>
      </c>
      <c r="C7" s="10">
        <f>IF([1]Diversifieds!O9=0, "", ([1]Diversifieds!O9-[1]Diversifieds!$O$12)/[1]Diversifieds!$O$12)</f>
        <v>8.9457123778583877E-2</v>
      </c>
      <c r="D7" s="10">
        <f>IF([1]Diversifieds!U9=0, "", ([1]Diversifieds!U9-[1]Diversifieds!$U$12)/[1]Diversifieds!$U$12)</f>
        <v>-0.42814899984638721</v>
      </c>
      <c r="E7" s="10">
        <f>IF([1]Diversifieds!V9=0, "", ([1]Diversifieds!V9-[1]Diversifieds!$U$12)/[1]Diversifieds!$U$12)</f>
        <v>-0.56386454413173182</v>
      </c>
    </row>
    <row r="8" spans="1:5" ht="13.8" x14ac:dyDescent="0.25">
      <c r="A8" s="8" t="s">
        <v>8</v>
      </c>
      <c r="B8" s="9">
        <f>IF([1]Diversifieds!M10=0, "", ([1]Diversifieds!M10-[1]Diversifieds!$M$12)/[1]Diversifieds!$M$12)</f>
        <v>-0.1864854817453688</v>
      </c>
      <c r="C8" s="10">
        <f>IF([1]Diversifieds!O10=0, "", ([1]Diversifieds!O10-[1]Diversifieds!$O$12)/[1]Diversifieds!$O$12)</f>
        <v>-0.15447391352588125</v>
      </c>
      <c r="D8" s="10">
        <f>IF([1]Diversifieds!U10=0, "", ([1]Diversifieds!U10-[1]Diversifieds!$U$12)/[1]Diversifieds!$U$12)</f>
        <v>-0.69277774056204799</v>
      </c>
      <c r="E8" s="10">
        <f>IF([1]Diversifieds!V10=0, "", ([1]Diversifieds!V10-[1]Diversifieds!$U$12)/[1]Diversifieds!$U$12)</f>
        <v>-0.7175292589542468</v>
      </c>
    </row>
    <row r="9" spans="1:5" ht="13.8" x14ac:dyDescent="0.25">
      <c r="A9" s="8" t="s">
        <v>9</v>
      </c>
      <c r="B9" s="9">
        <f>IF([1]Diversifieds!M11=0, "", ([1]Diversifieds!M11-[1]Diversifieds!$M$12)/[1]Diversifieds!$M$12)</f>
        <v>-0.17551955082118956</v>
      </c>
      <c r="C9" s="10">
        <f>IF([1]Diversifieds!O11=0, "", ([1]Diversifieds!O11-[1]Diversifieds!$O$12)/[1]Diversifieds!$O$12)</f>
        <v>-0.38705437210415228</v>
      </c>
      <c r="D9" s="10">
        <f>IF([1]Diversifieds!U11=0, "", ([1]Diversifieds!U11-[1]Diversifieds!$U$12)/[1]Diversifieds!$U$12)</f>
        <v>-0.53752980659954919</v>
      </c>
      <c r="E9" s="10">
        <f>IF([1]Diversifieds!V11=0, "", ([1]Diversifieds!V11-[1]Diversifieds!$U$12)/[1]Diversifieds!$U$12)</f>
        <v>-0.42306531981514706</v>
      </c>
    </row>
  </sheetData>
  <mergeCells count="4">
    <mergeCell ref="B2:B3"/>
    <mergeCell ref="C2:C3"/>
    <mergeCell ref="D2:D3"/>
    <mergeCell ref="E2:E3"/>
  </mergeCells>
  <conditionalFormatting sqref="B4:B9">
    <cfRule type="expression" dxfId="7" priority="4">
      <formula>$B4&lt;=-$B$1</formula>
    </cfRule>
    <cfRule type="expression" dxfId="6" priority="8">
      <formula>$B4&gt;=$B$1</formula>
    </cfRule>
  </conditionalFormatting>
  <conditionalFormatting sqref="C4:C9">
    <cfRule type="expression" dxfId="5" priority="3">
      <formula>$C4&lt;=-$C$1</formula>
    </cfRule>
    <cfRule type="expression" dxfId="4" priority="7">
      <formula>$C4&gt;=$C$1</formula>
    </cfRule>
  </conditionalFormatting>
  <conditionalFormatting sqref="D4:D9">
    <cfRule type="expression" dxfId="3" priority="2">
      <formula>$D4&lt;=-$D$1</formula>
    </cfRule>
    <cfRule type="expression" dxfId="2" priority="6">
      <formula>$D4&gt;=$D$1</formula>
    </cfRule>
  </conditionalFormatting>
  <conditionalFormatting sqref="E4:E9">
    <cfRule type="expression" dxfId="1" priority="1">
      <formula>$E4&lt;=-$E$1</formula>
    </cfRule>
    <cfRule type="expression" dxfId="0" priority="5">
      <formula>$E4&gt;=$E$1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Diversifieds Colour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2026-02-20T13:11:50Z</dcterms:created>
  <dcterms:modified xsi:type="dcterms:W3CDTF">2026-02-20T13:11:51Z</dcterms:modified>
</cp:coreProperties>
</file>