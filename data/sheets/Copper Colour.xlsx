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aa9e46087b5738/0-Concordia_Capital/excel_to_https/excel_web_refresh/export/sheets/"/>
    </mc:Choice>
  </mc:AlternateContent>
  <xr:revisionPtr revIDLastSave="0" documentId="8_{1BF9FE1D-38C3-43F9-A1A1-4E5656144F2D}" xr6:coauthVersionLast="47" xr6:coauthVersionMax="47" xr10:uidLastSave="{00000000-0000-0000-0000-000000000000}"/>
  <bookViews>
    <workbookView xWindow="-108" yWindow="-108" windowWidth="23256" windowHeight="12456" xr2:uid="{6E45945D-46F4-4307-9037-FF34604B816E}"/>
  </bookViews>
  <sheets>
    <sheet name="Copper Colour" sheetId="1" r:id="rId1"/>
  </sheets>
  <externalReferences>
    <externalReference r:id="rId2"/>
    <externalReference r:id="rId3"/>
  </externalReferences>
  <definedNames>
    <definedName name="agprice">[1]Prices!$B$3</definedName>
    <definedName name="auprice">[1]Prices!$B$1</definedName>
    <definedName name="CIQWBGuid" hidden="1">"5376053f-e0f2-40b8-a1e8-f124d84bdcfe"</definedName>
    <definedName name="CIQWBInfo" hidden="1">"{ ""CIQVersion"":""9.52.4409.4666"" }"</definedName>
    <definedName name="cuprice">[1]Prices!$B$2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46064.7990046296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rketcap">[2]Inputs!$F$335</definedName>
    <definedName name="niprice">[1]Prices!$B$6</definedName>
    <definedName name="Numbershares">[2]Inputs!$F$323</definedName>
    <definedName name="pbprice">[1]Prices!$B$4</definedName>
    <definedName name="znprice">[1]Prices!$B$5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3" i="1" l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H19" i="1"/>
  <c r="G19" i="1"/>
  <c r="F19" i="1"/>
  <c r="E19" i="1"/>
  <c r="D19" i="1"/>
  <c r="C19" i="1"/>
  <c r="H18" i="1"/>
  <c r="G18" i="1"/>
  <c r="F18" i="1"/>
  <c r="E18" i="1"/>
  <c r="D18" i="1"/>
  <c r="C18" i="1"/>
  <c r="H17" i="1"/>
  <c r="G17" i="1"/>
  <c r="F17" i="1"/>
  <c r="E17" i="1"/>
  <c r="D17" i="1"/>
  <c r="C17" i="1"/>
  <c r="H16" i="1"/>
  <c r="G16" i="1"/>
  <c r="F16" i="1"/>
  <c r="E16" i="1"/>
  <c r="D16" i="1"/>
  <c r="C16" i="1"/>
  <c r="H15" i="1"/>
  <c r="G15" i="1"/>
  <c r="F15" i="1"/>
  <c r="E15" i="1"/>
  <c r="D15" i="1"/>
  <c r="C15" i="1"/>
  <c r="H13" i="1"/>
  <c r="G13" i="1"/>
  <c r="F13" i="1"/>
  <c r="E13" i="1"/>
  <c r="D13" i="1"/>
  <c r="C13" i="1"/>
  <c r="H12" i="1"/>
  <c r="G12" i="1"/>
  <c r="F12" i="1"/>
  <c r="E12" i="1"/>
  <c r="D12" i="1"/>
  <c r="C12" i="1"/>
  <c r="H11" i="1"/>
  <c r="G11" i="1"/>
  <c r="F11" i="1"/>
  <c r="E11" i="1"/>
  <c r="D11" i="1"/>
  <c r="C11" i="1"/>
  <c r="H10" i="1"/>
  <c r="G10" i="1"/>
  <c r="F10" i="1"/>
  <c r="E10" i="1"/>
  <c r="D10" i="1"/>
  <c r="C10" i="1"/>
  <c r="H8" i="1"/>
  <c r="G8" i="1"/>
  <c r="F8" i="1"/>
  <c r="E8" i="1"/>
  <c r="D8" i="1"/>
  <c r="C8" i="1"/>
  <c r="H7" i="1"/>
  <c r="G7" i="1"/>
  <c r="F7" i="1"/>
  <c r="E7" i="1"/>
  <c r="D7" i="1"/>
  <c r="C7" i="1"/>
  <c r="H6" i="1"/>
  <c r="G6" i="1"/>
  <c r="F6" i="1"/>
  <c r="E6" i="1"/>
  <c r="D6" i="1"/>
  <c r="C6" i="1"/>
  <c r="H5" i="1"/>
  <c r="G5" i="1"/>
  <c r="F5" i="1"/>
  <c r="E5" i="1"/>
  <c r="D5" i="1"/>
  <c r="C5" i="1"/>
  <c r="H4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<sst xmlns="http://schemas.openxmlformats.org/spreadsheetml/2006/main" count="31" uniqueCount="30">
  <si>
    <t>Conviction</t>
  </si>
  <si>
    <t>P/NAV Filter</t>
  </si>
  <si>
    <t>P/CF 25 Filter</t>
  </si>
  <si>
    <t>EV/Prodn 25 filter</t>
  </si>
  <si>
    <t>EV/Reserves</t>
  </si>
  <si>
    <t>EV/EBITDA 25</t>
  </si>
  <si>
    <t>P/NAV v historical since 2018</t>
  </si>
  <si>
    <t>Senior Producers</t>
  </si>
  <si>
    <t>Antofagasta</t>
  </si>
  <si>
    <t>First Quantum</t>
  </si>
  <si>
    <t>Freeport McMoRan</t>
  </si>
  <si>
    <t>Southern Copper</t>
  </si>
  <si>
    <t>Teck Resources</t>
  </si>
  <si>
    <t>Intermediate Producers</t>
  </si>
  <si>
    <t>Capstone</t>
  </si>
  <si>
    <t>Hudbay</t>
  </si>
  <si>
    <t>Ivanhoe</t>
  </si>
  <si>
    <t>Lundin</t>
  </si>
  <si>
    <t>Junior Producers</t>
  </si>
  <si>
    <t>Buy</t>
  </si>
  <si>
    <t>Atalaya Mining</t>
  </si>
  <si>
    <t>Central Asia Metals</t>
  </si>
  <si>
    <t>Sell</t>
  </si>
  <si>
    <t>Ero Copper</t>
  </si>
  <si>
    <t>Sandfire</t>
  </si>
  <si>
    <t>Taseko</t>
  </si>
  <si>
    <t>29 Metals</t>
  </si>
  <si>
    <t>Aeris Resources</t>
  </si>
  <si>
    <t>AIC Mines</t>
  </si>
  <si>
    <t>Metals Acquisition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</si>
</sst>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color rgb="FF000000"/>
      <name val="Times New Roman"/>
      <charset val="204"/>
    </font>
    <font>
      <i/>
      <sz val="1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Times New Roman"/>
      <family val="1"/>
      <charset val="204"/>
    </font>
    <font>
      <b/>
      <sz val="13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 vertical="top"/>
    </xf>
    <xf numFmtId="9" fontId="1" fillId="2" borderId="1" xfId="0" applyNumberFormat="1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top"/>
    </xf>
    <xf numFmtId="164" fontId="0" fillId="2" borderId="5" xfId="0" applyNumberFormat="1" applyFill="1" applyBorder="1" applyAlignment="1">
      <alignment horizontal="center" vertical="top"/>
    </xf>
    <xf numFmtId="0" fontId="0" fillId="2" borderId="5" xfId="0" applyFill="1" applyBorder="1" applyAlignment="1">
      <alignment horizontal="center" vertical="top"/>
    </xf>
    <xf numFmtId="0" fontId="0" fillId="2" borderId="6" xfId="0" applyFill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9" fontId="0" fillId="0" borderId="1" xfId="1" applyFont="1" applyBorder="1" applyAlignment="1">
      <alignment horizontal="center" vertical="top"/>
    </xf>
    <xf numFmtId="164" fontId="0" fillId="2" borderId="7" xfId="0" applyNumberFormat="1" applyFill="1" applyBorder="1" applyAlignment="1">
      <alignment horizontal="center" vertical="top"/>
    </xf>
    <xf numFmtId="164" fontId="0" fillId="2" borderId="4" xfId="0" applyNumberFormat="1" applyFill="1" applyBorder="1" applyAlignment="1">
      <alignment horizontal="center" vertical="top"/>
    </xf>
    <xf numFmtId="164" fontId="0" fillId="2" borderId="6" xfId="0" applyNumberFormat="1" applyFill="1" applyBorder="1" applyAlignment="1">
      <alignment horizontal="center" vertical="top"/>
    </xf>
    <xf numFmtId="0" fontId="4" fillId="0" borderId="4" xfId="0" applyFont="1" applyBorder="1" applyAlignment="1">
      <alignment horizontal="left" vertical="top"/>
    </xf>
    <xf numFmtId="0" fontId="0" fillId="2" borderId="4" xfId="0" applyFill="1" applyBorder="1" applyAlignment="1">
      <alignment horizontal="center" vertical="top"/>
    </xf>
    <xf numFmtId="0" fontId="0" fillId="0" borderId="5" xfId="0" applyBorder="1" applyAlignment="1">
      <alignment horizontal="left" vertical="top"/>
    </xf>
    <xf numFmtId="0" fontId="2" fillId="3" borderId="0" xfId="0" applyFont="1" applyFill="1" applyAlignment="1">
      <alignment horizontal="right" vertical="top"/>
    </xf>
    <xf numFmtId="2" fontId="2" fillId="3" borderId="0" xfId="0" applyNumberFormat="1" applyFont="1" applyFill="1" applyAlignment="1">
      <alignment horizontal="center" vertical="top"/>
    </xf>
    <xf numFmtId="164" fontId="2" fillId="3" borderId="0" xfId="0" applyNumberFormat="1" applyFont="1" applyFill="1" applyAlignment="1">
      <alignment horizontal="center" vertical="top"/>
    </xf>
    <xf numFmtId="0" fontId="0" fillId="3" borderId="0" xfId="0" applyFill="1" applyAlignment="1">
      <alignment horizontal="left" vertical="top"/>
    </xf>
  </cellXfs>
  <cellStyles count="2">
    <cellStyle name="常规" xfId="0" builtinId="0"/>
    <cellStyle name="百分比" xfId="1" builtinId="5"/>
  </cellStyles>
  <dxfs count="12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8aa9e46087b5738/0-Concordia_Capital/excel_to_https/excel_web_refresh/agent/Miners_Comps_Screener_Web.xlsx" TargetMode="External"/><Relationship Id="rId1" Type="http://schemas.openxmlformats.org/officeDocument/2006/relationships/externalLinkPath" Target="/28aa9e46087b5738/0-Concordia_Capital/excel_to_https/excel_web_refresh/agent/Miners_Comps_Screener_Web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rakewood.sharepoint.com/sites/Drakewood/Shared%20Documents/Resource%20Investments/Company%20Research/Gold%20and%20Silver/Victoria%20Gold/Victoria%20Gold%20Model%20200624.xlsx" TargetMode="External"/><Relationship Id="rId1" Type="http://schemas.openxmlformats.org/officeDocument/2006/relationships/externalLinkPath" Target="https://drakewood.sharepoint.com/sites/Drakewood/Shared%20Documents/Resource%20Investments/Company%20Research/Gold%20and%20Silver/Victoria%20Gold/Victoria%20Gold%20Model%202006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Golds"/>
      <sheetName val="Golds Colour"/>
      <sheetName val="Gold PNAVs "/>
      <sheetName val="Copper"/>
      <sheetName val="Copper Colour"/>
      <sheetName val="Copper PNAVs"/>
      <sheetName val="Silver"/>
      <sheetName val="Silver Colour"/>
      <sheetName val="Silver PNAVs"/>
      <sheetName val="Diversifieds"/>
      <sheetName val="Diversifieds Colour"/>
      <sheetName val="PGMs"/>
      <sheetName val="Iron Ore"/>
      <sheetName val="Uranium"/>
      <sheetName val="Lithium"/>
      <sheetName val="Other"/>
      <sheetName val="Coal"/>
      <sheetName val="O&amp;G"/>
      <sheetName val="Aluminium"/>
      <sheetName val="Watchlist"/>
      <sheetName val="Small Cap"/>
      <sheetName val="Prices"/>
      <sheetName val="Commodity Conviction"/>
      <sheetName val="S&amp;P Tickers"/>
      <sheetName val="Sheet2"/>
    </sheetNames>
    <sheetDataSet>
      <sheetData sheetId="0"/>
      <sheetData sheetId="1"/>
      <sheetData sheetId="2"/>
      <sheetData sheetId="3"/>
      <sheetData sheetId="4">
        <row r="6">
          <cell r="M6">
            <v>2.0637447417966648</v>
          </cell>
          <cell r="O6">
            <v>17.0212433246095</v>
          </cell>
          <cell r="AO6">
            <v>79.660912895886511</v>
          </cell>
          <cell r="BL6">
            <v>3912.3352705023258</v>
          </cell>
          <cell r="BP6">
            <v>10.878210218317999</v>
          </cell>
        </row>
        <row r="7">
          <cell r="M7">
            <v>0.9722997216682373</v>
          </cell>
          <cell r="O7">
            <v>11.144415030204801</v>
          </cell>
          <cell r="AO7">
            <v>64.654998629923696</v>
          </cell>
          <cell r="BL7">
            <v>920.85847808309154</v>
          </cell>
          <cell r="BP7">
            <v>17.861388650711</v>
          </cell>
        </row>
        <row r="8">
          <cell r="M8">
            <v>1.33406764</v>
          </cell>
          <cell r="O8">
            <v>14.2043189758</v>
          </cell>
          <cell r="AO8">
            <v>58.763169141138803</v>
          </cell>
          <cell r="BL8">
            <v>1390.7846889315758</v>
          </cell>
          <cell r="BP8">
            <v>10.975285706182101</v>
          </cell>
        </row>
        <row r="9">
          <cell r="M9">
            <v>1.2873430300000002</v>
          </cell>
          <cell r="O9">
            <v>34.4687116192</v>
          </cell>
          <cell r="AO9">
            <v>156.91535082638507</v>
          </cell>
          <cell r="BL9">
            <v>2980.8794172829726</v>
          </cell>
          <cell r="BP9">
            <v>20.935054896497501</v>
          </cell>
        </row>
        <row r="10">
          <cell r="M10">
            <v>1.2183751599999999</v>
          </cell>
          <cell r="O10">
            <v>25.7515892915</v>
          </cell>
          <cell r="AO10">
            <v>68.118236510557708</v>
          </cell>
          <cell r="BL10">
            <v>1851.6658684819283</v>
          </cell>
          <cell r="BP10">
            <v>11.1688122684282</v>
          </cell>
        </row>
        <row r="11">
          <cell r="M11">
            <v>1.3751660586929804</v>
          </cell>
          <cell r="O11">
            <v>20.518055648262859</v>
          </cell>
          <cell r="AO11">
            <v>85.622533600778368</v>
          </cell>
          <cell r="BL11">
            <v>2211.3047446563787</v>
          </cell>
          <cell r="BP11">
            <v>14.363750348027361</v>
          </cell>
        </row>
        <row r="13">
          <cell r="M13">
            <v>1.0096189099999999</v>
          </cell>
          <cell r="O13">
            <v>8.9955709078999995</v>
          </cell>
          <cell r="AO13">
            <v>38.559219055593822</v>
          </cell>
          <cell r="BL13">
            <v>1718.9212545141031</v>
          </cell>
          <cell r="BP13">
            <v>9.7153273292763007</v>
          </cell>
        </row>
        <row r="14">
          <cell r="M14">
            <v>1.2907603351669623</v>
          </cell>
          <cell r="O14">
            <v>13.5875520779183</v>
          </cell>
          <cell r="AO14">
            <v>49.198556043684547</v>
          </cell>
          <cell r="BL14">
            <v>1916.5942865382335</v>
          </cell>
          <cell r="BP14">
            <v>8.7990877470022006</v>
          </cell>
        </row>
        <row r="15">
          <cell r="M15">
            <v>0.96336011454703507</v>
          </cell>
          <cell r="O15" t="str">
            <v>NM</v>
          </cell>
          <cell r="AO15">
            <v>41.958098274996679</v>
          </cell>
          <cell r="BL15">
            <v>1915.446642991172</v>
          </cell>
          <cell r="BP15">
            <v>28.971805144313802</v>
          </cell>
        </row>
        <row r="16">
          <cell r="M16">
            <v>1.2579529831174618</v>
          </cell>
          <cell r="O16">
            <v>15.6478748216245</v>
          </cell>
          <cell r="AO16">
            <v>62.021162590751999</v>
          </cell>
          <cell r="BL16">
            <v>3511.0473540619487</v>
          </cell>
          <cell r="BP16">
            <v>12.0139486163154</v>
          </cell>
        </row>
        <row r="17">
          <cell r="M17">
            <v>1.1304230857078648</v>
          </cell>
          <cell r="O17">
            <v>12.743665935814265</v>
          </cell>
          <cell r="AO17">
            <v>47.934258991256762</v>
          </cell>
          <cell r="BL17">
            <v>2265.502384526364</v>
          </cell>
          <cell r="BP17">
            <v>14.875042209226926</v>
          </cell>
        </row>
        <row r="19">
          <cell r="M19">
            <v>1.08326761</v>
          </cell>
          <cell r="O19">
            <v>9.1430067216000008</v>
          </cell>
          <cell r="AO19">
            <v>37.869404047928029</v>
          </cell>
          <cell r="BL19">
            <v>2377.5876056866177</v>
          </cell>
          <cell r="BP19">
            <v>9.1158026949848008</v>
          </cell>
        </row>
        <row r="20">
          <cell r="M20">
            <v>1.1130046126949973</v>
          </cell>
          <cell r="O20" t="str">
            <v>NA</v>
          </cell>
          <cell r="AO20">
            <v>32.726340412032798</v>
          </cell>
          <cell r="BL20">
            <v>2808.9303425019134</v>
          </cell>
          <cell r="BP20">
            <v>4.7454053517728001</v>
          </cell>
        </row>
        <row r="21">
          <cell r="M21">
            <v>1.19990635</v>
          </cell>
          <cell r="O21">
            <v>7.4951956237999999</v>
          </cell>
          <cell r="AO21">
            <v>47.065911864402651</v>
          </cell>
          <cell r="BL21">
            <v>3193.2340175955696</v>
          </cell>
          <cell r="BP21">
            <v>8.9481712545315002</v>
          </cell>
        </row>
        <row r="22">
          <cell r="M22">
            <v>1.15114947</v>
          </cell>
          <cell r="O22">
            <v>7.0307007265000001</v>
          </cell>
          <cell r="AO22">
            <v>50.457261331473042</v>
          </cell>
          <cell r="BL22">
            <v>2730.180903022539</v>
          </cell>
          <cell r="BP22">
            <v>7.6561941529931996</v>
          </cell>
        </row>
        <row r="23">
          <cell r="M23">
            <v>1.028348</v>
          </cell>
          <cell r="O23">
            <v>15.5254266284</v>
          </cell>
          <cell r="AO23">
            <v>71.386678671023589</v>
          </cell>
          <cell r="BL23">
            <v>350.74408678978347</v>
          </cell>
          <cell r="BP23">
            <v>16.927828515482101</v>
          </cell>
        </row>
        <row r="24">
          <cell r="M24" t="str">
            <v>NA</v>
          </cell>
          <cell r="O24">
            <v>5.1957446807999998</v>
          </cell>
          <cell r="AO24" t="str">
            <v>NA</v>
          </cell>
          <cell r="BL24" t="e">
            <v>#DIV/0!</v>
          </cell>
          <cell r="BP24" t="str">
            <v>NA</v>
          </cell>
        </row>
        <row r="25">
          <cell r="M25">
            <v>1.0126674922382164</v>
          </cell>
          <cell r="O25">
            <v>7.4246497049817002</v>
          </cell>
          <cell r="AO25">
            <v>18.007757192020946</v>
          </cell>
          <cell r="BL25">
            <v>522.35643011765785</v>
          </cell>
          <cell r="BP25">
            <v>5.4183717439850003</v>
          </cell>
        </row>
        <row r="26">
          <cell r="M26">
            <v>0.61212121000000008</v>
          </cell>
          <cell r="O26">
            <v>1.4939176211</v>
          </cell>
          <cell r="AO26">
            <v>9.9300203701941978</v>
          </cell>
          <cell r="BL26">
            <v>681.39477924398034</v>
          </cell>
          <cell r="BP26">
            <v>1.3060411845261</v>
          </cell>
        </row>
        <row r="27">
          <cell r="M27">
            <v>0.75974025999999995</v>
          </cell>
          <cell r="O27">
            <v>4.0380356910000001</v>
          </cell>
          <cell r="AO27">
            <v>21.056066388904817</v>
          </cell>
          <cell r="BL27">
            <v>1442.2413060320812</v>
          </cell>
          <cell r="BP27">
            <v>3.2454744882525</v>
          </cell>
        </row>
        <row r="28">
          <cell r="M28">
            <v>0.99502562561665175</v>
          </cell>
          <cell r="O28">
            <v>7.1683346747727121</v>
          </cell>
          <cell r="AO28">
            <v>36.062430034747507</v>
          </cell>
          <cell r="BL28">
            <v>1763.333683873768</v>
          </cell>
          <cell r="BP28">
            <v>7.1704111733159994</v>
          </cell>
        </row>
      </sheetData>
      <sheetData sheetId="5"/>
      <sheetData sheetId="6">
        <row r="2">
          <cell r="B2">
            <v>1.2559277915355556</v>
          </cell>
          <cell r="C2">
            <v>0.82654873826104602</v>
          </cell>
          <cell r="D2">
            <v>1.0892042923387704</v>
          </cell>
          <cell r="E2">
            <v>1.2072487753579046</v>
          </cell>
          <cell r="F2">
            <v>0.89336362008858972</v>
          </cell>
          <cell r="G2">
            <v>0.67068641447909283</v>
          </cell>
          <cell r="H2">
            <v>0.73919211573992516</v>
          </cell>
          <cell r="I2">
            <v>0.78671592842636096</v>
          </cell>
          <cell r="J2">
            <v>0.86833018920418481</v>
          </cell>
          <cell r="K2">
            <v>0.63285840631467094</v>
          </cell>
          <cell r="M2">
            <v>0.90089616906803616</v>
          </cell>
          <cell r="N2">
            <v>0.94995101752303479</v>
          </cell>
          <cell r="O2">
            <v>0.52737834827072938</v>
          </cell>
        </row>
        <row r="3">
          <cell r="L3">
            <v>1.1215015314452255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B1">
            <v>3000</v>
          </cell>
        </row>
        <row r="2">
          <cell r="B2">
            <v>9500</v>
          </cell>
        </row>
        <row r="3">
          <cell r="B3">
            <v>30</v>
          </cell>
        </row>
        <row r="4">
          <cell r="B4">
            <v>2200</v>
          </cell>
        </row>
        <row r="5">
          <cell r="B5">
            <v>3000</v>
          </cell>
        </row>
        <row r="6">
          <cell r="B6">
            <v>19000</v>
          </cell>
        </row>
      </sheetData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Valuation"/>
      <sheetName val="Inputs"/>
      <sheetName val="Financials (consolidated) Q"/>
      <sheetName val="Financials (consolidated)"/>
      <sheetName val="EAGLE"/>
      <sheetName val="BREWERY CREEK"/>
      <sheetName val="3"/>
      <sheetName val="4"/>
      <sheetName val="5"/>
      <sheetName val="Balance Sheet"/>
      <sheetName val="Income Statement"/>
      <sheetName val="Cash Flow"/>
      <sheetName val="43-101"/>
      <sheetName val="Tables"/>
      <sheetName val="brokers"/>
      <sheetName val="Notes"/>
      <sheetName val="Quarterly 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D5D78-F770-4537-B97B-9C34020D5F83}">
  <dimension ref="A1:H70"/>
  <sheetViews>
    <sheetView showGridLines="0" tabSelected="1" zoomScale="115" zoomScaleNormal="115" workbookViewId="0">
      <pane xSplit="2" ySplit="2" topLeftCell="G19" activePane="bottomRight" state="frozen"/>
      <selection activeCell="I2678" sqref="I2678"/>
      <selection pane="topRight" activeCell="I2678" sqref="I2678"/>
      <selection pane="bottomLeft" activeCell="I2678" sqref="I2678"/>
      <selection pane="bottomRight" activeCell="I2678" sqref="I2678"/>
    </sheetView>
  </sheetViews>
  <sheetFormatPr defaultRowHeight="13.2" outlineLevelCol="1" x14ac:dyDescent="0.25"/>
  <cols>
    <col min="1" max="1" width="10.109375" style="1" hidden="1" customWidth="1" outlineLevel="1"/>
    <col min="2" max="2" width="25.6640625" style="1" customWidth="1" collapsed="1"/>
    <col min="3" max="3" width="16.109375" style="1" customWidth="1" outlineLevel="1"/>
    <col min="4" max="4" width="19.109375" style="1" customWidth="1" outlineLevel="1"/>
    <col min="5" max="6" width="20.109375" style="1" customWidth="1" outlineLevel="1"/>
    <col min="7" max="7" width="13.77734375" style="1" customWidth="1" outlineLevel="1"/>
    <col min="8" max="8" width="10.109375" style="1" customWidth="1"/>
    <col min="9" max="16384" width="8.88671875" style="1"/>
  </cols>
  <sheetData>
    <row r="1" spans="1:8" x14ac:dyDescent="0.25">
      <c r="C1" s="2">
        <v>0.2</v>
      </c>
      <c r="D1" s="2">
        <v>0.2</v>
      </c>
      <c r="E1" s="2">
        <v>0.2</v>
      </c>
      <c r="F1" s="2">
        <v>0.2</v>
      </c>
      <c r="G1" s="2">
        <v>0.2</v>
      </c>
      <c r="H1" s="2">
        <v>0.2</v>
      </c>
    </row>
    <row r="2" spans="1:8" ht="39.6" x14ac:dyDescent="0.25">
      <c r="A2" s="3" t="s">
        <v>0</v>
      </c>
      <c r="C2" s="4" t="s">
        <v>1</v>
      </c>
      <c r="D2" s="5" t="s">
        <v>2</v>
      </c>
      <c r="E2" s="5" t="s">
        <v>3</v>
      </c>
      <c r="F2" s="6" t="s">
        <v>4</v>
      </c>
      <c r="G2" s="6" t="s">
        <v>5</v>
      </c>
      <c r="H2" s="6" t="s">
        <v>6</v>
      </c>
    </row>
    <row r="3" spans="1:8" ht="16.8" x14ac:dyDescent="0.25">
      <c r="B3" s="7" t="s">
        <v>7</v>
      </c>
      <c r="C3" s="8"/>
      <c r="D3" s="9"/>
      <c r="E3" s="9"/>
      <c r="F3" s="9"/>
      <c r="G3" s="10"/>
      <c r="H3" s="10"/>
    </row>
    <row r="4" spans="1:8" ht="13.8" x14ac:dyDescent="0.25">
      <c r="B4" s="11" t="s">
        <v>8</v>
      </c>
      <c r="C4" s="12">
        <f>IF([1]Copper!M6=0, "", ([1]Copper!M6-[1]Copper!$M$11)/[1]Copper!$M$11)</f>
        <v>0.50072402438301933</v>
      </c>
      <c r="D4" s="12">
        <f>IF([1]Copper!O6=0, "", ([1]Copper!O6-[1]Copper!$O$11)/[1]Copper!$O$11)</f>
        <v>-0.17042610584543438</v>
      </c>
      <c r="E4" s="12">
        <f>IF([1]Copper!AO6=0, "", ([1]Copper!AO6-[1]Copper!$AO$11)/[1]Copper!$AO$11)</f>
        <v>-6.9626772932092518E-2</v>
      </c>
      <c r="F4" s="12">
        <f>IF([1]Copper!BL6=0, "", ([1]Copper!BL6-[1]Copper!$BL$11)/[1]Copper!$BL$11)</f>
        <v>0.76924292319115672</v>
      </c>
      <c r="G4" s="12">
        <f>IF([1]Copper!BP6=0, "", ([1]Copper!BP6-[1]Copper!$BP$11)/[1]Copper!$BP$11)</f>
        <v>-0.24266226056957657</v>
      </c>
      <c r="H4" s="12">
        <f>[1]Copper!M6/'[1]Copper PNAVs'!B2-1</f>
        <v>0.64320333995749457</v>
      </c>
    </row>
    <row r="5" spans="1:8" ht="13.8" x14ac:dyDescent="0.25">
      <c r="B5" s="11" t="s">
        <v>9</v>
      </c>
      <c r="C5" s="12">
        <f>IF([1]Copper!M7=0, "", ([1]Copper!M7-[1]Copper!$M$11)/[1]Copper!$M$11)</f>
        <v>-0.29295831909031067</v>
      </c>
      <c r="D5" s="12">
        <f>IF([1]Copper!O7=0, "", ([1]Copper!O7-[1]Copper!$O$11)/[1]Copper!$O$11)</f>
        <v>-0.45684838655029519</v>
      </c>
      <c r="E5" s="12">
        <f>IF([1]Copper!AO7=0, "", ([1]Copper!AO7-[1]Copper!$AO$11)/[1]Copper!$AO$11)</f>
        <v>-0.24488337461044324</v>
      </c>
      <c r="F5" s="12">
        <f>IF([1]Copper!BL7=0, "", ([1]Copper!BL7-[1]Copper!$BL$11)/[1]Copper!$BL$11)</f>
        <v>-0.58356780977007017</v>
      </c>
      <c r="G5" s="12">
        <f>IF([1]Copper!BP7=0, "", ([1]Copper!BP7-[1]Copper!$BP$11)/[1]Copper!$BP$11)</f>
        <v>0.24350453175092845</v>
      </c>
      <c r="H5" s="12">
        <f>[1]Copper!M7/'[1]Copper PNAVs'!C2-1</f>
        <v>0.17633682886484459</v>
      </c>
    </row>
    <row r="6" spans="1:8" ht="13.8" x14ac:dyDescent="0.25">
      <c r="B6" s="11" t="s">
        <v>10</v>
      </c>
      <c r="C6" s="12">
        <f>IF([1]Copper!M8=0, "", ([1]Copper!M8-[1]Copper!$M$11)/[1]Copper!$M$11)</f>
        <v>-2.9886149700380293E-2</v>
      </c>
      <c r="D6" s="12">
        <f>IF([1]Copper!O8=0, "", ([1]Copper!O8-[1]Copper!$O$11)/[1]Copper!$O$11)</f>
        <v>-0.307716129671254</v>
      </c>
      <c r="E6" s="12">
        <f>IF([1]Copper!AO8=0, "", ([1]Copper!AO8-[1]Copper!$AO$11)/[1]Copper!$AO$11)</f>
        <v>-0.31369504416761845</v>
      </c>
      <c r="F6" s="12">
        <f>IF([1]Copper!BL8=0, "", ([1]Copper!BL8-[1]Copper!$BL$11)/[1]Copper!$BL$11)</f>
        <v>-0.37105697788040787</v>
      </c>
      <c r="G6" s="12">
        <f>IF([1]Copper!BP8=0, "", ([1]Copper!BP8-[1]Copper!$BP$11)/[1]Copper!$BP$11)</f>
        <v>-0.23590389416024721</v>
      </c>
      <c r="H6" s="12">
        <f>[1]Copper!M8/'[1]Copper PNAVs'!D2-1</f>
        <v>0.22480938551522978</v>
      </c>
    </row>
    <row r="7" spans="1:8" ht="13.8" x14ac:dyDescent="0.25">
      <c r="B7" s="11" t="s">
        <v>11</v>
      </c>
      <c r="C7" s="12">
        <f>IF([1]Copper!M9=0, "", ([1]Copper!M9-[1]Copper!$M$11)/[1]Copper!$M$11)</f>
        <v>-6.3863580792890687E-2</v>
      </c>
      <c r="D7" s="12">
        <f>IF([1]Copper!O9=0, "", ([1]Copper!O9-[1]Copper!$O$11)/[1]Copper!$O$11)</f>
        <v>0.67992095401682273</v>
      </c>
      <c r="E7" s="12">
        <f>IF([1]Copper!AO9=0, "", ([1]Copper!AO9-[1]Copper!$AO$11)/[1]Copper!$AO$11)</f>
        <v>0.8326408274487056</v>
      </c>
      <c r="F7" s="12">
        <f>IF([1]Copper!BL9=0, "", ([1]Copper!BL9-[1]Copper!$BL$11)/[1]Copper!$BL$11)</f>
        <v>0.3480183699177023</v>
      </c>
      <c r="G7" s="12">
        <f>IF([1]Copper!BP9=0, "", ([1]Copper!BP9-[1]Copper!$BP$11)/[1]Copper!$BP$11)</f>
        <v>0.45749225580021358</v>
      </c>
      <c r="H7" s="12">
        <f>[1]Copper!M9/'[1]Copper PNAVs'!E2-1</f>
        <v>6.6344448863367544E-2</v>
      </c>
    </row>
    <row r="8" spans="1:8" ht="13.8" x14ac:dyDescent="0.25">
      <c r="B8" s="11" t="s">
        <v>12</v>
      </c>
      <c r="C8" s="12">
        <f>IF([1]Copper!M10=0, "", ([1]Copper!M10-[1]Copper!$M$11)/[1]Copper!$M$11)</f>
        <v>-0.11401597479943737</v>
      </c>
      <c r="D8" s="12">
        <f>IF([1]Copper!O10=0, "", ([1]Copper!O10-[1]Copper!$O$11)/[1]Copper!$O$11)</f>
        <v>0.25506966805016112</v>
      </c>
      <c r="E8" s="12">
        <f>IF([1]Copper!AO10=0, "", ([1]Copper!AO10-[1]Copper!$AO$11)/[1]Copper!$AO$11)</f>
        <v>-0.20443563573855206</v>
      </c>
      <c r="F8" s="12">
        <f>IF([1]Copper!BL10=0, "", ([1]Copper!BL10-[1]Copper!$BL$11)/[1]Copper!$BL$11)</f>
        <v>-0.16263650545838074</v>
      </c>
      <c r="G8" s="12">
        <f>IF([1]Copper!BP10=0, "", ([1]Copper!BP10-[1]Copper!$BP$11)/[1]Copper!$BP$11)</f>
        <v>-0.22243063282131861</v>
      </c>
      <c r="H8" s="12">
        <f>[1]Copper!M10/'[1]Copper PNAVs'!F2-1</f>
        <v>0.36380655379629245</v>
      </c>
    </row>
    <row r="9" spans="1:8" ht="16.8" x14ac:dyDescent="0.25">
      <c r="B9" s="7" t="s">
        <v>13</v>
      </c>
      <c r="C9" s="13"/>
      <c r="D9" s="14"/>
      <c r="E9" s="14"/>
      <c r="F9" s="14"/>
      <c r="G9" s="15"/>
      <c r="H9" s="15"/>
    </row>
    <row r="10" spans="1:8" ht="13.8" x14ac:dyDescent="0.25">
      <c r="B10" s="11" t="s">
        <v>14</v>
      </c>
      <c r="C10" s="12">
        <f>IF([1]Copper!M13=0, "", ([1]Copper!M13-[1]Copper!$M$17)/[1]Copper!$M$17)</f>
        <v>-0.10686633813057518</v>
      </c>
      <c r="D10" s="12">
        <f>IF([1]Copper!O13=0, "", ([1]Copper!O13-[1]Copper!$O$17)/[1]Copper!$O$17)</f>
        <v>-0.29411435035979533</v>
      </c>
      <c r="E10" s="12">
        <f>IF([1]Copper!AO13=0, "", ([1]Copper!AO13-[1]Copper!$AO$17)/[1]Copper!$AO$17)</f>
        <v>-0.19558120085621752</v>
      </c>
      <c r="F10" s="12">
        <f>IF([1]Copper!BL13=0, "", ([1]Copper!BL13-[1]Copper!$BL$17)/[1]Copper!$BL$17)</f>
        <v>-0.24126265933131277</v>
      </c>
      <c r="G10" s="12">
        <f>IF([1]Copper!BP13=0, "", ([1]Copper!BP13-[1]Copper!$BP$17)/[1]Copper!$BP$17)</f>
        <v>-0.34687060428978655</v>
      </c>
      <c r="H10" s="12">
        <f>[1]Copper!M13/'[1]Copper PNAVs'!G2-1</f>
        <v>0.50535166391307995</v>
      </c>
    </row>
    <row r="11" spans="1:8" ht="13.8" x14ac:dyDescent="0.25">
      <c r="B11" s="11" t="s">
        <v>15</v>
      </c>
      <c r="C11" s="12">
        <f>IF([1]Copper!M14=0, "", ([1]Copper!M14-[1]Copper!$M$17)/[1]Copper!$M$17)</f>
        <v>0.14183826523561774</v>
      </c>
      <c r="D11" s="12">
        <f>IF([1]Copper!O14=0, "", ([1]Copper!O14-[1]Copper!$O$17)/[1]Copper!$O$17)</f>
        <v>6.6220045813694187E-2</v>
      </c>
      <c r="E11" s="12">
        <f>IF([1]Copper!AO14=0, "", ([1]Copper!AO14-[1]Copper!$AO$17)/[1]Copper!$AO$17)</f>
        <v>2.6375646125214834E-2</v>
      </c>
      <c r="F11" s="12">
        <f>IF([1]Copper!BL14=0, "", ([1]Copper!BL14-[1]Copper!$BL$17)/[1]Copper!$BL$17)</f>
        <v>-0.15400915062866941</v>
      </c>
      <c r="G11" s="12">
        <f>IF([1]Copper!BP14=0, "", ([1]Copper!BP14-[1]Copper!$BP$17)/[1]Copper!$BP$17)</f>
        <v>-0.40846636781009177</v>
      </c>
      <c r="H11" s="12">
        <f>[1]Copper!M14/'[1]Copper PNAVs'!H2-1</f>
        <v>0.74617708669000349</v>
      </c>
    </row>
    <row r="12" spans="1:8" ht="13.8" x14ac:dyDescent="0.25">
      <c r="B12" s="11" t="s">
        <v>16</v>
      </c>
      <c r="C12" s="12">
        <f>IF([1]Copper!M15=0, "", ([1]Copper!M15-[1]Copper!$M$17)/[1]Copper!$M$17)</f>
        <v>-0.14778800368909289</v>
      </c>
      <c r="D12" s="12" t="e">
        <f>IF([1]Copper!O15=0, "", ([1]Copper!O15-[1]Copper!$O$17)/[1]Copper!$O$17)</f>
        <v>#VALUE!</v>
      </c>
      <c r="E12" s="12">
        <f>IF([1]Copper!AO15=0, "", ([1]Copper!AO15-[1]Copper!$AO$17)/[1]Copper!$AO$17)</f>
        <v>-0.12467410244831652</v>
      </c>
      <c r="F12" s="12">
        <f>IF([1]Copper!BL15=0, "", ([1]Copper!BL15-[1]Copper!$BL$17)/[1]Copper!$BL$17)</f>
        <v>-0.15451572416171888</v>
      </c>
      <c r="G12" s="12">
        <f>IF([1]Copper!BP15=0, "", ([1]Copper!BP15-[1]Copper!$BP$17)/[1]Copper!$BP$17)</f>
        <v>0.94767885272572283</v>
      </c>
      <c r="H12" s="12">
        <f>[1]Copper!M15/'[1]Copper PNAVs'!I2-1</f>
        <v>0.22453363372724522</v>
      </c>
    </row>
    <row r="13" spans="1:8" ht="13.8" x14ac:dyDescent="0.25">
      <c r="B13" s="11" t="s">
        <v>17</v>
      </c>
      <c r="C13" s="12">
        <f>IF([1]Copper!M16=0, "", ([1]Copper!M16-[1]Copper!$M$17)/[1]Copper!$M$17)</f>
        <v>0.11281607658405043</v>
      </c>
      <c r="D13" s="12">
        <f>IF([1]Copper!O16=0, "", ([1]Copper!O16-[1]Copper!$O$17)/[1]Copper!$O$17)</f>
        <v>0.22789430454610141</v>
      </c>
      <c r="E13" s="12">
        <f>IF([1]Copper!AO16=0, "", ([1]Copper!AO16-[1]Copper!$AO$17)/[1]Copper!$AO$17)</f>
        <v>0.29387965717931924</v>
      </c>
      <c r="F13" s="12">
        <f>IF([1]Copper!BL16=0, "", ([1]Copper!BL16-[1]Copper!$BL$17)/[1]Copper!$BL$17)</f>
        <v>0.54978753412170156</v>
      </c>
      <c r="G13" s="12">
        <f>IF([1]Copper!BP16=0, "", ([1]Copper!BP16-[1]Copper!$BP$17)/[1]Copper!$BP$17)</f>
        <v>-0.19234188062584467</v>
      </c>
      <c r="H13" s="12">
        <f>[1]Copper!M16/'[1]Copper PNAVs'!J2-1</f>
        <v>0.44870349868908987</v>
      </c>
    </row>
    <row r="14" spans="1:8" ht="16.8" x14ac:dyDescent="0.25">
      <c r="B14" s="16" t="s">
        <v>18</v>
      </c>
      <c r="C14" s="13"/>
      <c r="D14" s="17"/>
      <c r="E14" s="17"/>
      <c r="F14" s="17"/>
      <c r="G14" s="10"/>
      <c r="H14" s="10"/>
    </row>
    <row r="15" spans="1:8" ht="13.8" x14ac:dyDescent="0.25">
      <c r="A15" s="1" t="s">
        <v>19</v>
      </c>
      <c r="B15" s="11" t="s">
        <v>20</v>
      </c>
      <c r="C15" s="12">
        <f>IF([1]Copper!M19=0, "", ([1]Copper!M19-[1]Copper!$M$28)/[1]Copper!$M$28)</f>
        <v>8.8683127460824629E-2</v>
      </c>
      <c r="D15" s="12">
        <f>IF([1]Copper!O19=0, "", ([1]Copper!O19-[1]Copper!$O$28)/[1]Copper!$O$28)</f>
        <v>0.27547151973479811</v>
      </c>
      <c r="E15" s="12">
        <f>IF([1]Copper!AO19=0, "", ([1]Copper!AO19-[1]Copper!$AO$28)/[1]Copper!$AO$28)</f>
        <v>5.0106828947451255E-2</v>
      </c>
      <c r="F15" s="12">
        <f>IF([1]Copper!BL19=0, "", ([1]Copper!BL19-[1]Copper!$BL$28)/[1]Copper!$BL$28)</f>
        <v>0.34834809056867222</v>
      </c>
      <c r="G15" s="12">
        <f>IF([1]Copper!BP19=0, "", ([1]Copper!BP19-[1]Copper!$BP$28)/[1]Copper!$BP$28)</f>
        <v>0.27130822412365835</v>
      </c>
      <c r="H15" s="12">
        <f>[1]Copper!M19/'[1]Copper PNAVs'!K2-1</f>
        <v>0.7117061244523879</v>
      </c>
    </row>
    <row r="16" spans="1:8" ht="13.8" x14ac:dyDescent="0.25">
      <c r="B16" s="11" t="s">
        <v>21</v>
      </c>
      <c r="C16" s="12">
        <f>IF([1]Copper!M20=0, "", ([1]Copper!M20-[1]Copper!$M$28)/[1]Copper!$M$28)</f>
        <v>0.11856879264313407</v>
      </c>
      <c r="D16" s="12" t="e">
        <f>IF([1]Copper!O20=0, "", ([1]Copper!O20-[1]Copper!$O$28)/[1]Copper!$O$28)</f>
        <v>#VALUE!</v>
      </c>
      <c r="E16" s="12">
        <f>IF([1]Copper!AO20=0, "", ([1]Copper!AO20-[1]Copper!$AO$28)/[1]Copper!$AO$28)</f>
        <v>-9.2508730540350761E-2</v>
      </c>
      <c r="F16" s="12">
        <f>IF([1]Copper!BL20=0, "", ([1]Copper!BL20-[1]Copper!$BL$28)/[1]Copper!$BL$28)</f>
        <v>0.59296585109809352</v>
      </c>
      <c r="G16" s="12">
        <f>IF([1]Copper!BP20=0, "", ([1]Copper!BP20-[1]Copper!$BP$28)/[1]Copper!$BP$28)</f>
        <v>-0.33819620143509022</v>
      </c>
      <c r="H16" s="12">
        <f>[1]Copper!M20/'[1]Copper PNAVs'!L3-1</f>
        <v>-7.5763773048785898E-3</v>
      </c>
    </row>
    <row r="17" spans="1:8" ht="13.8" x14ac:dyDescent="0.25">
      <c r="A17" s="1" t="s">
        <v>22</v>
      </c>
      <c r="B17" s="11" t="s">
        <v>23</v>
      </c>
      <c r="C17" s="12">
        <f>IF([1]Copper!M21=0, "", ([1]Copper!M21-[1]Copper!$M$28)/[1]Copper!$M$28)</f>
        <v>0.20590497280547584</v>
      </c>
      <c r="D17" s="12">
        <f>IF([1]Copper!O21=0, "", ([1]Copper!O21-[1]Copper!$O$28)/[1]Copper!$O$28)</f>
        <v>4.559789181964382E-2</v>
      </c>
      <c r="E17" s="12">
        <f>IF([1]Copper!AO21=0, "", ([1]Copper!AO21-[1]Copper!$AO$28)/[1]Copper!$AO$28)</f>
        <v>0.30512313837566896</v>
      </c>
      <c r="F17" s="12">
        <f>IF([1]Copper!BL21=0, "", ([1]Copper!BL21-[1]Copper!$BL$28)/[1]Copper!$BL$28)</f>
        <v>0.81090740045329057</v>
      </c>
      <c r="G17" s="12">
        <f>IF([1]Copper!BP21=0, "", ([1]Copper!BP21-[1]Copper!$BP$28)/[1]Copper!$BP$28)</f>
        <v>0.24793000544114752</v>
      </c>
      <c r="H17" s="12">
        <f>[1]Copper!M21/'[1]Copper PNAVs'!M2-1</f>
        <v>0.33190304410028237</v>
      </c>
    </row>
    <row r="18" spans="1:8" ht="13.8" x14ac:dyDescent="0.25">
      <c r="B18" s="11" t="s">
        <v>24</v>
      </c>
      <c r="C18" s="12">
        <f>IF([1]Copper!M22=0, "", ([1]Copper!M22-[1]Copper!$M$28)/[1]Copper!$M$28)</f>
        <v>0.15690434533944078</v>
      </c>
      <c r="D18" s="12">
        <f>IF([1]Copper!O22=0, "", ([1]Copper!O22-[1]Copper!$O$28)/[1]Copper!$O$28)</f>
        <v>-1.9200268195775333E-2</v>
      </c>
      <c r="E18" s="12">
        <f>IF([1]Copper!AO22=0, "", ([1]Copper!AO22-[1]Copper!$AO$28)/[1]Copper!$AO$28)</f>
        <v>0.39916420726100749</v>
      </c>
      <c r="F18" s="12">
        <f>IF([1]Copper!BL22=0, "", ([1]Copper!BL22-[1]Copper!$BL$28)/[1]Copper!$BL$28)</f>
        <v>0.54830644250199945</v>
      </c>
      <c r="G18" s="12">
        <f>IF([1]Copper!BP22=0, "", ([1]Copper!BP22-[1]Copper!$BP$28)/[1]Copper!$BP$28)</f>
        <v>6.7748273834699349E-2</v>
      </c>
      <c r="H18" s="12">
        <f>[1]Copper!M22/'[1]Copper PNAVs'!N2-1</f>
        <v>0.21179876516326424</v>
      </c>
    </row>
    <row r="19" spans="1:8" ht="13.8" x14ac:dyDescent="0.25">
      <c r="A19" s="1" t="s">
        <v>19</v>
      </c>
      <c r="B19" s="11" t="s">
        <v>25</v>
      </c>
      <c r="C19" s="12">
        <f>IF([1]Copper!M23=0, "", ([1]Copper!M23-[1]Copper!$M$28)/[1]Copper!$M$28)</f>
        <v>3.3488961013136982E-2</v>
      </c>
      <c r="D19" s="12">
        <f>IF([1]Copper!O23=0, "", ([1]Copper!O23-[1]Copper!$O$28)/[1]Copper!$O$28)</f>
        <v>1.1658345114714204</v>
      </c>
      <c r="E19" s="12">
        <f>IF([1]Copper!AO23=0, "", ([1]Copper!AO23-[1]Copper!$AO$28)/[1]Copper!$AO$28)</f>
        <v>0.97953045876941292</v>
      </c>
      <c r="F19" s="12">
        <f>IF([1]Copper!BL23=0, "", ([1]Copper!BL23-[1]Copper!$BL$28)/[1]Copper!$BL$28)</f>
        <v>-0.80109034949116742</v>
      </c>
      <c r="G19" s="12">
        <f>IF([1]Copper!BP23=0, "", ([1]Copper!BP23-[1]Copper!$BP$28)/[1]Copper!$BP$28)</f>
        <v>1.3607890965133769</v>
      </c>
      <c r="H19" s="12">
        <f>[1]Copper!M23/'[1]Copper PNAVs'!O2-1</f>
        <v>0.94992457193577873</v>
      </c>
    </row>
    <row r="20" spans="1:8" ht="13.8" x14ac:dyDescent="0.25">
      <c r="B20" s="11" t="s">
        <v>26</v>
      </c>
      <c r="C20" s="12">
        <f>IF([1]Copper!M25=0, "", ([1]Copper!M25-[1]Copper!$M$28)/[1]Copper!$M$28)</f>
        <v>1.7730062590731132E-2</v>
      </c>
      <c r="D20" s="12">
        <f>IF([1]Copper!O25=0, "", ([1]Copper!O25-[1]Copper!$O$28)/[1]Copper!$O$28)</f>
        <v>3.5756565762900164E-2</v>
      </c>
      <c r="E20" s="12">
        <f>IF([1]Copper!AO25=0, "", ([1]Copper!AO25-[1]Copper!$AO$28)/[1]Copper!$AO$28)</f>
        <v>-0.5006504782215232</v>
      </c>
      <c r="F20" s="12">
        <f>IF([1]Copper!BL25=0, "", ([1]Copper!BL25-[1]Copper!$BL$28)/[1]Copper!$BL$28)</f>
        <v>-0.70376767886034908</v>
      </c>
      <c r="G20" s="12">
        <f>IF([1]Copper!BP25=0, "", ([1]Copper!BP25-[1]Copper!$BP$28)/[1]Copper!$BP$28)</f>
        <v>-0.24434295146853593</v>
      </c>
      <c r="H20" s="12"/>
    </row>
    <row r="21" spans="1:8" ht="13.8" x14ac:dyDescent="0.25">
      <c r="B21" s="11" t="s">
        <v>27</v>
      </c>
      <c r="C21" s="12">
        <f>IF([1]Copper!M26=0, "", ([1]Copper!M26-[1]Copper!$M$28)/[1]Copper!$M$28)</f>
        <v>-0.38481864763970536</v>
      </c>
      <c r="D21" s="12">
        <f>IF([1]Copper!O26=0, "", ([1]Copper!O26-[1]Copper!$O$28)/[1]Copper!$O$28)</f>
        <v>-0.79159488376603071</v>
      </c>
      <c r="E21" s="12">
        <f>IF([1]Copper!AO26=0, "", ([1]Copper!AO26-[1]Copper!$AO$28)/[1]Copper!$AO$28)</f>
        <v>-0.72464361495810869</v>
      </c>
      <c r="F21" s="12">
        <f>IF([1]Copper!BL26=0, "", ([1]Copper!BL26-[1]Copper!$BL$28)/[1]Copper!$BL$28)</f>
        <v>-0.6135758163780648</v>
      </c>
      <c r="G21" s="12">
        <f>IF([1]Copper!BP26=0, "", ([1]Copper!BP26-[1]Copper!$BP$28)/[1]Copper!$BP$28)</f>
        <v>-0.81785686302252691</v>
      </c>
      <c r="H21" s="12"/>
    </row>
    <row r="22" spans="1:8" ht="13.8" x14ac:dyDescent="0.25">
      <c r="B22" s="11" t="s">
        <v>28</v>
      </c>
      <c r="C22" s="12">
        <f>IF([1]Copper!M27=0, "", ([1]Copper!M27-[1]Copper!$M$28)/[1]Copper!$M$28)</f>
        <v>-0.23646161421303832</v>
      </c>
      <c r="D22" s="12">
        <f>IF([1]Copper!O27=0, "", ([1]Copper!O27-[1]Copper!$O$28)/[1]Copper!$O$28)</f>
        <v>-0.43668426849391834</v>
      </c>
      <c r="E22" s="12">
        <f>IF([1]Copper!AO27=0, "", ([1]Copper!AO27-[1]Copper!$AO$28)/[1]Copper!$AO$28)</f>
        <v>-0.41612180963355755</v>
      </c>
      <c r="F22" s="12">
        <f>IF([1]Copper!BL27=0, "", ([1]Copper!BL27-[1]Copper!$BL$28)/[1]Copper!$BL$28)</f>
        <v>-0.18209393989247522</v>
      </c>
      <c r="G22" s="12">
        <f>IF([1]Copper!BP27=0, "", ([1]Copper!BP27-[1]Copper!$BP$28)/[1]Copper!$BP$28)</f>
        <v>-0.54737958398672826</v>
      </c>
      <c r="H22" s="12"/>
    </row>
    <row r="23" spans="1:8" ht="13.8" x14ac:dyDescent="0.25">
      <c r="B23" s="11" t="s">
        <v>29</v>
      </c>
      <c r="C23" s="12" t="e">
        <f>IF([1]Copper!M24=0, "", ([1]Copper!M24-[1]Copper!$M$28)/[1]Copper!$M$28)</f>
        <v>#VALUE!</v>
      </c>
      <c r="D23" s="12">
        <f>IF([1]Copper!O24=0, "", ([1]Copper!O24-[1]Copper!$O$28)/[1]Copper!$O$28)</f>
        <v>-0.27518106833303757</v>
      </c>
      <c r="E23" s="12" t="e">
        <f>IF([1]Copper!AO24=0, "", ([1]Copper!AO24-[1]Copper!$AO$28)/[1]Copper!$AO$28)</f>
        <v>#VALUE!</v>
      </c>
      <c r="F23" s="12" t="e">
        <f>IF([1]Copper!BL24=0, "", ([1]Copper!BL24-[1]Copper!$BL$28)/[1]Copper!$BL$28)</f>
        <v>#DIV/0!</v>
      </c>
      <c r="G23" s="12" t="e">
        <f>IF([1]Copper!BP24=0, "", ([1]Copper!BP24-[1]Copper!$BP$28)/[1]Copper!$BP$28)</f>
        <v>#VALUE!</v>
      </c>
      <c r="H23" s="12"/>
    </row>
    <row r="24" spans="1:8" x14ac:dyDescent="0.25">
      <c r="B24" s="18"/>
    </row>
    <row r="25" spans="1:8" s="22" customFormat="1" x14ac:dyDescent="0.25">
      <c r="A25" s="1"/>
      <c r="B25" s="19"/>
      <c r="C25" s="20"/>
      <c r="D25" s="21"/>
    </row>
    <row r="70" spans="1:1" x14ac:dyDescent="0.25">
      <c r="A70" s="22"/>
    </row>
  </sheetData>
  <conditionalFormatting sqref="C4:C8 C10:C13 C15:C23">
    <cfRule type="expression" dxfId="11" priority="11">
      <formula>$C4&lt;=-$C$1</formula>
    </cfRule>
    <cfRule type="expression" dxfId="10" priority="12">
      <formula>$C4&gt;=$C$1</formula>
    </cfRule>
  </conditionalFormatting>
  <conditionalFormatting sqref="D4:D8 D10:D13 D15:D23">
    <cfRule type="expression" dxfId="9" priority="9">
      <formula>$D4&gt;=$D$1</formula>
    </cfRule>
    <cfRule type="expression" dxfId="8" priority="10">
      <formula>$D4&lt;=-$D$1</formula>
    </cfRule>
  </conditionalFormatting>
  <conditionalFormatting sqref="E4:E8 E10:E13 E15:E23">
    <cfRule type="expression" dxfId="7" priority="5">
      <formula>$E4&lt;=-$E$1</formula>
    </cfRule>
    <cfRule type="expression" dxfId="6" priority="8">
      <formula>$E4&gt;=$E$1</formula>
    </cfRule>
  </conditionalFormatting>
  <conditionalFormatting sqref="F4:F8 F10:F13 F15:F23">
    <cfRule type="expression" dxfId="5" priority="4">
      <formula>$F4&lt;=-$F$1</formula>
    </cfRule>
    <cfRule type="expression" dxfId="4" priority="7">
      <formula>$F4&gt;=$F$1</formula>
    </cfRule>
  </conditionalFormatting>
  <conditionalFormatting sqref="G4:G8 G10:G13 G15:G23">
    <cfRule type="expression" dxfId="3" priority="3">
      <formula>$G4&lt;=-$G$1</formula>
    </cfRule>
    <cfRule type="expression" dxfId="2" priority="6">
      <formula>$G4&gt;=$G$1</formula>
    </cfRule>
  </conditionalFormatting>
  <conditionalFormatting sqref="H4:H8 H10:H13 H15:H23">
    <cfRule type="expression" dxfId="1" priority="1">
      <formula>$H4&lt;=-$H$1</formula>
    </cfRule>
    <cfRule type="expression" dxfId="0" priority="2">
      <formula>$H4&gt;=$H$1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Copper Colour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SU</dc:creator>
  <cp:lastModifiedBy>H SU</cp:lastModifiedBy>
  <dcterms:created xsi:type="dcterms:W3CDTF">2026-02-20T13:11:21Z</dcterms:created>
  <dcterms:modified xsi:type="dcterms:W3CDTF">2026-02-20T13:11:22Z</dcterms:modified>
</cp:coreProperties>
</file>