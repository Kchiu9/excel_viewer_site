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DEA60C2A-D0E8-4EAF-9EF1-2572C30F14C5}" xr6:coauthVersionLast="47" xr6:coauthVersionMax="47" xr10:uidLastSave="{00000000-0000-0000-0000-000000000000}"/>
  <bookViews>
    <workbookView xWindow="-108" yWindow="-108" windowWidth="23256" windowHeight="12456" xr2:uid="{EF3D66F9-E6BF-4D4F-AE2A-6DB74FF59473}"/>
  </bookViews>
  <sheets>
    <sheet name="Uranium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0" i="1" l="1"/>
  <c r="Y30" i="1"/>
  <c r="X30" i="1"/>
  <c r="U30" i="1" a="1"/>
  <c r="U30" i="1" s="1"/>
  <c r="T30" i="1"/>
  <c r="T30" i="1" a="1"/>
  <c r="S30" i="1" a="1"/>
  <c r="S30" i="1" s="1"/>
  <c r="R30" i="1"/>
  <c r="Q30" i="1"/>
  <c r="P30" i="1" a="1"/>
  <c r="P30" i="1" s="1"/>
  <c r="O30" i="1" a="1"/>
  <c r="O30" i="1" s="1"/>
  <c r="N30" i="1" a="1"/>
  <c r="N30" i="1" s="1"/>
  <c r="M30" i="1" a="1"/>
  <c r="M30" i="1" s="1"/>
  <c r="I30" i="1"/>
  <c r="H30" i="1"/>
  <c r="AC30" i="1" s="1"/>
  <c r="D30" i="1"/>
  <c r="C30" i="1"/>
  <c r="B30" i="1"/>
  <c r="A30" i="1"/>
  <c r="AB29" i="1"/>
  <c r="Z29" i="1"/>
  <c r="Y29" i="1"/>
  <c r="X29" i="1"/>
  <c r="U29" i="1" a="1"/>
  <c r="U29" i="1" s="1"/>
  <c r="T29" i="1" a="1"/>
  <c r="T29" i="1" s="1"/>
  <c r="S29" i="1" a="1"/>
  <c r="S29" i="1" s="1"/>
  <c r="R29" i="1"/>
  <c r="Q29" i="1"/>
  <c r="P29" i="1" a="1"/>
  <c r="P29" i="1" s="1"/>
  <c r="O29" i="1" a="1"/>
  <c r="O29" i="1" s="1"/>
  <c r="N29" i="1" a="1"/>
  <c r="N29" i="1" s="1"/>
  <c r="M29" i="1" a="1"/>
  <c r="M29" i="1" s="1"/>
  <c r="I29" i="1"/>
  <c r="H29" i="1"/>
  <c r="AA29" i="1" s="1"/>
  <c r="D29" i="1"/>
  <c r="C29" i="1"/>
  <c r="B29" i="1"/>
  <c r="A29" i="1"/>
  <c r="Z28" i="1"/>
  <c r="Y28" i="1"/>
  <c r="X28" i="1"/>
  <c r="U28" i="1" a="1"/>
  <c r="U28" i="1" s="1"/>
  <c r="T28" i="1" a="1"/>
  <c r="T28" i="1" s="1"/>
  <c r="S28" i="1" a="1"/>
  <c r="S28" i="1" s="1"/>
  <c r="R28" i="1"/>
  <c r="Q28" i="1"/>
  <c r="P28" i="1" a="1"/>
  <c r="P28" i="1" s="1"/>
  <c r="O28" i="1" a="1"/>
  <c r="O28" i="1" s="1"/>
  <c r="N28" i="1" a="1"/>
  <c r="N28" i="1" s="1"/>
  <c r="M28" i="1" a="1"/>
  <c r="M28" i="1" s="1"/>
  <c r="I28" i="1"/>
  <c r="H28" i="1"/>
  <c r="AC28" i="1" s="1"/>
  <c r="D28" i="1"/>
  <c r="C28" i="1"/>
  <c r="B28" i="1"/>
  <c r="A28" i="1"/>
  <c r="AB27" i="1"/>
  <c r="Z27" i="1"/>
  <c r="Y27" i="1"/>
  <c r="X27" i="1"/>
  <c r="U27" i="1" a="1"/>
  <c r="U27" i="1" s="1"/>
  <c r="T27" i="1" a="1"/>
  <c r="T27" i="1" s="1"/>
  <c r="S27" i="1" a="1"/>
  <c r="S27" i="1" s="1"/>
  <c r="R27" i="1"/>
  <c r="Q27" i="1"/>
  <c r="P27" i="1" a="1"/>
  <c r="P27" i="1" s="1"/>
  <c r="O27" i="1" a="1"/>
  <c r="O27" i="1" s="1"/>
  <c r="N27" i="1" a="1"/>
  <c r="N27" i="1" s="1"/>
  <c r="M27" i="1" a="1"/>
  <c r="M27" i="1" s="1"/>
  <c r="I27" i="1"/>
  <c r="H27" i="1"/>
  <c r="AA27" i="1" s="1"/>
  <c r="D27" i="1"/>
  <c r="C27" i="1"/>
  <c r="B27" i="1"/>
  <c r="A27" i="1"/>
  <c r="AB26" i="1"/>
  <c r="Z26" i="1"/>
  <c r="Y26" i="1"/>
  <c r="X26" i="1"/>
  <c r="U26" i="1" a="1"/>
  <c r="U26" i="1" s="1"/>
  <c r="T26" i="1" a="1"/>
  <c r="T26" i="1" s="1"/>
  <c r="S26" i="1" a="1"/>
  <c r="S26" i="1" s="1"/>
  <c r="R26" i="1"/>
  <c r="Q26" i="1"/>
  <c r="P26" i="1" a="1"/>
  <c r="P26" i="1" s="1"/>
  <c r="O26" i="1" a="1"/>
  <c r="O26" i="1" s="1"/>
  <c r="N26" i="1" a="1"/>
  <c r="N26" i="1" s="1"/>
  <c r="M26" i="1" a="1"/>
  <c r="M26" i="1" s="1"/>
  <c r="I26" i="1"/>
  <c r="H26" i="1"/>
  <c r="AC26" i="1" s="1"/>
  <c r="D26" i="1"/>
  <c r="C26" i="1"/>
  <c r="B26" i="1"/>
  <c r="A26" i="1"/>
  <c r="AB25" i="1"/>
  <c r="Z25" i="1"/>
  <c r="Y25" i="1"/>
  <c r="X25" i="1"/>
  <c r="U25" i="1" a="1"/>
  <c r="U25" i="1" s="1"/>
  <c r="T25" i="1" a="1"/>
  <c r="T25" i="1" s="1"/>
  <c r="S25" i="1" a="1"/>
  <c r="S25" i="1" s="1"/>
  <c r="R25" i="1"/>
  <c r="R31" i="1" s="1"/>
  <c r="Q25" i="1"/>
  <c r="Q31" i="1" s="1"/>
  <c r="P25" i="1" a="1"/>
  <c r="P25" i="1" s="1"/>
  <c r="O25" i="1" a="1"/>
  <c r="O25" i="1" s="1"/>
  <c r="N25" i="1" a="1"/>
  <c r="N25" i="1" s="1"/>
  <c r="M25" i="1" a="1"/>
  <c r="M25" i="1" s="1"/>
  <c r="I25" i="1"/>
  <c r="H25" i="1"/>
  <c r="AA25" i="1" s="1"/>
  <c r="D25" i="1"/>
  <c r="C25" i="1"/>
  <c r="B25" i="1"/>
  <c r="A25" i="1"/>
  <c r="AB24" i="1"/>
  <c r="Z24" i="1"/>
  <c r="Y24" i="1"/>
  <c r="X24" i="1"/>
  <c r="U24" i="1" a="1"/>
  <c r="U24" i="1" s="1"/>
  <c r="T24" i="1" a="1"/>
  <c r="T24" i="1" s="1"/>
  <c r="S24" i="1" a="1"/>
  <c r="S24" i="1" s="1"/>
  <c r="R24" i="1"/>
  <c r="Q24" i="1"/>
  <c r="P24" i="1" a="1"/>
  <c r="P24" i="1" s="1"/>
  <c r="O24" i="1" a="1"/>
  <c r="O24" i="1" s="1"/>
  <c r="N24" i="1" a="1"/>
  <c r="N24" i="1" s="1"/>
  <c r="M24" i="1" a="1"/>
  <c r="M24" i="1" s="1"/>
  <c r="I24" i="1"/>
  <c r="H24" i="1"/>
  <c r="AC24" i="1" s="1"/>
  <c r="D24" i="1"/>
  <c r="C24" i="1"/>
  <c r="B24" i="1"/>
  <c r="A24" i="1"/>
  <c r="AB23" i="1"/>
  <c r="Z23" i="1"/>
  <c r="Y23" i="1"/>
  <c r="X23" i="1"/>
  <c r="U23" i="1" a="1"/>
  <c r="U23" i="1" s="1"/>
  <c r="T23" i="1" a="1"/>
  <c r="T23" i="1" s="1"/>
  <c r="S23" i="1" a="1"/>
  <c r="S23" i="1" s="1"/>
  <c r="R23" i="1"/>
  <c r="Q23" i="1"/>
  <c r="P23" i="1" a="1"/>
  <c r="P23" i="1" s="1"/>
  <c r="O23" i="1" a="1"/>
  <c r="O23" i="1" s="1"/>
  <c r="N23" i="1" a="1"/>
  <c r="N23" i="1" s="1"/>
  <c r="M23" i="1" a="1"/>
  <c r="M23" i="1" s="1"/>
  <c r="I23" i="1"/>
  <c r="H23" i="1"/>
  <c r="AA23" i="1" s="1"/>
  <c r="D23" i="1"/>
  <c r="C23" i="1"/>
  <c r="B23" i="1"/>
  <c r="A23" i="1"/>
  <c r="AB22" i="1"/>
  <c r="Z22" i="1"/>
  <c r="Y22" i="1"/>
  <c r="X22" i="1"/>
  <c r="U22" i="1" a="1"/>
  <c r="U22" i="1" s="1"/>
  <c r="T22" i="1" a="1"/>
  <c r="T22" i="1" s="1"/>
  <c r="S22" i="1" a="1"/>
  <c r="S22" i="1" s="1"/>
  <c r="R22" i="1"/>
  <c r="Q22" i="1"/>
  <c r="P22" i="1" a="1"/>
  <c r="P22" i="1" s="1"/>
  <c r="O22" i="1" a="1"/>
  <c r="O22" i="1" s="1"/>
  <c r="N22" i="1" a="1"/>
  <c r="N22" i="1" s="1"/>
  <c r="M22" i="1" a="1"/>
  <c r="M22" i="1" s="1"/>
  <c r="I22" i="1"/>
  <c r="H22" i="1"/>
  <c r="AC22" i="1" s="1"/>
  <c r="D22" i="1"/>
  <c r="C22" i="1"/>
  <c r="B22" i="1"/>
  <c r="A22" i="1"/>
  <c r="AB21" i="1"/>
  <c r="Z21" i="1"/>
  <c r="Y21" i="1"/>
  <c r="X21" i="1"/>
  <c r="U21" i="1" a="1"/>
  <c r="U21" i="1" s="1"/>
  <c r="T21" i="1" a="1"/>
  <c r="T21" i="1" s="1"/>
  <c r="S21" i="1" a="1"/>
  <c r="S21" i="1" s="1"/>
  <c r="R21" i="1"/>
  <c r="Q21" i="1"/>
  <c r="P21" i="1" a="1"/>
  <c r="P21" i="1" s="1"/>
  <c r="O21" i="1" a="1"/>
  <c r="O21" i="1" s="1"/>
  <c r="N21" i="1" a="1"/>
  <c r="N21" i="1" s="1"/>
  <c r="M21" i="1" a="1"/>
  <c r="M21" i="1" s="1"/>
  <c r="I21" i="1"/>
  <c r="H21" i="1"/>
  <c r="AA21" i="1" s="1"/>
  <c r="D21" i="1"/>
  <c r="C21" i="1"/>
  <c r="B21" i="1"/>
  <c r="A21" i="1"/>
  <c r="AB20" i="1"/>
  <c r="Z20" i="1"/>
  <c r="Y20" i="1"/>
  <c r="X20" i="1"/>
  <c r="U20" i="1" a="1"/>
  <c r="U20" i="1" s="1"/>
  <c r="T20" i="1" a="1"/>
  <c r="T20" i="1" s="1"/>
  <c r="S20" i="1" a="1"/>
  <c r="S20" i="1" s="1"/>
  <c r="R20" i="1"/>
  <c r="Q20" i="1"/>
  <c r="P20" i="1" a="1"/>
  <c r="P20" i="1" s="1"/>
  <c r="O20" i="1" a="1"/>
  <c r="O20" i="1" s="1"/>
  <c r="N20" i="1" a="1"/>
  <c r="N20" i="1" s="1"/>
  <c r="M20" i="1" a="1"/>
  <c r="M20" i="1" s="1"/>
  <c r="I20" i="1"/>
  <c r="H20" i="1"/>
  <c r="AC20" i="1" s="1"/>
  <c r="D20" i="1"/>
  <c r="C20" i="1"/>
  <c r="B20" i="1"/>
  <c r="A20" i="1"/>
  <c r="AB19" i="1"/>
  <c r="Z19" i="1"/>
  <c r="Y19" i="1"/>
  <c r="X19" i="1"/>
  <c r="U19" i="1" a="1"/>
  <c r="U19" i="1" s="1"/>
  <c r="T19" i="1" a="1"/>
  <c r="T19" i="1" s="1"/>
  <c r="S19" i="1" a="1"/>
  <c r="S19" i="1" s="1"/>
  <c r="R19" i="1"/>
  <c r="Q19" i="1"/>
  <c r="P19" i="1" a="1"/>
  <c r="P19" i="1" s="1"/>
  <c r="O19" i="1" a="1"/>
  <c r="O19" i="1" s="1"/>
  <c r="N19" i="1" a="1"/>
  <c r="N19" i="1" s="1"/>
  <c r="M19" i="1"/>
  <c r="M19" i="1" a="1"/>
  <c r="I19" i="1"/>
  <c r="H19" i="1"/>
  <c r="AA19" i="1" s="1"/>
  <c r="D19" i="1"/>
  <c r="C19" i="1"/>
  <c r="B19" i="1"/>
  <c r="A19" i="1"/>
  <c r="AC18" i="1"/>
  <c r="AB18" i="1"/>
  <c r="Z18" i="1"/>
  <c r="Y18" i="1"/>
  <c r="X18" i="1"/>
  <c r="U18" i="1" a="1"/>
  <c r="U18" i="1" s="1"/>
  <c r="T18" i="1"/>
  <c r="T18" i="1" a="1"/>
  <c r="S18" i="1" a="1"/>
  <c r="S18" i="1" s="1"/>
  <c r="R18" i="1"/>
  <c r="Q18" i="1"/>
  <c r="P18" i="1" a="1"/>
  <c r="P18" i="1" s="1"/>
  <c r="O18" i="1"/>
  <c r="O18" i="1" a="1"/>
  <c r="N18" i="1" a="1"/>
  <c r="N18" i="1" s="1"/>
  <c r="M18" i="1" a="1"/>
  <c r="M18" i="1" s="1"/>
  <c r="I18" i="1"/>
  <c r="H18" i="1"/>
  <c r="AA18" i="1" s="1"/>
  <c r="D18" i="1"/>
  <c r="C18" i="1"/>
  <c r="B18" i="1"/>
  <c r="A18" i="1"/>
  <c r="AB17" i="1"/>
  <c r="Z17" i="1"/>
  <c r="Y17" i="1"/>
  <c r="X17" i="1"/>
  <c r="U17" i="1" a="1"/>
  <c r="U17" i="1" s="1"/>
  <c r="T17" i="1" a="1"/>
  <c r="T17" i="1" s="1"/>
  <c r="S17" i="1" a="1"/>
  <c r="S17" i="1" s="1"/>
  <c r="R17" i="1"/>
  <c r="Q17" i="1"/>
  <c r="P17" i="1" a="1"/>
  <c r="P17" i="1" s="1"/>
  <c r="O17" i="1" a="1"/>
  <c r="O17" i="1" s="1"/>
  <c r="N17" i="1" a="1"/>
  <c r="N17" i="1" s="1"/>
  <c r="M17" i="1"/>
  <c r="M17" i="1" a="1"/>
  <c r="I17" i="1"/>
  <c r="H17" i="1"/>
  <c r="AA17" i="1" s="1"/>
  <c r="D17" i="1"/>
  <c r="C17" i="1"/>
  <c r="B17" i="1"/>
  <c r="A17" i="1"/>
  <c r="AC16" i="1"/>
  <c r="Z16" i="1"/>
  <c r="Y16" i="1"/>
  <c r="X16" i="1"/>
  <c r="U16" i="1" a="1"/>
  <c r="U16" i="1" s="1"/>
  <c r="T16" i="1"/>
  <c r="T16" i="1" a="1"/>
  <c r="S16" i="1" a="1"/>
  <c r="S16" i="1" s="1"/>
  <c r="R16" i="1"/>
  <c r="Q16" i="1"/>
  <c r="P16" i="1" a="1"/>
  <c r="P16" i="1" s="1"/>
  <c r="O16" i="1"/>
  <c r="O16" i="1" a="1"/>
  <c r="N16" i="1" a="1"/>
  <c r="N16" i="1" s="1"/>
  <c r="M16" i="1" a="1"/>
  <c r="M16" i="1" s="1"/>
  <c r="I16" i="1"/>
  <c r="H16" i="1"/>
  <c r="AB16" i="1" s="1"/>
  <c r="D16" i="1"/>
  <c r="C16" i="1"/>
  <c r="B16" i="1"/>
  <c r="A16" i="1"/>
  <c r="P14" i="1"/>
  <c r="AF13" i="1"/>
  <c r="AE13" i="1"/>
  <c r="AD13" i="1"/>
  <c r="AB13" i="1"/>
  <c r="Z13" i="1"/>
  <c r="Y13" i="1"/>
  <c r="X13" i="1"/>
  <c r="W13" i="1" a="1"/>
  <c r="W13" i="1" s="1"/>
  <c r="V13" i="1" a="1"/>
  <c r="V13" i="1" s="1"/>
  <c r="U13" i="1" a="1"/>
  <c r="U13" i="1" s="1"/>
  <c r="T13" i="1"/>
  <c r="T13" i="1" a="1"/>
  <c r="S13" i="1" a="1"/>
  <c r="S13" i="1" s="1"/>
  <c r="R13" i="1"/>
  <c r="Q13" i="1"/>
  <c r="P13" i="1" a="1"/>
  <c r="P13" i="1" s="1"/>
  <c r="O13" i="1"/>
  <c r="O13" i="1" a="1"/>
  <c r="N13" i="1" a="1"/>
  <c r="N13" i="1" s="1"/>
  <c r="M13" i="1" a="1"/>
  <c r="M13" i="1" s="1"/>
  <c r="I13" i="1"/>
  <c r="H13" i="1"/>
  <c r="AA13" i="1" s="1"/>
  <c r="D13" i="1"/>
  <c r="C13" i="1"/>
  <c r="B13" i="1"/>
  <c r="A13" i="1"/>
  <c r="AF12" i="1"/>
  <c r="AE12" i="1"/>
  <c r="AD12" i="1"/>
  <c r="AC12" i="1"/>
  <c r="AB12" i="1"/>
  <c r="AA12" i="1"/>
  <c r="Z12" i="1"/>
  <c r="Y12" i="1"/>
  <c r="X12" i="1"/>
  <c r="W12" i="1"/>
  <c r="W12" i="1" a="1"/>
  <c r="V12" i="1" a="1"/>
  <c r="V12" i="1" s="1"/>
  <c r="U12" i="1"/>
  <c r="U12" i="1" a="1"/>
  <c r="T12" i="1"/>
  <c r="T12" i="1" a="1"/>
  <c r="S12" i="1"/>
  <c r="S12" i="1" a="1"/>
  <c r="Q12" i="1"/>
  <c r="P12" i="1"/>
  <c r="P12" i="1" a="1"/>
  <c r="O12" i="1"/>
  <c r="O12" i="1" a="1"/>
  <c r="N12" i="1"/>
  <c r="N12" i="1" a="1"/>
  <c r="M12" i="1" a="1"/>
  <c r="M12" i="1" s="1"/>
  <c r="I12" i="1"/>
  <c r="R12" i="1" s="1"/>
  <c r="H12" i="1"/>
  <c r="D12" i="1"/>
  <c r="C12" i="1"/>
  <c r="B12" i="1"/>
  <c r="A12" i="1"/>
  <c r="AF11" i="1"/>
  <c r="AE11" i="1"/>
  <c r="AD11" i="1"/>
  <c r="Z11" i="1"/>
  <c r="Y11" i="1"/>
  <c r="X11" i="1"/>
  <c r="W11" i="1"/>
  <c r="W11" i="1" a="1"/>
  <c r="V11" i="1" a="1"/>
  <c r="V11" i="1" s="1"/>
  <c r="U11" i="1" a="1"/>
  <c r="U11" i="1" s="1"/>
  <c r="T11" i="1" a="1"/>
  <c r="T11" i="1" s="1"/>
  <c r="S11" i="1"/>
  <c r="S11" i="1" a="1"/>
  <c r="Q11" i="1"/>
  <c r="P11" i="1" a="1"/>
  <c r="P11" i="1" s="1"/>
  <c r="O11" i="1" a="1"/>
  <c r="O11" i="1" s="1"/>
  <c r="N11" i="1"/>
  <c r="N11" i="1" a="1"/>
  <c r="M11" i="1" a="1"/>
  <c r="M11" i="1" s="1"/>
  <c r="I11" i="1"/>
  <c r="R11" i="1" s="1"/>
  <c r="H11" i="1"/>
  <c r="AC11" i="1" s="1"/>
  <c r="D11" i="1"/>
  <c r="C11" i="1"/>
  <c r="B11" i="1"/>
  <c r="A11" i="1"/>
  <c r="AF10" i="1"/>
  <c r="AE10" i="1"/>
  <c r="AD10" i="1"/>
  <c r="AC10" i="1"/>
  <c r="Z10" i="1"/>
  <c r="Y10" i="1"/>
  <c r="X10" i="1"/>
  <c r="W10" i="1"/>
  <c r="W10" i="1" a="1"/>
  <c r="V10" i="1"/>
  <c r="V10" i="1" a="1"/>
  <c r="U10" i="1" a="1"/>
  <c r="U10" i="1" s="1"/>
  <c r="T10" i="1"/>
  <c r="T10" i="1" a="1"/>
  <c r="S10" i="1"/>
  <c r="S10" i="1" a="1"/>
  <c r="R10" i="1"/>
  <c r="P10" i="1" a="1"/>
  <c r="P10" i="1" s="1"/>
  <c r="O10" i="1"/>
  <c r="O10" i="1" a="1"/>
  <c r="N10" i="1"/>
  <c r="N10" i="1" a="1"/>
  <c r="M10" i="1"/>
  <c r="M10" i="1" a="1"/>
  <c r="I10" i="1"/>
  <c r="Q10" i="1" s="1"/>
  <c r="H10" i="1"/>
  <c r="AB10" i="1" s="1"/>
  <c r="D10" i="1"/>
  <c r="C10" i="1"/>
  <c r="B10" i="1"/>
  <c r="A10" i="1"/>
  <c r="AF9" i="1"/>
  <c r="AF14" i="1" s="1" a="1"/>
  <c r="AF14" i="1" s="1"/>
  <c r="AE9" i="1"/>
  <c r="AD9" i="1"/>
  <c r="AC9" i="1"/>
  <c r="Z9" i="1"/>
  <c r="Y9" i="1"/>
  <c r="X9" i="1"/>
  <c r="W9" i="1" a="1"/>
  <c r="W9" i="1" s="1"/>
  <c r="V9" i="1"/>
  <c r="V9" i="1" a="1"/>
  <c r="U9" i="1" a="1"/>
  <c r="U9" i="1" s="1"/>
  <c r="T9" i="1" a="1"/>
  <c r="T9" i="1" s="1"/>
  <c r="S9" i="1" a="1"/>
  <c r="S9" i="1" s="1"/>
  <c r="R9" i="1"/>
  <c r="Q9" i="1"/>
  <c r="P9" i="1" a="1"/>
  <c r="P9" i="1" s="1"/>
  <c r="O9" i="1" a="1"/>
  <c r="O9" i="1" s="1"/>
  <c r="N9" i="1" a="1"/>
  <c r="N9" i="1" s="1"/>
  <c r="M9" i="1"/>
  <c r="M9" i="1" a="1"/>
  <c r="I9" i="1"/>
  <c r="H9" i="1"/>
  <c r="AB9" i="1" s="1"/>
  <c r="D9" i="1"/>
  <c r="C9" i="1"/>
  <c r="B9" i="1"/>
  <c r="A9" i="1"/>
  <c r="AF8" i="1"/>
  <c r="AE8" i="1"/>
  <c r="AD8" i="1"/>
  <c r="AC8" i="1"/>
  <c r="AA8" i="1"/>
  <c r="Z8" i="1"/>
  <c r="Y8" i="1"/>
  <c r="X8" i="1"/>
  <c r="W8" i="1"/>
  <c r="W8" i="1" a="1"/>
  <c r="V8" i="1"/>
  <c r="V8" i="1" a="1"/>
  <c r="U8" i="1"/>
  <c r="U8" i="1" a="1"/>
  <c r="T8" i="1" a="1"/>
  <c r="T8" i="1" s="1"/>
  <c r="S8" i="1"/>
  <c r="S8" i="1" a="1"/>
  <c r="P8" i="1"/>
  <c r="P8" i="1" a="1"/>
  <c r="O8" i="1" a="1"/>
  <c r="O8" i="1" s="1"/>
  <c r="N8" i="1"/>
  <c r="N8" i="1" a="1"/>
  <c r="M8" i="1"/>
  <c r="M8" i="1" a="1"/>
  <c r="I8" i="1"/>
  <c r="R8" i="1" s="1"/>
  <c r="H8" i="1"/>
  <c r="AB8" i="1" s="1"/>
  <c r="D8" i="1"/>
  <c r="C8" i="1"/>
  <c r="B8" i="1"/>
  <c r="A8" i="1"/>
  <c r="AF7" i="1"/>
  <c r="AE7" i="1"/>
  <c r="AD7" i="1"/>
  <c r="AA7" i="1"/>
  <c r="Z7" i="1"/>
  <c r="Y7" i="1"/>
  <c r="X7" i="1"/>
  <c r="W7" i="1" a="1"/>
  <c r="W7" i="1" s="1"/>
  <c r="V7" i="1" a="1"/>
  <c r="V7" i="1" s="1"/>
  <c r="U7" i="1"/>
  <c r="U7" i="1" a="1"/>
  <c r="T7" i="1" a="1"/>
  <c r="T7" i="1" s="1"/>
  <c r="S7" i="1" a="1"/>
  <c r="S7" i="1" s="1"/>
  <c r="P7" i="1"/>
  <c r="P7" i="1" a="1"/>
  <c r="O7" i="1" a="1"/>
  <c r="O7" i="1" s="1"/>
  <c r="N7" i="1" a="1"/>
  <c r="N7" i="1" s="1"/>
  <c r="M7" i="1" a="1"/>
  <c r="M7" i="1" s="1"/>
  <c r="I7" i="1"/>
  <c r="R7" i="1" s="1"/>
  <c r="H7" i="1"/>
  <c r="AC7" i="1" s="1"/>
  <c r="D7" i="1"/>
  <c r="C7" i="1"/>
  <c r="B7" i="1"/>
  <c r="A7" i="1"/>
  <c r="AF6" i="1"/>
  <c r="AE6" i="1"/>
  <c r="AE14" i="1" s="1" a="1"/>
  <c r="AE14" i="1" s="1"/>
  <c r="AD6" i="1"/>
  <c r="AD14" i="1" s="1" a="1"/>
  <c r="AD14" i="1" s="1"/>
  <c r="AC6" i="1"/>
  <c r="AA6" i="1"/>
  <c r="Z6" i="1"/>
  <c r="Y6" i="1"/>
  <c r="X6" i="1"/>
  <c r="W6" i="1" a="1"/>
  <c r="W6" i="1" s="1"/>
  <c r="V6" i="1"/>
  <c r="V6" i="1" a="1"/>
  <c r="U6" i="1"/>
  <c r="U14" i="1" s="1"/>
  <c r="U6" i="1" a="1"/>
  <c r="T6" i="1"/>
  <c r="T14" i="1" s="1"/>
  <c r="T6" i="1" a="1"/>
  <c r="S6" i="1" a="1"/>
  <c r="S6" i="1" s="1"/>
  <c r="S14" i="1" s="1"/>
  <c r="P6" i="1"/>
  <c r="P6" i="1" a="1"/>
  <c r="O6" i="1"/>
  <c r="O14" i="1" s="1"/>
  <c r="O6" i="1" a="1"/>
  <c r="N6" i="1" a="1"/>
  <c r="N6" i="1" s="1"/>
  <c r="N14" i="1" s="1"/>
  <c r="M6" i="1"/>
  <c r="M14" i="1" s="1"/>
  <c r="M6" i="1" a="1"/>
  <c r="I6" i="1"/>
  <c r="R6" i="1" s="1"/>
  <c r="R14" i="1" s="1"/>
  <c r="H6" i="1"/>
  <c r="AB6" i="1" s="1"/>
  <c r="D6" i="1"/>
  <c r="C6" i="1"/>
  <c r="B6" i="1"/>
  <c r="A6" i="1"/>
  <c r="M31" i="1" l="1" a="1"/>
  <c r="M31" i="1" s="1"/>
  <c r="AC14" i="1" a="1"/>
  <c r="AC14" i="1" s="1"/>
  <c r="Q8" i="1"/>
  <c r="AA11" i="1"/>
  <c r="AC13" i="1"/>
  <c r="AC17" i="1"/>
  <c r="AC31" i="1" s="1" a="1"/>
  <c r="AC31" i="1" s="1"/>
  <c r="AC19" i="1"/>
  <c r="AC21" i="1"/>
  <c r="AC23" i="1"/>
  <c r="AC25" i="1"/>
  <c r="AC27" i="1"/>
  <c r="AC29" i="1"/>
  <c r="AB11" i="1"/>
  <c r="Q6" i="1"/>
  <c r="Q14" i="1" s="1"/>
  <c r="AA9" i="1"/>
  <c r="AA16" i="1"/>
  <c r="AA20" i="1"/>
  <c r="AA22" i="1"/>
  <c r="AA24" i="1"/>
  <c r="AA26" i="1"/>
  <c r="AA28" i="1"/>
  <c r="AA30" i="1"/>
  <c r="AB28" i="1"/>
  <c r="AB31" i="1" s="1" a="1"/>
  <c r="AB31" i="1" s="1"/>
  <c r="AB30" i="1"/>
  <c r="Q7" i="1"/>
  <c r="AB7" i="1"/>
  <c r="AB14" i="1" s="1" a="1"/>
  <c r="AB14" i="1" s="1"/>
  <c r="AA10" i="1"/>
  <c r="AA14" i="1" s="1" a="1"/>
  <c r="AA14" i="1" s="1"/>
  <c r="AA31" i="1" l="1" a="1"/>
  <c r="AA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<sst xmlns="http://schemas.openxmlformats.org/spreadsheetml/2006/main" count="256" uniqueCount="156">
  <si>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</si>
  <si>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</si>
  <si>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</si>
  <si>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</si>
  <si>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</si>
  <si>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</si>
  <si>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(US$)</t>
  </si>
  <si>
    <t>Market Cap ($US)</t>
  </si>
  <si>
    <t>Price / NAV</t>
  </si>
  <si>
    <t>Price / CF</t>
  </si>
  <si>
    <t>FCF Yield %</t>
  </si>
  <si>
    <t>Price / Earnings</t>
  </si>
  <si>
    <t>Net Debt / EBITDA</t>
  </si>
  <si>
    <t xml:space="preserve"> Debt / Equity</t>
  </si>
  <si>
    <t>Reserves</t>
  </si>
  <si>
    <t>M&amp;I Resources</t>
  </si>
  <si>
    <t>M,I&amp;I</t>
  </si>
  <si>
    <t>EV/Metrics ($/lb)</t>
  </si>
  <si>
    <t>U3O8 Cash Costs ($/lb)</t>
  </si>
  <si>
    <t>Model (Y/N)</t>
  </si>
  <si>
    <t>Priority?</t>
  </si>
  <si>
    <t>Stock of Interest</t>
  </si>
  <si>
    <t>Comment</t>
  </si>
  <si>
    <t>Date
(BBG)</t>
  </si>
  <si>
    <t>Date
(HC)</t>
  </si>
  <si>
    <t>Bloomberg
Ticker</t>
  </si>
  <si>
    <t>Ticker</t>
  </si>
  <si>
    <t>FY2024</t>
  </si>
  <si>
    <t>FY2025</t>
  </si>
  <si>
    <t>FY2026</t>
  </si>
  <si>
    <t>U3O8</t>
  </si>
  <si>
    <t>2025Y</t>
  </si>
  <si>
    <t>2026Y</t>
  </si>
  <si>
    <t>M&amp;I</t>
  </si>
  <si>
    <t>2022Y</t>
  </si>
  <si>
    <t>2023Y</t>
  </si>
  <si>
    <t>2024Y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</si>
  <si>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</si>
  <si>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</si>
  <si>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</si>
  <si>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</si>
  <si>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</si>
  <si>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</si>
  <si>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</si>
  <si>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</si>
  <si>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</si>
  <si>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</si>
  <si>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</si>
  <si>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SNL_ATTRIBUTABLE_RESV_LB</t>
  </si>
  <si>
    <t>SNL_ATTRIBUTABLE_M_AND_I_RESRC_LB</t>
  </si>
  <si>
    <t>SNL_ATTRIBUTABLE_TOTAL_RESRC_LB</t>
  </si>
  <si>
    <t>SNL_CASH_COST_LB</t>
  </si>
  <si>
    <t>SNL_PROJ_CASH_COST_HIGH_LB</t>
  </si>
  <si>
    <t>FQ0</t>
  </si>
  <si>
    <t>FH0</t>
  </si>
  <si>
    <t>MRQ</t>
  </si>
  <si>
    <t>SNL_PROJ_CASH_COST_LOW_LB</t>
  </si>
  <si>
    <t>Producers</t>
  </si>
  <si>
    <t>01/05/2025</t>
  </si>
  <si>
    <t>Confirmed</t>
  </si>
  <si>
    <t>#N/A N/A</t>
  </si>
  <si>
    <t>Cameco</t>
  </si>
  <si>
    <t>CCO CN Equity</t>
  </si>
  <si>
    <t>TSX:CCO</t>
  </si>
  <si>
    <t>N</t>
  </si>
  <si>
    <t>YES</t>
  </si>
  <si>
    <t>09/05/2025</t>
  </si>
  <si>
    <t>Estimated</t>
  </si>
  <si>
    <t>EnCore Energy</t>
  </si>
  <si>
    <t>EU CN Equity</t>
  </si>
  <si>
    <t>TSXV:EU</t>
  </si>
  <si>
    <t>NO</t>
  </si>
  <si>
    <t>07/05/2025</t>
  </si>
  <si>
    <t>Tentative</t>
  </si>
  <si>
    <t>Energy Fuels</t>
  </si>
  <si>
    <t>EFR CN Equity</t>
  </si>
  <si>
    <t>TSX:EFR</t>
  </si>
  <si>
    <t>23/05/2025</t>
  </si>
  <si>
    <t>Kazatomprom</t>
  </si>
  <si>
    <t>KAP LI Equity</t>
  </si>
  <si>
    <t>LSE:KAP</t>
  </si>
  <si>
    <t>06/05/2025</t>
  </si>
  <si>
    <t>Ur-Energy</t>
  </si>
  <si>
    <t>URE CN Equity</t>
  </si>
  <si>
    <t>TSX:URE</t>
  </si>
  <si>
    <t>29/08/2025</t>
  </si>
  <si>
    <t>29/04/2025</t>
  </si>
  <si>
    <t>Boss Energy</t>
  </si>
  <si>
    <t>BOE AU Equity</t>
  </si>
  <si>
    <t>ASX:BOE</t>
  </si>
  <si>
    <t>Y</t>
  </si>
  <si>
    <t>Paladin</t>
  </si>
  <si>
    <t>PDN AU Equity</t>
  </si>
  <si>
    <t>ASX:PDN</t>
  </si>
  <si>
    <t>10/06/2025</t>
  </si>
  <si>
    <t>Uranium Energy Corporation</t>
  </si>
  <si>
    <t>UEC US Equity</t>
  </si>
  <si>
    <t>NYSEAM:UEC</t>
  </si>
  <si>
    <t>Average</t>
  </si>
  <si>
    <t>Developers &amp; Explorers</t>
  </si>
  <si>
    <t>29/09/2025</t>
  </si>
  <si>
    <t>Alligator Energy</t>
  </si>
  <si>
    <t>AGE AU Equity</t>
  </si>
  <si>
    <t>ASX:AGE</t>
  </si>
  <si>
    <t>Aura Energy</t>
  </si>
  <si>
    <t>AEE AU Equity</t>
  </si>
  <si>
    <t>ASX:AEE</t>
  </si>
  <si>
    <t>19/09/2025</t>
  </si>
  <si>
    <t>Bannerman</t>
  </si>
  <si>
    <t>BMN AU Equity</t>
  </si>
  <si>
    <t>ASX:BMN</t>
  </si>
  <si>
    <t>27/08/2025</t>
  </si>
  <si>
    <t>Berkeley Energia</t>
  </si>
  <si>
    <t>BKY AU Equity</t>
  </si>
  <si>
    <t xml:space="preserve">ASX:BKY </t>
  </si>
  <si>
    <t>Deep Yellow</t>
  </si>
  <si>
    <t>DYL AU Equity</t>
  </si>
  <si>
    <t>ASX:DYL</t>
  </si>
  <si>
    <t>12/05/2025</t>
  </si>
  <si>
    <t>Denison</t>
  </si>
  <si>
    <t>DML CN Equity</t>
  </si>
  <si>
    <t>TSX:DML</t>
  </si>
  <si>
    <t>Elevate Uranium</t>
  </si>
  <si>
    <t>EL8 AU Equity</t>
  </si>
  <si>
    <t>ASX:EL8</t>
  </si>
  <si>
    <t>14/05/2025</t>
  </si>
  <si>
    <t>Forsys</t>
  </si>
  <si>
    <t>FSY CN Equity</t>
  </si>
  <si>
    <t>TSX:FSY</t>
  </si>
  <si>
    <t>13/05/2025</t>
  </si>
  <si>
    <t>Global Atomic Corporation</t>
  </si>
  <si>
    <t>GLO CN Equity</t>
  </si>
  <si>
    <t>TSX:GLO</t>
  </si>
  <si>
    <t>25/04/2025</t>
  </si>
  <si>
    <t>GoviEx Uranium</t>
  </si>
  <si>
    <t>GXU CN Equity</t>
  </si>
  <si>
    <t>TSXV:GXU</t>
  </si>
  <si>
    <t>08/05/2025</t>
  </si>
  <si>
    <t>IsoEnergy</t>
  </si>
  <si>
    <t>ISO CN Equity</t>
  </si>
  <si>
    <t>TSX:ISO</t>
  </si>
  <si>
    <t>25/07/2025</t>
  </si>
  <si>
    <t>Laramide</t>
  </si>
  <si>
    <t>AM CN Equity</t>
  </si>
  <si>
    <t>TSX:LAM</t>
  </si>
  <si>
    <t>03/09/2025</t>
  </si>
  <si>
    <t>Lotus Resources</t>
  </si>
  <si>
    <t>LOT AU Equity</t>
  </si>
  <si>
    <t>ASX:LOT</t>
  </si>
  <si>
    <t>NexGen Energy</t>
  </si>
  <si>
    <t>NXE CN Equity</t>
  </si>
  <si>
    <t>TSX:NXE</t>
  </si>
  <si>
    <t>10/09/2025</t>
  </si>
  <si>
    <t>Peninsula Energy</t>
  </si>
  <si>
    <t>PEN AU Equity</t>
  </si>
  <si>
    <t>ASX:PEN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</si>
</sst>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0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6"/>
      <color rgb="FF525252"/>
      <name val="Arial Narrow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164" fontId="0" fillId="5" borderId="16" xfId="0" applyNumberFormat="1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horizontal="left" vertical="top"/>
    </xf>
    <xf numFmtId="1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2" fontId="0" fillId="0" borderId="1" xfId="0" applyNumberFormat="1" applyBorder="1" applyAlignment="1">
      <alignment horizontal="center" vertical="top"/>
    </xf>
    <xf numFmtId="164" fontId="0" fillId="0" borderId="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4" xfId="0" applyNumberFormat="1" applyBorder="1" applyAlignment="1">
      <alignment horizontal="center" vertical="top"/>
    </xf>
    <xf numFmtId="165" fontId="0" fillId="0" borderId="0" xfId="1" applyNumberFormat="1" applyFont="1" applyBorder="1" applyAlignment="1">
      <alignment horizontal="center" vertical="top"/>
    </xf>
    <xf numFmtId="165" fontId="0" fillId="0" borderId="11" xfId="1" applyNumberFormat="1" applyFont="1" applyBorder="1" applyAlignment="1">
      <alignment horizontal="center" vertical="top"/>
    </xf>
    <xf numFmtId="9" fontId="0" fillId="0" borderId="0" xfId="1" applyFont="1" applyBorder="1" applyAlignment="1">
      <alignment horizontal="center" vertical="top"/>
    </xf>
    <xf numFmtId="9" fontId="0" fillId="0" borderId="6" xfId="1" applyFont="1" applyBorder="1" applyAlignment="1">
      <alignment horizontal="center" vertical="top"/>
    </xf>
    <xf numFmtId="3" fontId="0" fillId="0" borderId="0" xfId="0" applyNumberFormat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166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 vertical="top"/>
    </xf>
    <xf numFmtId="0" fontId="8" fillId="0" borderId="15" xfId="0" applyFont="1" applyBorder="1" applyAlignment="1">
      <alignment horizontal="left" vertical="top"/>
    </xf>
    <xf numFmtId="166" fontId="0" fillId="0" borderId="6" xfId="0" applyNumberFormat="1" applyBorder="1" applyAlignment="1">
      <alignment horizontal="center"/>
    </xf>
    <xf numFmtId="14" fontId="7" fillId="0" borderId="0" xfId="0" applyNumberFormat="1" applyFont="1" applyAlignment="1">
      <alignment horizontal="left" vertical="top"/>
    </xf>
    <xf numFmtId="165" fontId="0" fillId="0" borderId="6" xfId="1" applyNumberFormat="1" applyFont="1" applyBorder="1" applyAlignment="1">
      <alignment horizontal="center" vertical="top"/>
    </xf>
    <xf numFmtId="0" fontId="0" fillId="6" borderId="15" xfId="0" applyFill="1" applyBorder="1" applyAlignment="1">
      <alignment horizontal="center" vertical="top"/>
    </xf>
    <xf numFmtId="9" fontId="0" fillId="0" borderId="7" xfId="1" applyFont="1" applyBorder="1" applyAlignment="1">
      <alignment horizontal="center" vertical="top"/>
    </xf>
    <xf numFmtId="165" fontId="0" fillId="0" borderId="7" xfId="1" applyNumberFormat="1" applyFont="1" applyBorder="1" applyAlignment="1">
      <alignment horizontal="center" vertical="top"/>
    </xf>
    <xf numFmtId="0" fontId="1" fillId="7" borderId="3" xfId="0" applyFont="1" applyFill="1" applyBorder="1" applyAlignment="1">
      <alignment horizontal="right" vertical="top"/>
    </xf>
    <xf numFmtId="2" fontId="1" fillId="7" borderId="16" xfId="0" applyNumberFormat="1" applyFont="1" applyFill="1" applyBorder="1" applyAlignment="1">
      <alignment horizontal="center" vertical="top"/>
    </xf>
    <xf numFmtId="164" fontId="1" fillId="7" borderId="2" xfId="0" applyNumberFormat="1" applyFont="1" applyFill="1" applyBorder="1" applyAlignment="1">
      <alignment horizontal="center" vertical="top"/>
    </xf>
    <xf numFmtId="164" fontId="1" fillId="7" borderId="3" xfId="0" applyNumberFormat="1" applyFont="1" applyFill="1" applyBorder="1" applyAlignment="1">
      <alignment horizontal="center" vertical="top"/>
    </xf>
    <xf numFmtId="164" fontId="1" fillId="7" borderId="4" xfId="0" applyNumberFormat="1" applyFont="1" applyFill="1" applyBorder="1" applyAlignment="1">
      <alignment horizontal="center" vertical="top"/>
    </xf>
    <xf numFmtId="165" fontId="1" fillId="7" borderId="3" xfId="1" applyNumberFormat="1" applyFont="1" applyFill="1" applyBorder="1" applyAlignment="1">
      <alignment horizontal="center" vertical="top"/>
    </xf>
    <xf numFmtId="164" fontId="1" fillId="7" borderId="0" xfId="0" applyNumberFormat="1" applyFont="1" applyFill="1" applyAlignment="1">
      <alignment horizontal="center" vertical="top"/>
    </xf>
    <xf numFmtId="164" fontId="0" fillId="0" borderId="12" xfId="0" applyNumberFormat="1" applyBorder="1" applyAlignment="1">
      <alignment horizontal="center" vertical="top"/>
    </xf>
    <xf numFmtId="164" fontId="0" fillId="0" borderId="15" xfId="0" applyNumberFormat="1" applyBorder="1" applyAlignment="1">
      <alignment horizontal="center" vertical="top"/>
    </xf>
    <xf numFmtId="164" fontId="0" fillId="0" borderId="17" xfId="0" applyNumberFormat="1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0" fontId="1" fillId="7" borderId="18" xfId="0" applyFont="1" applyFill="1" applyBorder="1" applyAlignment="1">
      <alignment horizontal="right" vertical="top"/>
    </xf>
    <xf numFmtId="4" fontId="1" fillId="7" borderId="19" xfId="0" applyNumberFormat="1" applyFont="1" applyFill="1" applyBorder="1" applyAlignment="1">
      <alignment horizontal="center" vertical="top"/>
    </xf>
    <xf numFmtId="2" fontId="1" fillId="7" borderId="2" xfId="0" applyNumberFormat="1" applyFont="1" applyFill="1" applyBorder="1" applyAlignment="1">
      <alignment horizontal="center" vertical="top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E8ED-BD0C-4ED0-9B78-25F551FBD6F2}">
  <dimension ref="A1:AM76"/>
  <sheetViews>
    <sheetView showGridLines="0" tabSelected="1" workbookViewId="0">
      <pane ySplit="3" topLeftCell="A5" activePane="bottomLeft" state="frozen"/>
      <selection activeCell="I2678" sqref="I2678"/>
      <selection pane="bottomLeft" activeCell="I2678" sqref="I2678"/>
    </sheetView>
  </sheetViews>
  <sheetFormatPr defaultRowHeight="13.2" outlineLevelRow="1" outlineLevelCol="2" x14ac:dyDescent="0.25"/>
  <cols>
    <col min="1" max="1" width="10.109375" style="3" hidden="1" customWidth="1" outlineLevel="2"/>
    <col min="2" max="7" width="12.77734375" style="3" hidden="1" customWidth="1" outlineLevel="2"/>
    <col min="8" max="8" width="9.6640625" style="3" hidden="1" customWidth="1" outlineLevel="1" collapsed="1"/>
    <col min="9" max="9" width="9.6640625" style="3" hidden="1" customWidth="1" outlineLevel="1"/>
    <col min="10" max="10" width="28.77734375" style="3" bestFit="1" customWidth="1" collapsed="1"/>
    <col min="11" max="11" width="25.6640625" style="3" hidden="1" customWidth="1" outlineLevel="1"/>
    <col min="12" max="12" width="14.6640625" style="3" bestFit="1" customWidth="1" collapsed="1"/>
    <col min="13" max="13" width="9.77734375" style="3" bestFit="1" customWidth="1"/>
    <col min="14" max="14" width="12" style="3" bestFit="1" customWidth="1"/>
    <col min="15" max="16" width="8" style="3" bestFit="1" customWidth="1"/>
    <col min="17" max="18" width="9.77734375" style="3" bestFit="1" customWidth="1"/>
    <col min="19" max="19" width="9.33203125" style="3" bestFit="1" customWidth="1"/>
    <col min="20" max="21" width="8" style="3" bestFit="1" customWidth="1"/>
    <col min="22" max="22" width="11.44140625" style="3" customWidth="1"/>
    <col min="23" max="23" width="8.109375" style="3" customWidth="1"/>
    <col min="24" max="24" width="18" style="3" hidden="1" customWidth="1" outlineLevel="1"/>
    <col min="25" max="26" width="9.33203125" style="3" hidden="1" customWidth="1" outlineLevel="1"/>
    <col min="27" max="27" width="8.88671875" style="3" collapsed="1"/>
    <col min="28" max="29" width="8.88671875" style="3"/>
    <col min="30" max="30" width="9.33203125" style="3" customWidth="1"/>
    <col min="31" max="31" width="7.109375" style="3" customWidth="1"/>
    <col min="32" max="33" width="8.88671875" style="3"/>
    <col min="34" max="35" width="11.109375" style="3" customWidth="1"/>
    <col min="36" max="16384" width="8.88671875" style="3"/>
  </cols>
  <sheetData>
    <row r="1" spans="1:39" ht="39.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3</v>
      </c>
      <c r="H1" s="1" t="s">
        <v>6</v>
      </c>
      <c r="I1" s="1" t="s">
        <v>7</v>
      </c>
      <c r="M1" s="4" t="s">
        <v>8</v>
      </c>
      <c r="N1" s="5" t="s">
        <v>9</v>
      </c>
      <c r="O1" s="6"/>
      <c r="P1" s="7"/>
      <c r="Q1" s="5" t="s">
        <v>10</v>
      </c>
      <c r="R1" s="7"/>
      <c r="S1" s="5" t="s">
        <v>11</v>
      </c>
      <c r="T1" s="6"/>
      <c r="U1" s="7"/>
      <c r="V1" s="8" t="s">
        <v>12</v>
      </c>
      <c r="W1" s="9" t="s">
        <v>13</v>
      </c>
      <c r="X1" s="10" t="s">
        <v>14</v>
      </c>
      <c r="Y1" s="10" t="s">
        <v>15</v>
      </c>
      <c r="Z1" s="11" t="s">
        <v>16</v>
      </c>
      <c r="AA1" s="5" t="s">
        <v>17</v>
      </c>
      <c r="AB1" s="6"/>
      <c r="AC1" s="7"/>
      <c r="AD1" s="12" t="s">
        <v>18</v>
      </c>
      <c r="AE1" s="13"/>
      <c r="AF1" s="14"/>
      <c r="AG1" s="11"/>
      <c r="AH1" s="15" t="s">
        <v>19</v>
      </c>
      <c r="AI1" s="15" t="s">
        <v>20</v>
      </c>
      <c r="AJ1" s="15" t="s">
        <v>21</v>
      </c>
      <c r="AK1" s="15" t="s">
        <v>22</v>
      </c>
      <c r="AL1" s="11"/>
      <c r="AM1" s="11"/>
    </row>
    <row r="2" spans="1:39" ht="26.4" x14ac:dyDescent="0.25">
      <c r="A2" s="1"/>
      <c r="B2" s="1"/>
      <c r="C2" s="1"/>
      <c r="D2" s="2" t="s">
        <v>23</v>
      </c>
      <c r="E2" s="1"/>
      <c r="F2" s="1"/>
      <c r="G2" s="2" t="s">
        <v>24</v>
      </c>
      <c r="H2" s="1"/>
      <c r="I2" s="1"/>
      <c r="K2" s="16" t="s">
        <v>25</v>
      </c>
      <c r="L2" s="17" t="s">
        <v>26</v>
      </c>
      <c r="M2" s="4"/>
      <c r="N2" s="18" t="s">
        <v>27</v>
      </c>
      <c r="O2" s="19" t="s">
        <v>28</v>
      </c>
      <c r="P2" s="20" t="s">
        <v>29</v>
      </c>
      <c r="Q2" s="18" t="s">
        <v>27</v>
      </c>
      <c r="R2" s="19" t="s">
        <v>28</v>
      </c>
      <c r="S2" s="18" t="s">
        <v>27</v>
      </c>
      <c r="T2" s="19" t="s">
        <v>28</v>
      </c>
      <c r="U2" s="20" t="s">
        <v>29</v>
      </c>
      <c r="V2" s="18" t="s">
        <v>27</v>
      </c>
      <c r="W2" s="21"/>
      <c r="X2" s="22" t="s">
        <v>30</v>
      </c>
      <c r="Y2" s="23" t="s">
        <v>31</v>
      </c>
      <c r="Z2" s="24" t="s">
        <v>32</v>
      </c>
      <c r="AA2" s="25" t="s">
        <v>14</v>
      </c>
      <c r="AB2" s="26" t="s">
        <v>33</v>
      </c>
      <c r="AC2" s="27" t="s">
        <v>16</v>
      </c>
      <c r="AD2" s="28" t="s">
        <v>34</v>
      </c>
      <c r="AE2" s="17" t="s">
        <v>35</v>
      </c>
      <c r="AF2" s="29" t="s">
        <v>36</v>
      </c>
      <c r="AH2" s="30"/>
      <c r="AI2" s="30"/>
      <c r="AJ2" s="31"/>
      <c r="AK2" s="32"/>
    </row>
    <row r="3" spans="1:39" hidden="1" outlineLevel="1" x14ac:dyDescent="0.25">
      <c r="A3" s="33" t="s">
        <v>37</v>
      </c>
      <c r="B3" s="34" t="s">
        <v>38</v>
      </c>
      <c r="C3" s="34" t="s">
        <v>39</v>
      </c>
      <c r="D3" s="34" t="s">
        <v>40</v>
      </c>
      <c r="E3" s="34"/>
      <c r="F3" s="34"/>
      <c r="G3" s="34"/>
      <c r="L3" s="17"/>
      <c r="M3" s="33" t="s">
        <v>41</v>
      </c>
      <c r="N3" s="35" t="s">
        <v>42</v>
      </c>
      <c r="Q3" s="36" t="s">
        <v>43</v>
      </c>
      <c r="R3" s="34" t="s">
        <v>44</v>
      </c>
      <c r="S3" s="35" t="s">
        <v>45</v>
      </c>
      <c r="V3" s="37" t="s">
        <v>46</v>
      </c>
      <c r="W3" s="37" t="s">
        <v>47</v>
      </c>
      <c r="X3" s="38" t="s">
        <v>48</v>
      </c>
      <c r="Y3" s="39" t="s">
        <v>49</v>
      </c>
      <c r="Z3" s="39" t="s">
        <v>50</v>
      </c>
      <c r="AD3" s="35" t="s">
        <v>51</v>
      </c>
      <c r="AE3" s="34" t="s">
        <v>51</v>
      </c>
      <c r="AF3" s="40" t="s">
        <v>52</v>
      </c>
      <c r="AH3" s="41"/>
      <c r="AI3" s="41"/>
      <c r="AJ3" s="42"/>
      <c r="AK3" s="43"/>
    </row>
    <row r="4" spans="1:39" hidden="1" outlineLevel="1" x14ac:dyDescent="0.25">
      <c r="L4" s="17"/>
      <c r="M4" s="33"/>
      <c r="N4" s="35"/>
      <c r="Q4" s="44"/>
      <c r="R4" s="34"/>
      <c r="S4" s="35"/>
      <c r="V4" s="37" t="s">
        <v>53</v>
      </c>
      <c r="W4" s="37" t="s">
        <v>54</v>
      </c>
      <c r="X4" s="39" t="s">
        <v>55</v>
      </c>
      <c r="AD4" s="35" t="s">
        <v>30</v>
      </c>
      <c r="AF4" s="40" t="s">
        <v>56</v>
      </c>
      <c r="AH4" s="41"/>
      <c r="AI4" s="41"/>
      <c r="AJ4" s="42"/>
      <c r="AK4" s="43"/>
    </row>
    <row r="5" spans="1:39" ht="16.8" collapsed="1" x14ac:dyDescent="0.25">
      <c r="J5" s="45" t="s">
        <v>57</v>
      </c>
      <c r="K5" s="45"/>
      <c r="L5" s="46"/>
      <c r="M5" s="47"/>
      <c r="N5" s="48"/>
      <c r="O5" s="49"/>
      <c r="P5" s="49"/>
      <c r="Q5" s="49"/>
      <c r="R5" s="49"/>
      <c r="S5" s="48"/>
      <c r="T5" s="49"/>
      <c r="U5" s="49"/>
      <c r="V5" s="49"/>
      <c r="W5" s="49"/>
      <c r="X5" s="49"/>
      <c r="Y5" s="49"/>
      <c r="Z5" s="49"/>
      <c r="AA5" s="49"/>
      <c r="AB5" s="49"/>
      <c r="AC5" s="50"/>
      <c r="AD5" s="48"/>
      <c r="AE5" s="49"/>
      <c r="AF5" s="50"/>
      <c r="AH5" s="42"/>
      <c r="AI5" s="42"/>
      <c r="AJ5" s="42"/>
      <c r="AK5" s="42"/>
    </row>
    <row r="6" spans="1:39" ht="13.8" x14ac:dyDescent="0.25">
      <c r="A6" s="51" t="e">
        <f ca="1">_xll.SNL.Clients.Office.Excel.Functions.SPG($L6, A$3)</f>
        <v>#NAME?</v>
      </c>
      <c r="B6" s="51" t="e">
        <f ca="1">_xll.BDP($K6,B$3)</f>
        <v>#NAME?</v>
      </c>
      <c r="C6" s="51" t="e">
        <f ca="1">_xll.BDP($K6,C$3)</f>
        <v>#NAME?</v>
      </c>
      <c r="D6" s="51" t="e">
        <f ca="1">_xll.BDP($K6,D$3)</f>
        <v>#NAME?</v>
      </c>
      <c r="E6" s="52" t="s">
        <v>58</v>
      </c>
      <c r="F6" s="52" t="s">
        <v>59</v>
      </c>
      <c r="G6" s="53" t="s">
        <v>60</v>
      </c>
      <c r="H6" s="54" t="e">
        <f ca="1">_xll.SNL.Clients.Office.Excel.Functions.SPG($L6, "IQ_TEV", "Options: Curr=USD")</f>
        <v>#NAME?</v>
      </c>
      <c r="I6" s="54" t="e">
        <f ca="1">_xll.SNL.Clients.Office.Excel.Functions.SPG($L6, "SP_MARKETCAP", "Options: Curr=USD")</f>
        <v>#NAME?</v>
      </c>
      <c r="J6" s="55" t="s">
        <v>61</v>
      </c>
      <c r="K6" s="56" t="s">
        <v>62</v>
      </c>
      <c r="L6" s="3" t="s">
        <v>63</v>
      </c>
      <c r="M6" s="57" t="e" cm="1">
        <f t="array" aca="1" ref="M6" ca="1">_xll.SNL.Clients.Office.Excel.Functions.SPG($L6, $M$3)/100</f>
        <v>#NAME?</v>
      </c>
      <c r="N6" s="58" t="e" cm="1">
        <f t="array" aca="1" ref="N6" ca="1">_xll.SNL.Clients.Office.Excel.Functions.SPG($L6, "SP_PCFPS_FWD",N$2)</f>
        <v>#NAME?</v>
      </c>
      <c r="O6" s="59" t="e" cm="1">
        <f t="array" aca="1" ref="O6" ca="1">_xll.SNL.Clients.Office.Excel.Functions.SPG($L6, "SP_PCFPS_FWD",O$2)</f>
        <v>#NAME?</v>
      </c>
      <c r="P6" s="60" t="e" cm="1">
        <f t="array" aca="1" ref="P6" ca="1">_xll.SNL.Clients.Office.Excel.Functions.SPG($L6, "SP_PCFPS_FWD",P$2)</f>
        <v>#NAME?</v>
      </c>
      <c r="Q6" s="61" t="e">
        <f ca="1">_xll.SNL.Clients.Office.Excel.Functions.SPG($L6, "SP_FCF_EST",Q$2, "Options: Curr=USD")/1000/$I6</f>
        <v>#NAME?</v>
      </c>
      <c r="R6" s="62" t="e">
        <f ca="1">_xll.SNL.Clients.Office.Excel.Functions.SPG($L6, "SP_FCF_EST",R$2, "Options: Curr=USD")/1000/$I6</f>
        <v>#NAME?</v>
      </c>
      <c r="S6" s="58" t="e" cm="1">
        <f t="array" aca="1" ref="S6" ca="1">_xll.SNL.Clients.Office.Excel.Functions.SPG($L6, "SP_PE_FWD",S$2)</f>
        <v>#NAME?</v>
      </c>
      <c r="T6" s="59" t="e" cm="1">
        <f t="array" aca="1" ref="T6" ca="1">_xll.SNL.Clients.Office.Excel.Functions.SPG($L6, "SP_PE_FWD",T$2)</f>
        <v>#NAME?</v>
      </c>
      <c r="U6" s="60" t="e" cm="1">
        <f t="array" aca="1" ref="U6" ca="1">_xll.SNL.Clients.Office.Excel.Functions.SPG($L6, "SP_PE_FWD",U$2)</f>
        <v>#NAME?</v>
      </c>
      <c r="V6" s="63" t="e" cm="1">
        <f t="array" aca="1" ref="V6" ca="1">IF((_xll.SNL.Clients.Office.Excel.Functions.SPG($L6,$V$3,V$4,"Options: Curr=USD") / _xll.SNL.Clients.Office.Excel.Functions.SPG($L6,"SP_EBITDA_EST",V$2,"Options: Curr=USD")) &lt; 0, "NM", (_xll.SNL.Clients.Office.Excel.Functions.SPG($L6,$V$3,V$4,"Options: Curr=USD") / _xll.SNL.Clients.Office.Excel.Functions.SPG($L6,"SP_EBITDA_EST",V$2,"Options: Curr=USD")))</f>
        <v>#NAME?</v>
      </c>
      <c r="W6" s="64" t="e" cm="1">
        <f t="array" aca="1" ref="W6" ca="1">_xll.SNL.Clients.Office.Excel.Functions.SPG($L6, $W$3,W$4)</f>
        <v>#NAME?</v>
      </c>
      <c r="X6" s="65" t="e">
        <f ca="1">_xll.SNL.Clients.Office.Excel.Functions.SPG($L6, X$3, $X$2,$X$4)/1000</f>
        <v>#NAME?</v>
      </c>
      <c r="Y6" s="65" t="e">
        <f ca="1">_xll.SNL.Clients.Office.Excel.Functions.SPG($L6, Y$3, $X$2,$X$4)/1000</f>
        <v>#NAME?</v>
      </c>
      <c r="Z6" s="65" t="e">
        <f ca="1">_xll.SNL.Clients.Office.Excel.Functions.SPG($L6, Z$3, $X$2,$X$4)/1000</f>
        <v>#NAME?</v>
      </c>
      <c r="AA6" s="66" t="e">
        <f t="shared" ref="AA6:AC13" ca="1" si="0">$H6*1000/X6</f>
        <v>#NAME?</v>
      </c>
      <c r="AB6" s="67" t="e">
        <f t="shared" ca="1" si="0"/>
        <v>#NAME?</v>
      </c>
      <c r="AC6" s="68" t="e">
        <f t="shared" ca="1" si="0"/>
        <v>#NAME?</v>
      </c>
      <c r="AD6" s="69" t="e">
        <f ca="1">_xll.SNL.Clients.Office.Excel.Functions.SPG($L6,$AD$3,AD$2,$AD$4)</f>
        <v>#NAME?</v>
      </c>
      <c r="AE6" s="70" t="e">
        <f ca="1">_xll.SNL.Clients.Office.Excel.Functions.SPG($L6,$AD$3,AE$2,$AD$4)</f>
        <v>#NAME?</v>
      </c>
      <c r="AF6" s="71" t="str">
        <f ca="1">IFERROR(AVERAGE(_xll.SNL.Clients.Office.Excel.Functions.SPG($L6,$AF$4,$AD$4,AF$2),_xll.SNL.Clients.Office.Excel.Functions.SPG($L6,$AF$3,$AD$4,AF$2)),"NA")</f>
        <v>NA</v>
      </c>
      <c r="AG6" s="65"/>
      <c r="AH6" s="72" t="s">
        <v>64</v>
      </c>
      <c r="AI6" s="72"/>
      <c r="AJ6" s="73" t="s">
        <v>65</v>
      </c>
      <c r="AK6" s="42"/>
    </row>
    <row r="7" spans="1:39" ht="13.8" x14ac:dyDescent="0.25">
      <c r="A7" s="51" t="e">
        <f ca="1">_xll.SNL.Clients.Office.Excel.Functions.SPG($L7, A$3)</f>
        <v>#NAME?</v>
      </c>
      <c r="B7" s="51" t="e">
        <f ca="1">_xll.BDP($K7,B$3)</f>
        <v>#NAME?</v>
      </c>
      <c r="C7" s="51" t="e">
        <f ca="1">_xll.BDP($K7,C$3)</f>
        <v>#NAME?</v>
      </c>
      <c r="D7" s="51" t="e">
        <f ca="1">_xll.BDP($K7,D$3)</f>
        <v>#NAME?</v>
      </c>
      <c r="E7" s="52" t="s">
        <v>66</v>
      </c>
      <c r="F7" s="52" t="s">
        <v>67</v>
      </c>
      <c r="G7" s="53" t="s">
        <v>60</v>
      </c>
      <c r="H7" s="54" t="e">
        <f ca="1">_xll.SNL.Clients.Office.Excel.Functions.SPG($L7, "IQ_TEV", "Options: Curr=USD")</f>
        <v>#NAME?</v>
      </c>
      <c r="I7" s="54" t="e">
        <f ca="1">_xll.SNL.Clients.Office.Excel.Functions.SPG($L7, "SP_MARKETCAP", "Options: Curr=USD")</f>
        <v>#NAME?</v>
      </c>
      <c r="J7" s="55" t="s">
        <v>68</v>
      </c>
      <c r="K7" s="56" t="s">
        <v>69</v>
      </c>
      <c r="L7" s="3" t="s">
        <v>70</v>
      </c>
      <c r="M7" s="57" t="e" cm="1">
        <f t="array" aca="1" ref="M7" ca="1">_xll.SNL.Clients.Office.Excel.Functions.SPG($L7, $M$3)/100</f>
        <v>#NAME?</v>
      </c>
      <c r="N7" s="58" t="e" cm="1">
        <f t="array" aca="1" ref="N7" ca="1">_xll.SNL.Clients.Office.Excel.Functions.SPG($L7, "SP_PCFPS_FWD",N$2)</f>
        <v>#NAME?</v>
      </c>
      <c r="O7" s="59" t="e" cm="1">
        <f t="array" aca="1" ref="O7" ca="1">_xll.SNL.Clients.Office.Excel.Functions.SPG($L7, "SP_PCFPS_FWD",O$2)</f>
        <v>#NAME?</v>
      </c>
      <c r="P7" s="60" t="e" cm="1">
        <f t="array" aca="1" ref="P7" ca="1">_xll.SNL.Clients.Office.Excel.Functions.SPG($L7, "SP_PCFPS_FWD",P$2)</f>
        <v>#NAME?</v>
      </c>
      <c r="Q7" s="61" t="e">
        <f ca="1">_xll.SNL.Clients.Office.Excel.Functions.SPG($L7, "SP_FCF_EST",Q$2, "Options: Curr=USD")/1000/$I7</f>
        <v>#NAME?</v>
      </c>
      <c r="R7" s="61" t="e">
        <f ca="1">_xll.SNL.Clients.Office.Excel.Functions.SPG($L7, "SP_FCF_EST",R$2, "Options: Curr=USD")/1000/$I7</f>
        <v>#NAME?</v>
      </c>
      <c r="S7" s="58" t="e" cm="1">
        <f t="array" aca="1" ref="S7" ca="1">_xll.SNL.Clients.Office.Excel.Functions.SPG($L7, "SP_PE_FWD",S$2)</f>
        <v>#NAME?</v>
      </c>
      <c r="T7" s="59" t="e" cm="1">
        <f t="array" aca="1" ref="T7" ca="1">_xll.SNL.Clients.Office.Excel.Functions.SPG($L7, "SP_PE_FWD",T$2)</f>
        <v>#NAME?</v>
      </c>
      <c r="U7" s="60" t="e" cm="1">
        <f t="array" aca="1" ref="U7" ca="1">_xll.SNL.Clients.Office.Excel.Functions.SPG($L7, "SP_PE_FWD",U$2)</f>
        <v>#NAME?</v>
      </c>
      <c r="V7" s="63" t="e" cm="1">
        <f t="array" aca="1" ref="V7" ca="1">IF((_xll.SNL.Clients.Office.Excel.Functions.SPG($L7,$V$3,V$4,"Options: Curr=USD") / _xll.SNL.Clients.Office.Excel.Functions.SPG($L7,"SP_EBITDA_EST",V$2,"Options: Curr=USD")) &lt; 0, "NM", (_xll.SNL.Clients.Office.Excel.Functions.SPG($L7,$V$3,V$4,"Options: Curr=USD") / _xll.SNL.Clients.Office.Excel.Functions.SPG($L7,"SP_EBITDA_EST",V$2,"Options: Curr=USD")))</f>
        <v>#NAME?</v>
      </c>
      <c r="W7" s="64" t="e" cm="1">
        <f t="array" aca="1" ref="W7" ca="1">_xll.SNL.Clients.Office.Excel.Functions.SPG($L7, $W$3,W$4)</f>
        <v>#NAME?</v>
      </c>
      <c r="X7" s="65" t="e">
        <f ca="1">_xll.SNL.Clients.Office.Excel.Functions.SPG($L7, X$3, $X$2,$X$4)/1000</f>
        <v>#NAME?</v>
      </c>
      <c r="Y7" s="65" t="e">
        <f ca="1">_xll.SNL.Clients.Office.Excel.Functions.SPG($L7, Y$3, $X$2,$X$4)/1000</f>
        <v>#NAME?</v>
      </c>
      <c r="Z7" s="65" t="e">
        <f ca="1">_xll.SNL.Clients.Office.Excel.Functions.SPG($L7, Z$3, $X$2,$X$4)/1000</f>
        <v>#NAME?</v>
      </c>
      <c r="AA7" s="74" t="e">
        <f t="shared" ca="1" si="0"/>
        <v>#NAME?</v>
      </c>
      <c r="AB7" s="67" t="e">
        <f t="shared" ca="1" si="0"/>
        <v>#NAME?</v>
      </c>
      <c r="AC7" s="71" t="e">
        <f t="shared" ca="1" si="0"/>
        <v>#NAME?</v>
      </c>
      <c r="AD7" s="69" t="e">
        <f ca="1">_xll.SNL.Clients.Office.Excel.Functions.SPG($L7,$AD$3,AD$2,$AD$4)</f>
        <v>#NAME?</v>
      </c>
      <c r="AE7" s="70" t="e">
        <f ca="1">_xll.SNL.Clients.Office.Excel.Functions.SPG($L7,$AD$3,AE$2,$AD$4)</f>
        <v>#NAME?</v>
      </c>
      <c r="AF7" s="71" t="str">
        <f ca="1">IFERROR(AVERAGE(_xll.SNL.Clients.Office.Excel.Functions.SPG($L7,$AF$4,$AD$4,AF$2),_xll.SNL.Clients.Office.Excel.Functions.SPG($L7,$AF$3,$AD$4,AF$2)),"NA")</f>
        <v>NA</v>
      </c>
      <c r="AH7" s="72" t="s">
        <v>64</v>
      </c>
      <c r="AI7" s="72"/>
      <c r="AJ7" s="73" t="s">
        <v>71</v>
      </c>
      <c r="AK7" s="42"/>
    </row>
    <row r="8" spans="1:39" ht="13.8" x14ac:dyDescent="0.25">
      <c r="A8" s="51" t="e">
        <f ca="1">_xll.SNL.Clients.Office.Excel.Functions.SPG($L8, A$3)</f>
        <v>#NAME?</v>
      </c>
      <c r="B8" s="51" t="e">
        <f ca="1">_xll.BDP($K8,B$3)</f>
        <v>#NAME?</v>
      </c>
      <c r="C8" s="51" t="e">
        <f ca="1">_xll.BDP($K8,C$3)</f>
        <v>#NAME?</v>
      </c>
      <c r="D8" s="51" t="e">
        <f ca="1">_xll.BDP($K8,D$3)</f>
        <v>#NAME?</v>
      </c>
      <c r="E8" s="52" t="s">
        <v>72</v>
      </c>
      <c r="F8" s="52" t="s">
        <v>73</v>
      </c>
      <c r="G8" s="53" t="s">
        <v>60</v>
      </c>
      <c r="H8" s="54" t="e">
        <f ca="1">_xll.SNL.Clients.Office.Excel.Functions.SPG($L8, "IQ_TEV", "Options: Curr=USD")</f>
        <v>#NAME?</v>
      </c>
      <c r="I8" s="54" t="e">
        <f ca="1">_xll.SNL.Clients.Office.Excel.Functions.SPG($L8, "SP_MARKETCAP", "Options: Curr=USD")</f>
        <v>#NAME?</v>
      </c>
      <c r="J8" s="55" t="s">
        <v>74</v>
      </c>
      <c r="K8" s="56" t="s">
        <v>75</v>
      </c>
      <c r="L8" s="3" t="s">
        <v>76</v>
      </c>
      <c r="M8" s="57" t="e" cm="1">
        <f t="array" aca="1" ref="M8" ca="1">_xll.SNL.Clients.Office.Excel.Functions.SPG($L8, $M$3)/100</f>
        <v>#NAME?</v>
      </c>
      <c r="N8" s="58" t="e" cm="1">
        <f t="array" aca="1" ref="N8" ca="1">_xll.SNL.Clients.Office.Excel.Functions.SPG($L8, "SP_PCFPS_FWD",N$2)</f>
        <v>#NAME?</v>
      </c>
      <c r="O8" s="59" t="e" cm="1">
        <f t="array" aca="1" ref="O8" ca="1">_xll.SNL.Clients.Office.Excel.Functions.SPG($L8, "SP_PCFPS_FWD",O$2)</f>
        <v>#NAME?</v>
      </c>
      <c r="P8" s="60" t="e" cm="1">
        <f t="array" aca="1" ref="P8" ca="1">_xll.SNL.Clients.Office.Excel.Functions.SPG($L8, "SP_PCFPS_FWD",P$2)</f>
        <v>#NAME?</v>
      </c>
      <c r="Q8" s="61" t="e">
        <f ca="1">_xll.SNL.Clients.Office.Excel.Functions.SPG($L8, "SP_FCF_EST",Q$2, "Options: Curr=USD")/1000/$I8</f>
        <v>#NAME?</v>
      </c>
      <c r="R8" s="61" t="e">
        <f ca="1">_xll.SNL.Clients.Office.Excel.Functions.SPG($L8, "SP_FCF_EST",R$2, "Options: Curr=USD")/1000/$I8</f>
        <v>#NAME?</v>
      </c>
      <c r="S8" s="58" t="e" cm="1">
        <f t="array" aca="1" ref="S8" ca="1">_xll.SNL.Clients.Office.Excel.Functions.SPG($L8, "SP_PE_FWD",S$2)</f>
        <v>#NAME?</v>
      </c>
      <c r="T8" s="59" t="e" cm="1">
        <f t="array" aca="1" ref="T8" ca="1">_xll.SNL.Clients.Office.Excel.Functions.SPG($L8, "SP_PE_FWD",T$2)</f>
        <v>#NAME?</v>
      </c>
      <c r="U8" s="60" t="e" cm="1">
        <f t="array" aca="1" ref="U8" ca="1">_xll.SNL.Clients.Office.Excel.Functions.SPG($L8, "SP_PE_FWD",U$2)</f>
        <v>#NAME?</v>
      </c>
      <c r="V8" s="63" t="e" cm="1">
        <f t="array" aca="1" ref="V8" ca="1">IF((_xll.SNL.Clients.Office.Excel.Functions.SPG($L8,$V$3,V$4,"Options: Curr=USD") / _xll.SNL.Clients.Office.Excel.Functions.SPG($L8,"SP_EBITDA_EST",V$2,"Options: Curr=USD")) &lt; 0, "NM", (_xll.SNL.Clients.Office.Excel.Functions.SPG($L8,$V$3,V$4,"Options: Curr=USD") / _xll.SNL.Clients.Office.Excel.Functions.SPG($L8,"SP_EBITDA_EST",V$2,"Options: Curr=USD")))</f>
        <v>#NAME?</v>
      </c>
      <c r="W8" s="64" t="e" cm="1">
        <f t="array" aca="1" ref="W8" ca="1">_xll.SNL.Clients.Office.Excel.Functions.SPG($L8, $W$3,W$4)</f>
        <v>#NAME?</v>
      </c>
      <c r="X8" s="65" t="e">
        <f ca="1">_xll.SNL.Clients.Office.Excel.Functions.SPG($L8, X$3, $X$2,$X$4)/1000</f>
        <v>#NAME?</v>
      </c>
      <c r="Y8" s="65" t="e">
        <f ca="1">_xll.SNL.Clients.Office.Excel.Functions.SPG($L8, Y$3, $X$2,$X$4)/1000</f>
        <v>#NAME?</v>
      </c>
      <c r="Z8" s="65" t="e">
        <f ca="1">_xll.SNL.Clients.Office.Excel.Functions.SPG($L8, Z$3, $X$2,$X$4)/1000</f>
        <v>#NAME?</v>
      </c>
      <c r="AA8" s="74" t="e">
        <f t="shared" ca="1" si="0"/>
        <v>#NAME?</v>
      </c>
      <c r="AB8" s="67" t="e">
        <f t="shared" ca="1" si="0"/>
        <v>#NAME?</v>
      </c>
      <c r="AC8" s="71" t="e">
        <f t="shared" ca="1" si="0"/>
        <v>#NAME?</v>
      </c>
      <c r="AD8" s="69" t="e">
        <f ca="1">_xll.SNL.Clients.Office.Excel.Functions.SPG($L8,$AD$3,AD$2,$AD$4)</f>
        <v>#NAME?</v>
      </c>
      <c r="AE8" s="70" t="e">
        <f ca="1">_xll.SNL.Clients.Office.Excel.Functions.SPG($L8,$AD$3,AE$2,$AD$4)</f>
        <v>#NAME?</v>
      </c>
      <c r="AF8" s="71" t="str">
        <f ca="1">IFERROR(AVERAGE(_xll.SNL.Clients.Office.Excel.Functions.SPG($L8,$AF$4,$AD$4,AF$2),_xll.SNL.Clients.Office.Excel.Functions.SPG($L8,$AF$3,$AD$4,AF$2)),"NA")</f>
        <v>NA</v>
      </c>
      <c r="AH8" s="72" t="s">
        <v>64</v>
      </c>
      <c r="AI8" s="72"/>
      <c r="AJ8" s="73" t="s">
        <v>71</v>
      </c>
      <c r="AK8" s="42"/>
    </row>
    <row r="9" spans="1:39" ht="13.8" x14ac:dyDescent="0.25">
      <c r="A9" s="51" t="e">
        <f ca="1">_xll.SNL.Clients.Office.Excel.Functions.SPG($L9, A$3)</f>
        <v>#NAME?</v>
      </c>
      <c r="B9" s="51" t="e">
        <f ca="1">_xll.BDP($K9,B$3)</f>
        <v>#NAME?</v>
      </c>
      <c r="C9" s="51" t="e">
        <f ca="1">_xll.BDP($K9,C$3)</f>
        <v>#NAME?</v>
      </c>
      <c r="D9" s="51" t="e">
        <f ca="1">_xll.BDP($K9,D$3)</f>
        <v>#NAME?</v>
      </c>
      <c r="E9" s="75" t="s">
        <v>77</v>
      </c>
      <c r="F9" s="52" t="s">
        <v>67</v>
      </c>
      <c r="G9" s="53" t="s">
        <v>60</v>
      </c>
      <c r="H9" s="54" t="e">
        <f ca="1">_xll.SNL.Clients.Office.Excel.Functions.SPG("KAS:KZAP", "IQ_TEV", "Options: Curr=USD")</f>
        <v>#NAME?</v>
      </c>
      <c r="I9" s="54" t="e">
        <f ca="1">_xll.SNL.Clients.Office.Excel.Functions.SPG("KAS:KZAP", "SP_MARKETCAP", "Options: Curr=USD")</f>
        <v>#NAME?</v>
      </c>
      <c r="J9" s="55" t="s">
        <v>78</v>
      </c>
      <c r="K9" s="56" t="s">
        <v>79</v>
      </c>
      <c r="L9" s="56" t="s">
        <v>80</v>
      </c>
      <c r="M9" s="57" t="e" cm="1">
        <f t="array" aca="1" ref="M9" ca="1">_xll.SNL.Clients.Office.Excel.Functions.SPG($L9, $M$3)/100</f>
        <v>#NAME?</v>
      </c>
      <c r="N9" s="58" t="e" cm="1">
        <f t="array" aca="1" ref="N9" ca="1">_xll.SNL.Clients.Office.Excel.Functions.SPG($L9, "SP_PCFPS_FWD",N$2)</f>
        <v>#NAME?</v>
      </c>
      <c r="O9" s="59" t="e" cm="1">
        <f t="array" aca="1" ref="O9" ca="1">_xll.SNL.Clients.Office.Excel.Functions.SPG($L9, "SP_PCFPS_FWD",O$2)</f>
        <v>#NAME?</v>
      </c>
      <c r="P9" s="60" t="e" cm="1">
        <f t="array" aca="1" ref="P9" ca="1">_xll.SNL.Clients.Office.Excel.Functions.SPG($L9, "SP_PCFPS_FWD",P$2)</f>
        <v>#NAME?</v>
      </c>
      <c r="Q9" s="61" t="e">
        <f ca="1">_xll.SNL.Clients.Office.Excel.Functions.SPG($L9, "SP_FCF_EST",Q$2, "Options: Curr=USD")/1000/$I9</f>
        <v>#NAME?</v>
      </c>
      <c r="R9" s="61" t="e">
        <f ca="1">_xll.SNL.Clients.Office.Excel.Functions.SPG($L9, "SP_FCF_EST",R$2, "Options: Curr=USD")/1000/$I9</f>
        <v>#NAME?</v>
      </c>
      <c r="S9" s="58" t="e" cm="1">
        <f t="array" aca="1" ref="S9" ca="1">_xll.SNL.Clients.Office.Excel.Functions.SPG($L9, "SP_PE_FWD",S$2)</f>
        <v>#NAME?</v>
      </c>
      <c r="T9" s="59" t="e" cm="1">
        <f t="array" aca="1" ref="T9" ca="1">_xll.SNL.Clients.Office.Excel.Functions.SPG($L9, "SP_PE_FWD",T$2)</f>
        <v>#NAME?</v>
      </c>
      <c r="U9" s="60" t="e" cm="1">
        <f t="array" aca="1" ref="U9" ca="1">_xll.SNL.Clients.Office.Excel.Functions.SPG($L9, "SP_PE_FWD",U$2)</f>
        <v>#NAME?</v>
      </c>
      <c r="V9" s="63" t="e" cm="1">
        <f t="array" aca="1" ref="V9" ca="1">IF((_xll.SNL.Clients.Office.Excel.Functions.SPG($L9,$V$3,V$4,"Options: Curr=USD") / _xll.SNL.Clients.Office.Excel.Functions.SPG($L9,"SP_EBITDA_EST",V$2,"Options: Curr=USD")) &lt; 0, "NM", (_xll.SNL.Clients.Office.Excel.Functions.SPG($L9,$V$3,V$4,"Options: Curr=USD") / _xll.SNL.Clients.Office.Excel.Functions.SPG($L9,"SP_EBITDA_EST",V$2,"Options: Curr=USD")))</f>
        <v>#NAME?</v>
      </c>
      <c r="W9" s="64" t="e" cm="1">
        <f t="array" aca="1" ref="W9" ca="1">_xll.SNL.Clients.Office.Excel.Functions.SPG($L9, $W$3,W$4)</f>
        <v>#NAME?</v>
      </c>
      <c r="X9" s="65" t="e">
        <f ca="1">_xll.SNL.Clients.Office.Excel.Functions.SPG($L9, X$3, $X$2,$X$4)/1000</f>
        <v>#NAME?</v>
      </c>
      <c r="Y9" s="65" t="e">
        <f ca="1">_xll.SNL.Clients.Office.Excel.Functions.SPG($L9, Y$3, $X$2,$X$4)/1000</f>
        <v>#NAME?</v>
      </c>
      <c r="Z9" s="65" t="e">
        <f ca="1">_xll.SNL.Clients.Office.Excel.Functions.SPG($L9, Z$3, $X$2,$X$4)/1000</f>
        <v>#NAME?</v>
      </c>
      <c r="AA9" s="74" t="e">
        <f t="shared" ca="1" si="0"/>
        <v>#NAME?</v>
      </c>
      <c r="AB9" s="67" t="e">
        <f t="shared" ca="1" si="0"/>
        <v>#NAME?</v>
      </c>
      <c r="AC9" s="71" t="e">
        <f t="shared" ca="1" si="0"/>
        <v>#NAME?</v>
      </c>
      <c r="AD9" s="69" t="e">
        <f ca="1">_xll.SNL.Clients.Office.Excel.Functions.SPG($L9,$AD$3,AD$2,$AD$4)</f>
        <v>#NAME?</v>
      </c>
      <c r="AE9" s="70" t="e">
        <f ca="1">_xll.SNL.Clients.Office.Excel.Functions.SPG($L9,$AD$3,AE$2,$AD$4)</f>
        <v>#NAME?</v>
      </c>
      <c r="AF9" s="71" t="str">
        <f ca="1">IFERROR(AVERAGE(_xll.SNL.Clients.Office.Excel.Functions.SPG($L9,$AF$4,$AD$4,AF$2),_xll.SNL.Clients.Office.Excel.Functions.SPG($L9,$AF$3,$AD$4,AF$2)),"NA")</f>
        <v>NA</v>
      </c>
      <c r="AH9" s="72" t="s">
        <v>64</v>
      </c>
      <c r="AI9" s="72"/>
      <c r="AJ9" s="73" t="s">
        <v>65</v>
      </c>
      <c r="AK9" s="42"/>
    </row>
    <row r="10" spans="1:39" ht="13.8" x14ac:dyDescent="0.25">
      <c r="A10" s="51" t="e">
        <f ca="1">_xll.SNL.Clients.Office.Excel.Functions.SPG($L10, A$3)</f>
        <v>#NAME?</v>
      </c>
      <c r="B10" s="51" t="e">
        <f ca="1">_xll.BDP($K10,B$3)</f>
        <v>#NAME?</v>
      </c>
      <c r="C10" s="51" t="e">
        <f ca="1">_xll.BDP($K10,C$3)</f>
        <v>#NAME?</v>
      </c>
      <c r="D10" s="51" t="e">
        <f ca="1">_xll.BDP($K10,D$3)</f>
        <v>#NAME?</v>
      </c>
      <c r="E10" s="52" t="s">
        <v>81</v>
      </c>
      <c r="F10" s="52" t="s">
        <v>67</v>
      </c>
      <c r="G10" s="53" t="s">
        <v>60</v>
      </c>
      <c r="H10" s="54" t="e">
        <f ca="1">_xll.SNL.Clients.Office.Excel.Functions.SPG($L10, "IQ_TEV", "Options: Curr=USD")</f>
        <v>#NAME?</v>
      </c>
      <c r="I10" s="54" t="e">
        <f ca="1">_xll.SNL.Clients.Office.Excel.Functions.SPG($L10, "SP_MARKETCAP", "Options: Curr=USD")</f>
        <v>#NAME?</v>
      </c>
      <c r="J10" s="55" t="s">
        <v>82</v>
      </c>
      <c r="K10" s="56" t="s">
        <v>83</v>
      </c>
      <c r="L10" s="3" t="s">
        <v>84</v>
      </c>
      <c r="M10" s="57" t="e" cm="1">
        <f t="array" aca="1" ref="M10" ca="1">_xll.SNL.Clients.Office.Excel.Functions.SPG($L10, $M$3)/100</f>
        <v>#NAME?</v>
      </c>
      <c r="N10" s="58" t="e" cm="1">
        <f t="array" aca="1" ref="N10" ca="1">_xll.SNL.Clients.Office.Excel.Functions.SPG($L10, "SP_PCFPS_FWD",N$2)</f>
        <v>#NAME?</v>
      </c>
      <c r="O10" s="59" t="e" cm="1">
        <f t="array" aca="1" ref="O10" ca="1">_xll.SNL.Clients.Office.Excel.Functions.SPG($L10, "SP_PCFPS_FWD",O$2)</f>
        <v>#NAME?</v>
      </c>
      <c r="P10" s="60" t="e" cm="1">
        <f t="array" aca="1" ref="P10" ca="1">_xll.SNL.Clients.Office.Excel.Functions.SPG($L10, "SP_PCFPS_FWD",P$2)</f>
        <v>#NAME?</v>
      </c>
      <c r="Q10" s="61" t="e">
        <f ca="1">_xll.SNL.Clients.Office.Excel.Functions.SPG($L10, "SP_FCF_EST",Q$2, "Options: Curr=USD")/1000/$I10</f>
        <v>#NAME?</v>
      </c>
      <c r="R10" s="61" t="e">
        <f ca="1">_xll.SNL.Clients.Office.Excel.Functions.SPG($L10, "SP_FCF_EST",R$2, "Options: Curr=USD")/1000/$I10</f>
        <v>#NAME?</v>
      </c>
      <c r="S10" s="58" t="e" cm="1">
        <f t="array" aca="1" ref="S10" ca="1">_xll.SNL.Clients.Office.Excel.Functions.SPG($L10, "SP_PE_FWD",S$2)</f>
        <v>#NAME?</v>
      </c>
      <c r="T10" s="59" t="e" cm="1">
        <f t="array" aca="1" ref="T10" ca="1">_xll.SNL.Clients.Office.Excel.Functions.SPG($L10, "SP_PE_FWD",T$2)</f>
        <v>#NAME?</v>
      </c>
      <c r="U10" s="60" t="e" cm="1">
        <f t="array" aca="1" ref="U10" ca="1">_xll.SNL.Clients.Office.Excel.Functions.SPG($L10, "SP_PE_FWD",U$2)</f>
        <v>#NAME?</v>
      </c>
      <c r="V10" s="63" t="e" cm="1">
        <f t="array" aca="1" ref="V10" ca="1">IF((_xll.SNL.Clients.Office.Excel.Functions.SPG($L10,$V$3,V$4,"Options: Curr=USD") / _xll.SNL.Clients.Office.Excel.Functions.SPG($L10,"SP_EBITDA_EST",V$2,"Options: Curr=USD")) &lt; 0, "NM", (_xll.SNL.Clients.Office.Excel.Functions.SPG($L10,$V$3,V$4,"Options: Curr=USD") / _xll.SNL.Clients.Office.Excel.Functions.SPG($L10,"SP_EBITDA_EST",V$2,"Options: Curr=USD")))</f>
        <v>#NAME?</v>
      </c>
      <c r="W10" s="64" t="e" cm="1">
        <f t="array" aca="1" ref="W10" ca="1">_xll.SNL.Clients.Office.Excel.Functions.SPG($L10, $W$3,W$4)</f>
        <v>#NAME?</v>
      </c>
      <c r="X10" s="65" t="e">
        <f ca="1">_xll.SNL.Clients.Office.Excel.Functions.SPG($L10, X$3, $X$2,$X$4)/1000</f>
        <v>#NAME?</v>
      </c>
      <c r="Y10" s="65" t="e">
        <f ca="1">_xll.SNL.Clients.Office.Excel.Functions.SPG($L10, Y$3, $X$2,$X$4)/1000</f>
        <v>#NAME?</v>
      </c>
      <c r="Z10" s="65" t="e">
        <f ca="1">_xll.SNL.Clients.Office.Excel.Functions.SPG($L10, Z$3, $X$2,$X$4)/1000</f>
        <v>#NAME?</v>
      </c>
      <c r="AA10" s="74" t="e">
        <f t="shared" ca="1" si="0"/>
        <v>#NAME?</v>
      </c>
      <c r="AB10" s="67" t="e">
        <f t="shared" ca="1" si="0"/>
        <v>#NAME?</v>
      </c>
      <c r="AC10" s="71" t="e">
        <f t="shared" ca="1" si="0"/>
        <v>#NAME?</v>
      </c>
      <c r="AD10" s="69" t="e">
        <f ca="1">_xll.SNL.Clients.Office.Excel.Functions.SPG($L10,$AD$3,AD$2,$AD$4)</f>
        <v>#NAME?</v>
      </c>
      <c r="AE10" s="70" t="e">
        <f ca="1">_xll.SNL.Clients.Office.Excel.Functions.SPG($L10,$AD$3,AE$2,$AD$4)</f>
        <v>#NAME?</v>
      </c>
      <c r="AF10" s="71" t="str">
        <f ca="1">IFERROR(AVERAGE(_xll.SNL.Clients.Office.Excel.Functions.SPG($L10,$AF$4,$AD$4,AF$2),_xll.SNL.Clients.Office.Excel.Functions.SPG($L10,$AF$3,$AD$4,AF$2)),"NA")</f>
        <v>NA</v>
      </c>
      <c r="AH10" s="72" t="s">
        <v>64</v>
      </c>
      <c r="AI10" s="72"/>
      <c r="AJ10" s="73" t="s">
        <v>71</v>
      </c>
      <c r="AK10" s="42"/>
    </row>
    <row r="11" spans="1:39" ht="13.8" x14ac:dyDescent="0.25">
      <c r="A11" s="51" t="e">
        <f ca="1">_xll.SNL.Clients.Office.Excel.Functions.SPG($L11, A$3)</f>
        <v>#NAME?</v>
      </c>
      <c r="B11" s="51" t="e">
        <f ca="1">_xll.BDP($K11,B$3)</f>
        <v>#NAME?</v>
      </c>
      <c r="C11" s="51" t="e">
        <f ca="1">_xll.BDP($K11,C$3)</f>
        <v>#NAME?</v>
      </c>
      <c r="D11" s="51" t="e">
        <f ca="1">_xll.BDP($K11,D$3)</f>
        <v>#NAME?</v>
      </c>
      <c r="E11" s="52" t="s">
        <v>85</v>
      </c>
      <c r="F11" s="52" t="s">
        <v>67</v>
      </c>
      <c r="G11" s="53" t="s">
        <v>86</v>
      </c>
      <c r="H11" s="54" t="e">
        <f ca="1">_xll.SNL.Clients.Office.Excel.Functions.SPG($L11, "IQ_TEV", "Options: Curr=USD")</f>
        <v>#NAME?</v>
      </c>
      <c r="I11" s="54" t="e">
        <f ca="1">_xll.SNL.Clients.Office.Excel.Functions.SPG($L11, "SP_MARKETCAP", "Options: Curr=USD")</f>
        <v>#NAME?</v>
      </c>
      <c r="J11" s="55" t="s">
        <v>87</v>
      </c>
      <c r="K11" s="56" t="s">
        <v>88</v>
      </c>
      <c r="L11" s="3" t="s">
        <v>89</v>
      </c>
      <c r="M11" s="57" t="e" cm="1">
        <f t="array" aca="1" ref="M11" ca="1">_xll.SNL.Clients.Office.Excel.Functions.SPG($L11, $M$3)/100</f>
        <v>#NAME?</v>
      </c>
      <c r="N11" s="58" t="e" cm="1">
        <f t="array" aca="1" ref="N11" ca="1">_xll.SNL.Clients.Office.Excel.Functions.SPG($L11, "SP_PCFPS_FWD",N$2)</f>
        <v>#NAME?</v>
      </c>
      <c r="O11" s="59" t="e" cm="1">
        <f t="array" aca="1" ref="O11" ca="1">_xll.SNL.Clients.Office.Excel.Functions.SPG($L11, "SP_PCFPS_FWD",O$2)</f>
        <v>#NAME?</v>
      </c>
      <c r="P11" s="60" t="e" cm="1">
        <f t="array" aca="1" ref="P11" ca="1">_xll.SNL.Clients.Office.Excel.Functions.SPG($L11, "SP_PCFPS_FWD",P$2)</f>
        <v>#NAME?</v>
      </c>
      <c r="Q11" s="76" t="e">
        <f ca="1">_xll.SNL.Clients.Office.Excel.Functions.SPG($L11, "SP_FCF_EST",Q$2, "Options: Curr=USD")/1000/$I11</f>
        <v>#NAME?</v>
      </c>
      <c r="R11" s="61" t="e">
        <f ca="1">_xll.SNL.Clients.Office.Excel.Functions.SPG($L11, "SP_FCF_EST",R$2, "Options: Curr=USD")/1000/$I11</f>
        <v>#NAME?</v>
      </c>
      <c r="S11" s="58" t="e" cm="1">
        <f t="array" aca="1" ref="S11" ca="1">_xll.SNL.Clients.Office.Excel.Functions.SPG($L11, "SP_PE_FWD",S$2)</f>
        <v>#NAME?</v>
      </c>
      <c r="T11" s="59" t="e" cm="1">
        <f t="array" aca="1" ref="T11" ca="1">_xll.SNL.Clients.Office.Excel.Functions.SPG($L11, "SP_PE_FWD",T$2)</f>
        <v>#NAME?</v>
      </c>
      <c r="U11" s="60" t="e" cm="1">
        <f t="array" aca="1" ref="U11" ca="1">_xll.SNL.Clients.Office.Excel.Functions.SPG($L11, "SP_PE_FWD",U$2)</f>
        <v>#NAME?</v>
      </c>
      <c r="V11" s="63" t="e" cm="1">
        <f t="array" aca="1" ref="V11" ca="1">IF((_xll.SNL.Clients.Office.Excel.Functions.SPG($L11,$V$3,V$4,"Options: Curr=USD") / _xll.SNL.Clients.Office.Excel.Functions.SPG($L11,"SP_EBITDA_EST",V$2,"Options: Curr=USD")) &lt; 0, "NM", (_xll.SNL.Clients.Office.Excel.Functions.SPG($L11,$V$3,V$4,"Options: Curr=USD") / _xll.SNL.Clients.Office.Excel.Functions.SPG($L11,"SP_EBITDA_EST",V$2,"Options: Curr=USD")))</f>
        <v>#NAME?</v>
      </c>
      <c r="W11" s="64" t="e" cm="1">
        <f t="array" aca="1" ref="W11" ca="1">_xll.SNL.Clients.Office.Excel.Functions.SPG($L11, $W$3,W$4)</f>
        <v>#NAME?</v>
      </c>
      <c r="X11" s="65" t="e">
        <f ca="1">_xll.SNL.Clients.Office.Excel.Functions.SPG($L11, X$3, $X$2,$X$4)/1000</f>
        <v>#NAME?</v>
      </c>
      <c r="Y11" s="65" t="e">
        <f ca="1">_xll.SNL.Clients.Office.Excel.Functions.SPG($L11, Y$3, $X$2,$X$4)/1000</f>
        <v>#NAME?</v>
      </c>
      <c r="Z11" s="65" t="e">
        <f ca="1">_xll.SNL.Clients.Office.Excel.Functions.SPG($L11, Z$3, $X$2,$X$4)/1000</f>
        <v>#NAME?</v>
      </c>
      <c r="AA11" s="74" t="e">
        <f t="shared" ca="1" si="0"/>
        <v>#NAME?</v>
      </c>
      <c r="AB11" s="67" t="e">
        <f t="shared" ca="1" si="0"/>
        <v>#NAME?</v>
      </c>
      <c r="AC11" s="71" t="e">
        <f t="shared" ca="1" si="0"/>
        <v>#NAME?</v>
      </c>
      <c r="AD11" s="69" t="e">
        <f ca="1">_xll.SNL.Clients.Office.Excel.Functions.SPG($L11,$AD$3,AD$2,$AD$4)</f>
        <v>#NAME?</v>
      </c>
      <c r="AE11" s="70" t="e">
        <f ca="1">_xll.SNL.Clients.Office.Excel.Functions.SPG($L11,$AD$3,AE$2,$AD$4)</f>
        <v>#NAME?</v>
      </c>
      <c r="AF11" s="71" t="str">
        <f ca="1">IFERROR(AVERAGE(_xll.SNL.Clients.Office.Excel.Functions.SPG($L11,$AF$4,$AD$4,AF$2),_xll.SNL.Clients.Office.Excel.Functions.SPG($L11,$AF$3,$AD$4,AF$2)),"NA")</f>
        <v>NA</v>
      </c>
      <c r="AH11" s="77" t="s">
        <v>90</v>
      </c>
      <c r="AI11" s="77"/>
      <c r="AJ11" s="73" t="s">
        <v>65</v>
      </c>
      <c r="AK11" s="42"/>
    </row>
    <row r="12" spans="1:39" ht="13.8" x14ac:dyDescent="0.25">
      <c r="A12" s="51" t="e">
        <f ca="1">_xll.SNL.Clients.Office.Excel.Functions.SPG($L12, A$3)</f>
        <v>#NAME?</v>
      </c>
      <c r="B12" s="51" t="e">
        <f ca="1">_xll.BDP($K12,B$3)</f>
        <v>#NAME?</v>
      </c>
      <c r="C12" s="51" t="e">
        <f ca="1">_xll.BDP($K12,C$3)</f>
        <v>#NAME?</v>
      </c>
      <c r="D12" s="51" t="e">
        <f ca="1">_xll.BDP($K12,D$3)</f>
        <v>#NAME?</v>
      </c>
      <c r="E12" s="52" t="s">
        <v>85</v>
      </c>
      <c r="F12" s="52" t="s">
        <v>67</v>
      </c>
      <c r="G12" s="53" t="s">
        <v>60</v>
      </c>
      <c r="H12" s="54" t="e">
        <f ca="1">_xll.SNL.Clients.Office.Excel.Functions.SPG($L12, "IQ_TEV", "Options: Curr=USD")</f>
        <v>#NAME?</v>
      </c>
      <c r="I12" s="54" t="e">
        <f ca="1">_xll.SNL.Clients.Office.Excel.Functions.SPG($L12, "SP_MARKETCAP", "Options: Curr=USD")</f>
        <v>#NAME?</v>
      </c>
      <c r="J12" s="55" t="s">
        <v>91</v>
      </c>
      <c r="K12" s="56" t="s">
        <v>92</v>
      </c>
      <c r="L12" s="3" t="s">
        <v>93</v>
      </c>
      <c r="M12" s="57" t="e" cm="1">
        <f t="array" aca="1" ref="M12" ca="1">_xll.SNL.Clients.Office.Excel.Functions.SPG($L12, $M$3)/100</f>
        <v>#NAME?</v>
      </c>
      <c r="N12" s="58" t="e" cm="1">
        <f t="array" aca="1" ref="N12" ca="1">_xll.SNL.Clients.Office.Excel.Functions.SPG($L12, "SP_PCFPS_FWD",N$2)</f>
        <v>#NAME?</v>
      </c>
      <c r="O12" s="59" t="e" cm="1">
        <f t="array" aca="1" ref="O12" ca="1">_xll.SNL.Clients.Office.Excel.Functions.SPG($L12, "SP_PCFPS_FWD",O$2)</f>
        <v>#NAME?</v>
      </c>
      <c r="P12" s="60" t="e" cm="1">
        <f t="array" aca="1" ref="P12" ca="1">_xll.SNL.Clients.Office.Excel.Functions.SPG($L12, "SP_PCFPS_FWD",P$2)</f>
        <v>#NAME?</v>
      </c>
      <c r="Q12" s="76" t="e">
        <f ca="1">_xll.SNL.Clients.Office.Excel.Functions.SPG($L12, "SP_FCF_EST",Q$2, "Options: Curr=USD")/1000/$I12</f>
        <v>#NAME?</v>
      </c>
      <c r="R12" s="61" t="e">
        <f ca="1">_xll.SNL.Clients.Office.Excel.Functions.SPG($L12, "SP_FCF_EST",R$2, "Options: Curr=USD")/1000/$I12</f>
        <v>#NAME?</v>
      </c>
      <c r="S12" s="58" t="e" cm="1">
        <f t="array" aca="1" ref="S12" ca="1">_xll.SNL.Clients.Office.Excel.Functions.SPG($L12, "SP_PE_FWD",S$2)</f>
        <v>#NAME?</v>
      </c>
      <c r="T12" s="59" t="e" cm="1">
        <f t="array" aca="1" ref="T12" ca="1">_xll.SNL.Clients.Office.Excel.Functions.SPG($L12, "SP_PE_FWD",T$2)</f>
        <v>#NAME?</v>
      </c>
      <c r="U12" s="60" t="e" cm="1">
        <f t="array" aca="1" ref="U12" ca="1">_xll.SNL.Clients.Office.Excel.Functions.SPG($L12, "SP_PE_FWD",U$2)</f>
        <v>#NAME?</v>
      </c>
      <c r="V12" s="63" t="e" cm="1">
        <f t="array" aca="1" ref="V12" ca="1">IF((_xll.SNL.Clients.Office.Excel.Functions.SPG($L12,$V$3,V$4,"Options: Curr=USD") / _xll.SNL.Clients.Office.Excel.Functions.SPG($L12,"SP_EBITDA_EST",V$2,"Options: Curr=USD")) &lt; 0, "NM", (_xll.SNL.Clients.Office.Excel.Functions.SPG($L12,$V$3,V$4,"Options: Curr=USD") / _xll.SNL.Clients.Office.Excel.Functions.SPG($L12,"SP_EBITDA_EST",V$2,"Options: Curr=USD")))</f>
        <v>#NAME?</v>
      </c>
      <c r="W12" s="64" t="e" cm="1">
        <f t="array" aca="1" ref="W12" ca="1">_xll.SNL.Clients.Office.Excel.Functions.SPG($L12, $W$3,W$4)</f>
        <v>#NAME?</v>
      </c>
      <c r="X12" s="65" t="e">
        <f ca="1">_xll.SNL.Clients.Office.Excel.Functions.SPG($L12, X$3, $X$2,$X$4)/1000</f>
        <v>#NAME?</v>
      </c>
      <c r="Y12" s="65" t="e">
        <f ca="1">_xll.SNL.Clients.Office.Excel.Functions.SPG($L12, Y$3, $X$2,$X$4)/1000</f>
        <v>#NAME?</v>
      </c>
      <c r="Z12" s="65" t="e">
        <f ca="1">_xll.SNL.Clients.Office.Excel.Functions.SPG($L12, Z$3, $X$2,$X$4)/1000</f>
        <v>#NAME?</v>
      </c>
      <c r="AA12" s="74" t="e">
        <f t="shared" ca="1" si="0"/>
        <v>#NAME?</v>
      </c>
      <c r="AB12" s="67" t="e">
        <f t="shared" ca="1" si="0"/>
        <v>#NAME?</v>
      </c>
      <c r="AC12" s="71" t="e">
        <f t="shared" ca="1" si="0"/>
        <v>#NAME?</v>
      </c>
      <c r="AD12" s="69" t="e">
        <f ca="1">_xll.SNL.Clients.Office.Excel.Functions.SPG($L12,$AD$3,AD$2,$AD$4)</f>
        <v>#NAME?</v>
      </c>
      <c r="AE12" s="70" t="e">
        <f ca="1">_xll.SNL.Clients.Office.Excel.Functions.SPG($L12,$AD$3,AE$2,$AD$4)</f>
        <v>#NAME?</v>
      </c>
      <c r="AF12" s="71" t="str">
        <f ca="1">IFERROR(AVERAGE(_xll.SNL.Clients.Office.Excel.Functions.SPG($L12,$AF$4,$AD$4,AF$2),_xll.SNL.Clients.Office.Excel.Functions.SPG($L12,$AF$3,$AD$4,AF$2)),"NA")</f>
        <v>NA</v>
      </c>
      <c r="AH12" s="77" t="s">
        <v>90</v>
      </c>
      <c r="AI12" s="77"/>
      <c r="AJ12" s="73" t="s">
        <v>65</v>
      </c>
      <c r="AK12" s="42"/>
    </row>
    <row r="13" spans="1:39" ht="13.8" x14ac:dyDescent="0.25">
      <c r="A13" s="51" t="e">
        <f ca="1">_xll.SNL.Clients.Office.Excel.Functions.SPG($L13, A$3)</f>
        <v>#NAME?</v>
      </c>
      <c r="B13" s="51" t="e">
        <f ca="1">_xll.BDP($K13,B$3)</f>
        <v>#NAME?</v>
      </c>
      <c r="C13" s="51" t="e">
        <f ca="1">_xll.BDP($K13,C$3)</f>
        <v>#NAME?</v>
      </c>
      <c r="D13" s="51" t="e">
        <f ca="1">_xll.BDP($K13,D$3)</f>
        <v>#NAME?</v>
      </c>
      <c r="E13" s="52" t="s">
        <v>94</v>
      </c>
      <c r="F13" s="52" t="s">
        <v>67</v>
      </c>
      <c r="G13" s="53" t="s">
        <v>60</v>
      </c>
      <c r="H13" s="54" t="e">
        <f ca="1">_xll.SNL.Clients.Office.Excel.Functions.SPG($L13, "IQ_TEV", "Options: Curr=USD")</f>
        <v>#NAME?</v>
      </c>
      <c r="I13" s="54" t="e">
        <f ca="1">_xll.SNL.Clients.Office.Excel.Functions.SPG($L13, "SP_MARKETCAP", "Options: Curr=USD")</f>
        <v>#NAME?</v>
      </c>
      <c r="J13" s="55" t="s">
        <v>95</v>
      </c>
      <c r="K13" s="56" t="s">
        <v>96</v>
      </c>
      <c r="L13" s="3" t="s">
        <v>97</v>
      </c>
      <c r="M13" s="57" t="e" cm="1">
        <f t="array" aca="1" ref="M13" ca="1">_xll.SNL.Clients.Office.Excel.Functions.SPG($L13, $M$3)/100</f>
        <v>#NAME?</v>
      </c>
      <c r="N13" s="58" t="e" cm="1">
        <f t="array" aca="1" ref="N13" ca="1">_xll.SNL.Clients.Office.Excel.Functions.SPG($L13, "SP_PCFPS_FWD","FY2024")</f>
        <v>#NAME?</v>
      </c>
      <c r="O13" s="59" t="e" cm="1">
        <f t="array" aca="1" ref="O13" ca="1">_xll.SNL.Clients.Office.Excel.Functions.SPG($L13, "SP_PCFPS_FWD","FY2025")</f>
        <v>#NAME?</v>
      </c>
      <c r="P13" s="59" t="e" cm="1">
        <f t="array" aca="1" ref="P13" ca="1">_xll.SNL.Clients.Office.Excel.Functions.SPG($L13, "SP_PCFPS_FWD","FY2025")</f>
        <v>#NAME?</v>
      </c>
      <c r="Q13" s="76" t="e">
        <f ca="1">_xll.SNL.Clients.Office.Excel.Functions.SPG($L13, "SP_FCF_EST",Q$2, "Options: Curr=USD")/1000/$I13</f>
        <v>#NAME?</v>
      </c>
      <c r="R13" s="61" t="e">
        <f ca="1">_xll.SNL.Clients.Office.Excel.Functions.SPG($L13, "SP_FCF_EST",R$2, "Options: Curr=USD")/1000/$I13</f>
        <v>#NAME?</v>
      </c>
      <c r="S13" s="58" t="e" cm="1">
        <f t="array" aca="1" ref="S13" ca="1">_xll.SNL.Clients.Office.Excel.Functions.SPG($L13, "SP_PE_FWD",S$2)</f>
        <v>#NAME?</v>
      </c>
      <c r="T13" s="59" t="e" cm="1">
        <f t="array" aca="1" ref="T13" ca="1">_xll.SNL.Clients.Office.Excel.Functions.SPG($L13, "SP_PE_FWD",T$2)</f>
        <v>#NAME?</v>
      </c>
      <c r="U13" s="60" t="e" cm="1">
        <f t="array" aca="1" ref="U13" ca="1">_xll.SNL.Clients.Office.Excel.Functions.SPG($L13, "SP_PE_FWD",U$2)</f>
        <v>#NAME?</v>
      </c>
      <c r="V13" s="78" t="e" cm="1">
        <f t="array" aca="1" ref="V13" ca="1">IF((_xll.SNL.Clients.Office.Excel.Functions.SPG($L13,$V$3,V$4,"Options: Curr=USD") / _xll.SNL.Clients.Office.Excel.Functions.SPG($L13,"SP_EBITDA_EST",V$2,"Options: Curr=USD")) &lt; 0, "NM", (_xll.SNL.Clients.Office.Excel.Functions.SPG($L13,$V$3,V$4,"Options: Curr=USD") / _xll.SNL.Clients.Office.Excel.Functions.SPG($L13,"SP_EBITDA_EST",V$2,"Options: Curr=USD")))</f>
        <v>#NAME?</v>
      </c>
      <c r="W13" s="79" t="e" cm="1">
        <f t="array" aca="1" ref="W13" ca="1">_xll.SNL.Clients.Office.Excel.Functions.SPG($L13, $W$3,W$4)</f>
        <v>#NAME?</v>
      </c>
      <c r="X13" s="65" t="e">
        <f ca="1">_xll.SNL.Clients.Office.Excel.Functions.SPG($L13, X$3, $X$2,$X$4)/1000</f>
        <v>#NAME?</v>
      </c>
      <c r="Y13" s="65" t="e">
        <f ca="1">_xll.SNL.Clients.Office.Excel.Functions.SPG($L13, Y$3, $X$2,$X$4)/1000</f>
        <v>#NAME?</v>
      </c>
      <c r="Z13" s="65" t="e">
        <f ca="1">_xll.SNL.Clients.Office.Excel.Functions.SPG($L13, Z$3, $X$2,$X$4)/1000</f>
        <v>#NAME?</v>
      </c>
      <c r="AA13" s="74" t="e">
        <f t="shared" ca="1" si="0"/>
        <v>#NAME?</v>
      </c>
      <c r="AB13" s="67" t="e">
        <f t="shared" ca="1" si="0"/>
        <v>#NAME?</v>
      </c>
      <c r="AC13" s="71" t="e">
        <f t="shared" ca="1" si="0"/>
        <v>#NAME?</v>
      </c>
      <c r="AD13" s="69" t="e">
        <f ca="1">_xll.SNL.Clients.Office.Excel.Functions.SPG($L13,$AD$3,AD$2,$AD$4)</f>
        <v>#NAME?</v>
      </c>
      <c r="AE13" s="70" t="e">
        <f ca="1">_xll.SNL.Clients.Office.Excel.Functions.SPG($L13,$AD$3,AE$2,$AD$4)</f>
        <v>#NAME?</v>
      </c>
      <c r="AF13" s="71" t="str">
        <f ca="1">IFERROR(AVERAGE(_xll.SNL.Clients.Office.Excel.Functions.SPG($L13,$AF$4,$AD$4,AF$2),_xll.SNL.Clients.Office.Excel.Functions.SPG($L13,$AF$3,$AD$4,AF$2)),"NA")</f>
        <v>NA</v>
      </c>
      <c r="AH13" s="72" t="s">
        <v>64</v>
      </c>
      <c r="AI13" s="72"/>
      <c r="AJ13" s="73" t="s">
        <v>65</v>
      </c>
      <c r="AK13" s="42"/>
    </row>
    <row r="14" spans="1:39" x14ac:dyDescent="0.25">
      <c r="D14" s="51"/>
      <c r="E14" s="52"/>
      <c r="F14" s="52"/>
      <c r="G14" s="52"/>
      <c r="H14" s="54"/>
      <c r="I14" s="54"/>
      <c r="J14" s="80"/>
      <c r="K14" s="80"/>
      <c r="L14" s="80" t="s">
        <v>98</v>
      </c>
      <c r="M14" s="81" t="e">
        <f ca="1">AVERAGE(M5:M10)</f>
        <v>#NAME?</v>
      </c>
      <c r="N14" s="82" t="e">
        <f ca="1">AVERAGE(N5:N10)</f>
        <v>#NAME?</v>
      </c>
      <c r="O14" s="83" t="e">
        <f ca="1">AVERAGE(O5:O10)</f>
        <v>#NAME?</v>
      </c>
      <c r="P14" s="84" t="e">
        <f ca="1">AVERAGE(P5:P10)</f>
        <v>#NAME?</v>
      </c>
      <c r="Q14" s="85" t="e">
        <f ca="1">AVERAGE(Q6:Q10)</f>
        <v>#NAME?</v>
      </c>
      <c r="R14" s="85" t="e">
        <f ca="1">AVERAGE(R6:R10)</f>
        <v>#NAME?</v>
      </c>
      <c r="S14" s="82" t="e">
        <f ca="1">AVERAGE(S5:S10)</f>
        <v>#NAME?</v>
      </c>
      <c r="T14" s="83" t="e">
        <f ca="1">AVERAGE(T5:T10)</f>
        <v>#NAME?</v>
      </c>
      <c r="U14" s="83" t="e">
        <f ca="1">AVERAGE(U5:U10)</f>
        <v>#NAME?</v>
      </c>
      <c r="V14" s="86"/>
      <c r="W14" s="86"/>
      <c r="AA14" s="82" t="e" cm="1">
        <f t="array" aca="1" ref="AA14" ca="1">AVERAGE(IFERROR(AA6:AA13, ""))</f>
        <v>#DIV/0!</v>
      </c>
      <c r="AB14" s="83" t="e" cm="1">
        <f t="array" aca="1" ref="AB14" ca="1">AVERAGE(IFERROR(AB6:AB13, ""))</f>
        <v>#DIV/0!</v>
      </c>
      <c r="AC14" s="84" t="e" cm="1">
        <f t="array" aca="1" ref="AC14" ca="1">AVERAGE(IFERROR(AC6:AC13, ""))</f>
        <v>#DIV/0!</v>
      </c>
      <c r="AD14" s="82" t="e" cm="1">
        <f t="array" aca="1" ref="AD14" ca="1">AVERAGE(IFERROR(AD6:AD13, ""))</f>
        <v>#DIV/0!</v>
      </c>
      <c r="AE14" s="83" t="e" cm="1">
        <f t="array" aca="1" ref="AE14" ca="1">AVERAGE(IFERROR(AE6:AE13, ""))</f>
        <v>#DIV/0!</v>
      </c>
      <c r="AF14" s="84" t="e" cm="1">
        <f t="array" aca="1" ref="AF14" ca="1">AVERAGE(IFERROR(AF6:AF13, ""))</f>
        <v>#DIV/0!</v>
      </c>
      <c r="AH14" s="72"/>
      <c r="AI14" s="72"/>
      <c r="AJ14" s="42"/>
      <c r="AK14" s="42"/>
    </row>
    <row r="15" spans="1:39" ht="16.8" x14ac:dyDescent="0.25">
      <c r="D15" s="51"/>
      <c r="E15" s="52"/>
      <c r="F15" s="52"/>
      <c r="G15" s="52"/>
      <c r="J15" s="45" t="s">
        <v>99</v>
      </c>
      <c r="K15" s="46"/>
      <c r="L15" s="46"/>
      <c r="M15" s="47"/>
      <c r="N15" s="48"/>
      <c r="O15" s="49"/>
      <c r="P15" s="49"/>
      <c r="Q15" s="49"/>
      <c r="R15" s="49"/>
      <c r="S15" s="48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50"/>
      <c r="AH15" s="72"/>
      <c r="AI15" s="72"/>
      <c r="AJ15" s="42"/>
      <c r="AK15" s="42"/>
    </row>
    <row r="16" spans="1:39" ht="13.8" x14ac:dyDescent="0.25">
      <c r="A16" s="51" t="e">
        <f ca="1">_xll.SNL.Clients.Office.Excel.Functions.SPG($L16, A$3)</f>
        <v>#NAME?</v>
      </c>
      <c r="B16" s="51" t="e">
        <f ca="1">_xll.BDP($K16,B$3)</f>
        <v>#NAME?</v>
      </c>
      <c r="C16" s="51" t="e">
        <f ca="1">_xll.BDP($K16,C$3)</f>
        <v>#NAME?</v>
      </c>
      <c r="D16" s="51" t="e">
        <f ca="1">_xll.BDP($K16,D$3)</f>
        <v>#NAME?</v>
      </c>
      <c r="E16" s="52" t="s">
        <v>100</v>
      </c>
      <c r="F16" s="52" t="s">
        <v>67</v>
      </c>
      <c r="G16" s="53" t="s">
        <v>60</v>
      </c>
      <c r="H16" s="54" t="e">
        <f ca="1">_xll.SNL.Clients.Office.Excel.Functions.SPG($L16, "IQ_TEV", "Options: Curr=USD")</f>
        <v>#NAME?</v>
      </c>
      <c r="I16" s="54" t="e">
        <f ca="1">_xll.SNL.Clients.Office.Excel.Functions.SPG($L16, "SP_MARKETCAP", "Options: Curr=USD")</f>
        <v>#NAME?</v>
      </c>
      <c r="J16" s="55" t="s">
        <v>101</v>
      </c>
      <c r="K16" s="56" t="s">
        <v>102</v>
      </c>
      <c r="L16" s="3" t="s">
        <v>103</v>
      </c>
      <c r="M16" s="57" t="str" cm="1">
        <f t="array" aca="1" ref="M16" ca="1">IFERROR(_xll.SNL.Clients.Office.Excel.Functions.SPG($L16, $M$3)/100,"NA")</f>
        <v>NA</v>
      </c>
      <c r="N16" s="58" t="e" cm="1">
        <f t="array" aca="1" ref="N16" ca="1">_xll.SNL.Clients.Office.Excel.Functions.SPG($L16, "SP_PCFPS_FWD","FY2024")</f>
        <v>#NAME?</v>
      </c>
      <c r="O16" s="59" t="e" cm="1">
        <f t="array" aca="1" ref="O16" ca="1">_xll.SNL.Clients.Office.Excel.Functions.SPG($L16, "SP_PCFPS_FWD","FY2025")</f>
        <v>#NAME?</v>
      </c>
      <c r="P16" s="59" t="e" cm="1">
        <f t="array" aca="1" ref="P16" ca="1">_xll.SNL.Clients.Office.Excel.Functions.SPG($L16, "SP_PCFPS_FWD","FY2025")</f>
        <v>#NAME?</v>
      </c>
      <c r="Q16" s="76" t="str">
        <f ca="1">IFERROR(_xll.SNL.Clients.Office.Excel.Functions.SPG($L16, "SP_FCF_EST",Q$2, "Options: Curr=USD")/1000/$I16,"NA")</f>
        <v>NA</v>
      </c>
      <c r="R16" s="61" t="str">
        <f ca="1">IFERROR(_xll.SNL.Clients.Office.Excel.Functions.SPG($L16, "SP_FCF_EST",R$2, "Options: Curr=USD")/1000/$I16,"NA")</f>
        <v>NA</v>
      </c>
      <c r="S16" s="58" t="e" cm="1">
        <f t="array" aca="1" ref="S16" ca="1">_xll.SNL.Clients.Office.Excel.Functions.SPG($L16, "SP_PE_FWD","FY2024")</f>
        <v>#NAME?</v>
      </c>
      <c r="T16" s="59" t="e" cm="1">
        <f t="array" aca="1" ref="T16" ca="1">_xll.SNL.Clients.Office.Excel.Functions.SPG($L16, "SP_PE_FWD","FY2025")</f>
        <v>#NAME?</v>
      </c>
      <c r="U16" s="59" t="e" cm="1">
        <f t="array" aca="1" ref="U16" ca="1">_xll.SNL.Clients.Office.Excel.Functions.SPG($L16, "SP_PCFPS_FWD",U$2)</f>
        <v>#NAME?</v>
      </c>
      <c r="V16" s="87"/>
      <c r="W16" s="59"/>
      <c r="X16" s="65" t="e">
        <f ca="1">_xll.SNL.Clients.Office.Excel.Functions.SPG($L16, X$3, $X$2,$X$4)/1000</f>
        <v>#NAME?</v>
      </c>
      <c r="Y16" s="65" t="e">
        <f ca="1">_xll.SNL.Clients.Office.Excel.Functions.SPG($L16, Y$3, $X$2,$X$4)/1000</f>
        <v>#NAME?</v>
      </c>
      <c r="Z16" s="65" t="e">
        <f ca="1">_xll.SNL.Clients.Office.Excel.Functions.SPG($L16, Z$3, $X$2,$X$4)/1000</f>
        <v>#NAME?</v>
      </c>
      <c r="AA16" s="66" t="str">
        <f ca="1">IFERROR($H16*1000/X16,"NM")</f>
        <v>NM</v>
      </c>
      <c r="AB16" s="67" t="str">
        <f ca="1">IFERROR($H16*1000/Y16,"NM")</f>
        <v>NM</v>
      </c>
      <c r="AC16" s="68" t="str">
        <f ca="1">IFERROR($H16*1000/Z16,"NM")</f>
        <v>NM</v>
      </c>
      <c r="AH16" s="72" t="s">
        <v>64</v>
      </c>
      <c r="AI16" s="72"/>
      <c r="AJ16" s="73" t="s">
        <v>71</v>
      </c>
      <c r="AK16" s="42"/>
    </row>
    <row r="17" spans="1:37" ht="13.8" x14ac:dyDescent="0.25">
      <c r="A17" s="51" t="e">
        <f ca="1">_xll.SNL.Clients.Office.Excel.Functions.SPG($L17, A$3)</f>
        <v>#NAME?</v>
      </c>
      <c r="B17" s="51" t="e">
        <f ca="1">_xll.BDP($K17,B$3)</f>
        <v>#NAME?</v>
      </c>
      <c r="C17" s="51" t="e">
        <f ca="1">_xll.BDP($K17,C$3)</f>
        <v>#NAME?</v>
      </c>
      <c r="D17" s="51" t="e">
        <f ca="1">_xll.BDP($K17,D$3)</f>
        <v>#NAME?</v>
      </c>
      <c r="E17" s="52" t="s">
        <v>100</v>
      </c>
      <c r="F17" s="52" t="s">
        <v>67</v>
      </c>
      <c r="G17" s="53" t="s">
        <v>60</v>
      </c>
      <c r="H17" s="54" t="e">
        <f ca="1">_xll.SNL.Clients.Office.Excel.Functions.SPG($L17, "IQ_TEV", "Options: Curr=USD")</f>
        <v>#NAME?</v>
      </c>
      <c r="I17" s="54" t="e">
        <f ca="1">_xll.SNL.Clients.Office.Excel.Functions.SPG($L17, "SP_MARKETCAP", "Options: Curr=USD")</f>
        <v>#NAME?</v>
      </c>
      <c r="J17" s="55" t="s">
        <v>104</v>
      </c>
      <c r="K17" s="56" t="s">
        <v>105</v>
      </c>
      <c r="L17" s="3" t="s">
        <v>106</v>
      </c>
      <c r="M17" s="57" t="str" cm="1">
        <f t="array" aca="1" ref="M17" ca="1">IFERROR(_xll.SNL.Clients.Office.Excel.Functions.SPG($L17, $M$3)/100,"NA")</f>
        <v>NA</v>
      </c>
      <c r="N17" s="58" t="e" cm="1">
        <f t="array" aca="1" ref="N17" ca="1">_xll.SNL.Clients.Office.Excel.Functions.SPG($L17, "SP_PCFPS_FWD","FY2024")</f>
        <v>#NAME?</v>
      </c>
      <c r="O17" s="59" t="e" cm="1">
        <f t="array" aca="1" ref="O17" ca="1">_xll.SNL.Clients.Office.Excel.Functions.SPG($L17, "SP_PCFPS_FWD","FY2025")</f>
        <v>#NAME?</v>
      </c>
      <c r="P17" s="59" t="e" cm="1">
        <f t="array" aca="1" ref="P17" ca="1">_xll.SNL.Clients.Office.Excel.Functions.SPG($L17, "SP_PCFPS_FWD","FY2025")</f>
        <v>#NAME?</v>
      </c>
      <c r="Q17" s="76" t="str">
        <f ca="1">IFERROR(_xll.SNL.Clients.Office.Excel.Functions.SPG($L17, "SP_FCF_EST",Q$2, "Options: Curr=USD")/1000/$I17,"NA")</f>
        <v>NA</v>
      </c>
      <c r="R17" s="61" t="str">
        <f ca="1">IFERROR(_xll.SNL.Clients.Office.Excel.Functions.SPG($L17, "SP_FCF_EST",R$2, "Options: Curr=USD")/1000/$I17,"NA")</f>
        <v>NA</v>
      </c>
      <c r="S17" s="58" t="e" cm="1">
        <f t="array" aca="1" ref="S17" ca="1">_xll.SNL.Clients.Office.Excel.Functions.SPG($L17, "SP_PE_FWD","FY2024")</f>
        <v>#NAME?</v>
      </c>
      <c r="T17" s="59" t="e" cm="1">
        <f t="array" aca="1" ref="T17" ca="1">_xll.SNL.Clients.Office.Excel.Functions.SPG($L17, "SP_PE_FWD","FY2025")</f>
        <v>#NAME?</v>
      </c>
      <c r="U17" s="59" t="e" cm="1">
        <f t="array" aca="1" ref="U17" ca="1">_xll.SNL.Clients.Office.Excel.Functions.SPG($L17, "SP_PCFPS_FWD",U$2)</f>
        <v>#NAME?</v>
      </c>
      <c r="V17" s="88"/>
      <c r="W17" s="59"/>
      <c r="X17" s="65" t="e">
        <f ca="1">_xll.SNL.Clients.Office.Excel.Functions.SPG($L17, X$3, $X$2,$X$4)/1000</f>
        <v>#NAME?</v>
      </c>
      <c r="Y17" s="65" t="e">
        <f ca="1">_xll.SNL.Clients.Office.Excel.Functions.SPG($L17, Y$3, $X$2,$X$4)/1000</f>
        <v>#NAME?</v>
      </c>
      <c r="Z17" s="65" t="e">
        <f ca="1">_xll.SNL.Clients.Office.Excel.Functions.SPG($L17, Z$3, $X$2,$X$4)/1000</f>
        <v>#NAME?</v>
      </c>
      <c r="AA17" s="74" t="str">
        <f t="shared" ref="AA17:AC30" ca="1" si="1">IFERROR($H17*1000/X17,"NM")</f>
        <v>NM</v>
      </c>
      <c r="AB17" s="67" t="str">
        <f t="shared" ca="1" si="1"/>
        <v>NM</v>
      </c>
      <c r="AC17" s="71" t="str">
        <f t="shared" ca="1" si="1"/>
        <v>NM</v>
      </c>
      <c r="AH17" s="72" t="s">
        <v>64</v>
      </c>
      <c r="AI17" s="72"/>
      <c r="AJ17" s="73" t="s">
        <v>71</v>
      </c>
      <c r="AK17" s="42"/>
    </row>
    <row r="18" spans="1:37" ht="13.8" x14ac:dyDescent="0.25">
      <c r="A18" s="51" t="e">
        <f ca="1">_xll.SNL.Clients.Office.Excel.Functions.SPG($L18, A$3)</f>
        <v>#NAME?</v>
      </c>
      <c r="B18" s="51" t="e">
        <f ca="1">_xll.BDP($K18,B$3)</f>
        <v>#NAME?</v>
      </c>
      <c r="C18" s="51" t="e">
        <f ca="1">_xll.BDP($K18,C$3)</f>
        <v>#NAME?</v>
      </c>
      <c r="D18" s="51" t="e">
        <f ca="1">_xll.BDP($K18,D$3)</f>
        <v>#NAME?</v>
      </c>
      <c r="E18" s="52" t="s">
        <v>107</v>
      </c>
      <c r="F18" s="52" t="s">
        <v>67</v>
      </c>
      <c r="G18" s="53" t="s">
        <v>60</v>
      </c>
      <c r="H18" s="54" t="e">
        <f ca="1">_xll.SNL.Clients.Office.Excel.Functions.SPG($L18, "IQ_TEV", "Options: Curr=USD")</f>
        <v>#NAME?</v>
      </c>
      <c r="I18" s="54" t="e">
        <f ca="1">_xll.SNL.Clients.Office.Excel.Functions.SPG($L18, "SP_MARKETCAP", "Options: Curr=USD")</f>
        <v>#NAME?</v>
      </c>
      <c r="J18" s="55" t="s">
        <v>108</v>
      </c>
      <c r="K18" s="56" t="s">
        <v>109</v>
      </c>
      <c r="L18" s="3" t="s">
        <v>110</v>
      </c>
      <c r="M18" s="57" t="str" cm="1">
        <f t="array" aca="1" ref="M18" ca="1">IFERROR(_xll.SNL.Clients.Office.Excel.Functions.SPG($L18, $M$3)/100,"NA")</f>
        <v>NA</v>
      </c>
      <c r="N18" s="58" t="e" cm="1">
        <f t="array" aca="1" ref="N18" ca="1">_xll.SNL.Clients.Office.Excel.Functions.SPG($L18, "SP_PCFPS_FWD","FY2024")</f>
        <v>#NAME?</v>
      </c>
      <c r="O18" s="59" t="e" cm="1">
        <f t="array" aca="1" ref="O18" ca="1">_xll.SNL.Clients.Office.Excel.Functions.SPG($L18, "SP_PCFPS_FWD","FY2025")</f>
        <v>#NAME?</v>
      </c>
      <c r="P18" s="59" t="e" cm="1">
        <f t="array" aca="1" ref="P18" ca="1">_xll.SNL.Clients.Office.Excel.Functions.SPG($L18, "SP_PCFPS_FWD","FY2025")</f>
        <v>#NAME?</v>
      </c>
      <c r="Q18" s="76" t="str">
        <f ca="1">IFERROR(_xll.SNL.Clients.Office.Excel.Functions.SPG($L18, "SP_FCF_EST",Q$2, "Options: Curr=USD")/1000/$I18,"NA")</f>
        <v>NA</v>
      </c>
      <c r="R18" s="61" t="str">
        <f ca="1">IFERROR(_xll.SNL.Clients.Office.Excel.Functions.SPG($L18, "SP_FCF_EST",R$2, "Options: Curr=USD")/1000/$I18,"NA")</f>
        <v>NA</v>
      </c>
      <c r="S18" s="58" t="e" cm="1">
        <f t="array" aca="1" ref="S18" ca="1">_xll.SNL.Clients.Office.Excel.Functions.SPG($L18, "SP_PE_FWD","FY2024")</f>
        <v>#NAME?</v>
      </c>
      <c r="T18" s="59" t="e" cm="1">
        <f t="array" aca="1" ref="T18" ca="1">_xll.SNL.Clients.Office.Excel.Functions.SPG($L18, "SP_PE_FWD","FY2025")</f>
        <v>#NAME?</v>
      </c>
      <c r="U18" s="59" t="e" cm="1">
        <f t="array" aca="1" ref="U18" ca="1">_xll.SNL.Clients.Office.Excel.Functions.SPG($L18, "SP_PCFPS_FWD",U$2)</f>
        <v>#NAME?</v>
      </c>
      <c r="V18" s="88"/>
      <c r="W18" s="59"/>
      <c r="X18" s="65" t="e">
        <f ca="1">_xll.SNL.Clients.Office.Excel.Functions.SPG($L18, X$3, $X$2,$X$4)/1000</f>
        <v>#NAME?</v>
      </c>
      <c r="Y18" s="65" t="e">
        <f ca="1">_xll.SNL.Clients.Office.Excel.Functions.SPG($L18, Y$3, $X$2,$X$4)/1000</f>
        <v>#NAME?</v>
      </c>
      <c r="Z18" s="65" t="e">
        <f ca="1">_xll.SNL.Clients.Office.Excel.Functions.SPG($L18, Z$3, $X$2,$X$4)/1000</f>
        <v>#NAME?</v>
      </c>
      <c r="AA18" s="74" t="str">
        <f t="shared" ca="1" si="1"/>
        <v>NM</v>
      </c>
      <c r="AB18" s="67" t="str">
        <f t="shared" ca="1" si="1"/>
        <v>NM</v>
      </c>
      <c r="AC18" s="71" t="str">
        <f t="shared" ca="1" si="1"/>
        <v>NM</v>
      </c>
      <c r="AH18" s="72" t="s">
        <v>64</v>
      </c>
      <c r="AI18" s="72"/>
      <c r="AJ18" s="73" t="s">
        <v>71</v>
      </c>
      <c r="AK18" s="42"/>
    </row>
    <row r="19" spans="1:37" ht="13.8" hidden="1" outlineLevel="1" x14ac:dyDescent="0.25">
      <c r="A19" s="51" t="e">
        <f ca="1">_xll.SNL.Clients.Office.Excel.Functions.SPG($L19, A$3)</f>
        <v>#NAME?</v>
      </c>
      <c r="B19" s="51" t="e">
        <f ca="1">_xll.BDP($K19,B$3)</f>
        <v>#NAME?</v>
      </c>
      <c r="C19" s="51" t="e">
        <f ca="1">_xll.BDP($K19,C$3)</f>
        <v>#NAME?</v>
      </c>
      <c r="D19" s="51" t="e">
        <f ca="1">_xll.BDP($K19,D$3)</f>
        <v>#NAME?</v>
      </c>
      <c r="E19" s="52" t="s">
        <v>111</v>
      </c>
      <c r="F19" s="52" t="s">
        <v>67</v>
      </c>
      <c r="G19" s="53" t="s">
        <v>60</v>
      </c>
      <c r="H19" s="54" t="e">
        <f ca="1">_xll.SNL.Clients.Office.Excel.Functions.SPG($L19, "IQ_TEV", "Options: Curr=USD")</f>
        <v>#NAME?</v>
      </c>
      <c r="I19" s="54" t="e">
        <f ca="1">_xll.SNL.Clients.Office.Excel.Functions.SPG($L19, "SP_MARKETCAP", "Options: Curr=USD")</f>
        <v>#NAME?</v>
      </c>
      <c r="J19" s="55" t="s">
        <v>112</v>
      </c>
      <c r="K19" s="56" t="s">
        <v>113</v>
      </c>
      <c r="L19" s="3" t="s">
        <v>114</v>
      </c>
      <c r="M19" s="57" t="str" cm="1">
        <f t="array" aca="1" ref="M19" ca="1">IFERROR(_xll.SNL.Clients.Office.Excel.Functions.SPG($L19, $M$3)/100,"NA")</f>
        <v>NA</v>
      </c>
      <c r="N19" s="58" t="e" cm="1">
        <f t="array" aca="1" ref="N19" ca="1">_xll.SNL.Clients.Office.Excel.Functions.SPG($L19, "SP_PCFPS_FWD","FY2024")</f>
        <v>#NAME?</v>
      </c>
      <c r="O19" s="59" t="e" cm="1">
        <f t="array" aca="1" ref="O19" ca="1">_xll.SNL.Clients.Office.Excel.Functions.SPG($L19, "SP_PCFPS_FWD","FY2025")</f>
        <v>#NAME?</v>
      </c>
      <c r="P19" s="59" t="e" cm="1">
        <f t="array" aca="1" ref="P19" ca="1">_xll.SNL.Clients.Office.Excel.Functions.SPG($L19, "SP_PCFPS_FWD","FY2025")</f>
        <v>#NAME?</v>
      </c>
      <c r="Q19" s="76" t="str">
        <f ca="1">IFERROR(_xll.SNL.Clients.Office.Excel.Functions.SPG($L19, "SP_FCF_EST",Q$2, "Options: Curr=USD")/1000/$I19,"NA")</f>
        <v>NA</v>
      </c>
      <c r="R19" s="61" t="str">
        <f ca="1">IFERROR(_xll.SNL.Clients.Office.Excel.Functions.SPG($L19, "SP_FCF_EST",R$2, "Options: Curr=USD")/1000/$I19,"NA")</f>
        <v>NA</v>
      </c>
      <c r="S19" s="58" t="e" cm="1">
        <f t="array" aca="1" ref="S19" ca="1">_xll.SNL.Clients.Office.Excel.Functions.SPG($L19, "SP_PE_FWD","FY2024")</f>
        <v>#NAME?</v>
      </c>
      <c r="T19" s="59" t="e" cm="1">
        <f t="array" aca="1" ref="T19" ca="1">_xll.SNL.Clients.Office.Excel.Functions.SPG($L19, "SP_PE_FWD","FY2025")</f>
        <v>#NAME?</v>
      </c>
      <c r="U19" s="59" t="e" cm="1">
        <f t="array" aca="1" ref="U19" ca="1">_xll.SNL.Clients.Office.Excel.Functions.SPG($L19, "SP_PCFPS_FWD",U$2)</f>
        <v>#NAME?</v>
      </c>
      <c r="V19" s="88"/>
      <c r="W19" s="59"/>
      <c r="X19" s="65" t="e">
        <f ca="1">_xll.SNL.Clients.Office.Excel.Functions.SPG($L19, X$3, $X$2,$X$4)/1000</f>
        <v>#NAME?</v>
      </c>
      <c r="Y19" s="65" t="e">
        <f ca="1">_xll.SNL.Clients.Office.Excel.Functions.SPG($L19, Y$3, $X$2,$X$4)/1000</f>
        <v>#NAME?</v>
      </c>
      <c r="Z19" s="65" t="e">
        <f ca="1">_xll.SNL.Clients.Office.Excel.Functions.SPG($L19, Z$3, $X$2,$X$4)/1000</f>
        <v>#NAME?</v>
      </c>
      <c r="AA19" s="74" t="str">
        <f t="shared" ca="1" si="1"/>
        <v>NM</v>
      </c>
      <c r="AB19" s="67" t="str">
        <f t="shared" ca="1" si="1"/>
        <v>NM</v>
      </c>
      <c r="AC19" s="71" t="str">
        <f t="shared" ca="1" si="1"/>
        <v>NM</v>
      </c>
      <c r="AH19" s="72" t="s">
        <v>64</v>
      </c>
      <c r="AI19" s="72"/>
      <c r="AJ19" s="73" t="s">
        <v>71</v>
      </c>
      <c r="AK19" s="42"/>
    </row>
    <row r="20" spans="1:37" ht="13.8" collapsed="1" x14ac:dyDescent="0.25">
      <c r="A20" s="51" t="e">
        <f ca="1">_xll.SNL.Clients.Office.Excel.Functions.SPG($L20, A$3)</f>
        <v>#NAME?</v>
      </c>
      <c r="B20" s="51" t="e">
        <f ca="1">_xll.BDP($K20,B$3)</f>
        <v>#NAME?</v>
      </c>
      <c r="C20" s="51" t="e">
        <f ca="1">_xll.BDP($K20,C$3)</f>
        <v>#NAME?</v>
      </c>
      <c r="D20" s="51" t="e">
        <f ca="1">_xll.BDP($K20,D$3)</f>
        <v>#NAME?</v>
      </c>
      <c r="E20" s="52" t="s">
        <v>100</v>
      </c>
      <c r="F20" s="52" t="s">
        <v>67</v>
      </c>
      <c r="G20" s="53" t="s">
        <v>60</v>
      </c>
      <c r="H20" s="54" t="e">
        <f ca="1">_xll.SNL.Clients.Office.Excel.Functions.SPG($L20, "IQ_TEV", "Options: Curr=USD")</f>
        <v>#NAME?</v>
      </c>
      <c r="I20" s="54" t="e">
        <f ca="1">_xll.SNL.Clients.Office.Excel.Functions.SPG($L20, "SP_MARKETCAP", "Options: Curr=USD")</f>
        <v>#NAME?</v>
      </c>
      <c r="J20" s="55" t="s">
        <v>115</v>
      </c>
      <c r="K20" s="56" t="s">
        <v>116</v>
      </c>
      <c r="L20" s="3" t="s">
        <v>117</v>
      </c>
      <c r="M20" s="57" t="str" cm="1">
        <f t="array" aca="1" ref="M20" ca="1">IFERROR(_xll.SNL.Clients.Office.Excel.Functions.SPG($L20, $M$3)/100,"NA")</f>
        <v>NA</v>
      </c>
      <c r="N20" s="58" t="e" cm="1">
        <f t="array" aca="1" ref="N20" ca="1">_xll.SNL.Clients.Office.Excel.Functions.SPG($L20, "SP_PCFPS_FWD","FY2024")</f>
        <v>#NAME?</v>
      </c>
      <c r="O20" s="59" t="e" cm="1">
        <f t="array" aca="1" ref="O20" ca="1">_xll.SNL.Clients.Office.Excel.Functions.SPG($L20, "SP_PCFPS_FWD","FY2025")</f>
        <v>#NAME?</v>
      </c>
      <c r="P20" s="59" t="e" cm="1">
        <f t="array" aca="1" ref="P20" ca="1">_xll.SNL.Clients.Office.Excel.Functions.SPG($L20, "SP_PCFPS_FWD","FY2025")</f>
        <v>#NAME?</v>
      </c>
      <c r="Q20" s="76" t="str">
        <f ca="1">IFERROR(_xll.SNL.Clients.Office.Excel.Functions.SPG($L20, "SP_FCF_EST",Q$2, "Options: Curr=USD")/1000/$I20,"NA")</f>
        <v>NA</v>
      </c>
      <c r="R20" s="61" t="str">
        <f ca="1">IFERROR(_xll.SNL.Clients.Office.Excel.Functions.SPG($L20, "SP_FCF_EST",R$2, "Options: Curr=USD")/1000/$I20,"NA")</f>
        <v>NA</v>
      </c>
      <c r="S20" s="58" t="e" cm="1">
        <f t="array" aca="1" ref="S20" ca="1">_xll.SNL.Clients.Office.Excel.Functions.SPG($L20, "SP_PE_FWD","FY2024")</f>
        <v>#NAME?</v>
      </c>
      <c r="T20" s="59" t="e" cm="1">
        <f t="array" aca="1" ref="T20" ca="1">_xll.SNL.Clients.Office.Excel.Functions.SPG($L20, "SP_PE_FWD","FY2025")</f>
        <v>#NAME?</v>
      </c>
      <c r="U20" s="59" t="e" cm="1">
        <f t="array" aca="1" ref="U20" ca="1">_xll.SNL.Clients.Office.Excel.Functions.SPG($L20, "SP_PCFPS_FWD",U$2)</f>
        <v>#NAME?</v>
      </c>
      <c r="V20" s="88"/>
      <c r="W20" s="59"/>
      <c r="X20" s="65" t="e">
        <f ca="1">_xll.SNL.Clients.Office.Excel.Functions.SPG($L20, X$3, $X$2,$X$4)/1000</f>
        <v>#NAME?</v>
      </c>
      <c r="Y20" s="65" t="e">
        <f ca="1">_xll.SNL.Clients.Office.Excel.Functions.SPG($L20, Y$3, $X$2,$X$4)/1000</f>
        <v>#NAME?</v>
      </c>
      <c r="Z20" s="65" t="e">
        <f ca="1">_xll.SNL.Clients.Office.Excel.Functions.SPG($L20, Z$3, $X$2,$X$4)/1000</f>
        <v>#NAME?</v>
      </c>
      <c r="AA20" s="74" t="str">
        <f t="shared" ca="1" si="1"/>
        <v>NM</v>
      </c>
      <c r="AB20" s="67" t="str">
        <f t="shared" ca="1" si="1"/>
        <v>NM</v>
      </c>
      <c r="AC20" s="71" t="str">
        <f t="shared" ca="1" si="1"/>
        <v>NM</v>
      </c>
      <c r="AH20" s="72" t="s">
        <v>64</v>
      </c>
      <c r="AI20" s="72"/>
      <c r="AJ20" s="73" t="s">
        <v>71</v>
      </c>
      <c r="AK20" s="42"/>
    </row>
    <row r="21" spans="1:37" ht="13.8" x14ac:dyDescent="0.25">
      <c r="A21" s="51" t="e">
        <f ca="1">_xll.SNL.Clients.Office.Excel.Functions.SPG($L21, A$3)</f>
        <v>#NAME?</v>
      </c>
      <c r="B21" s="51" t="e">
        <f ca="1">_xll.BDP($K21,B$3)</f>
        <v>#NAME?</v>
      </c>
      <c r="C21" s="51" t="e">
        <f ca="1">_xll.BDP($K21,C$3)</f>
        <v>#NAME?</v>
      </c>
      <c r="D21" s="51" t="e">
        <f ca="1">_xll.BDP($K21,D$3)</f>
        <v>#NAME?</v>
      </c>
      <c r="E21" s="52" t="s">
        <v>118</v>
      </c>
      <c r="F21" s="52" t="s">
        <v>59</v>
      </c>
      <c r="G21" s="53" t="s">
        <v>60</v>
      </c>
      <c r="H21" s="54" t="e">
        <f ca="1">_xll.SNL.Clients.Office.Excel.Functions.SPG($L21, "IQ_TEV", "Options: Curr=USD")</f>
        <v>#NAME?</v>
      </c>
      <c r="I21" s="54" t="e">
        <f ca="1">_xll.SNL.Clients.Office.Excel.Functions.SPG($L21, "SP_MARKETCAP", "Options: Curr=USD")</f>
        <v>#NAME?</v>
      </c>
      <c r="J21" s="55" t="s">
        <v>119</v>
      </c>
      <c r="K21" s="56" t="s">
        <v>120</v>
      </c>
      <c r="L21" s="3" t="s">
        <v>121</v>
      </c>
      <c r="M21" s="57" t="str" cm="1">
        <f t="array" aca="1" ref="M21" ca="1">IFERROR(_xll.SNL.Clients.Office.Excel.Functions.SPG($L21, $M$3)/100,"NA")</f>
        <v>NA</v>
      </c>
      <c r="N21" s="58" t="e" cm="1">
        <f t="array" aca="1" ref="N21" ca="1">_xll.SNL.Clients.Office.Excel.Functions.SPG($L21, "SP_PCFPS_FWD","FY2024")</f>
        <v>#NAME?</v>
      </c>
      <c r="O21" s="59" t="e" cm="1">
        <f t="array" aca="1" ref="O21" ca="1">_xll.SNL.Clients.Office.Excel.Functions.SPG($L21, "SP_PCFPS_FWD","FY2025")</f>
        <v>#NAME?</v>
      </c>
      <c r="P21" s="59" t="e" cm="1">
        <f t="array" aca="1" ref="P21" ca="1">_xll.SNL.Clients.Office.Excel.Functions.SPG($L21, "SP_PCFPS_FWD","FY2025")</f>
        <v>#NAME?</v>
      </c>
      <c r="Q21" s="76" t="str">
        <f ca="1">IFERROR(_xll.SNL.Clients.Office.Excel.Functions.SPG($L21, "SP_FCF_EST",Q$2, "Options: Curr=USD")/1000/$I21,"NA")</f>
        <v>NA</v>
      </c>
      <c r="R21" s="61" t="str">
        <f ca="1">IFERROR(_xll.SNL.Clients.Office.Excel.Functions.SPG($L21, "SP_FCF_EST",R$2, "Options: Curr=USD")/1000/$I21,"NA")</f>
        <v>NA</v>
      </c>
      <c r="S21" s="58" t="e" cm="1">
        <f t="array" aca="1" ref="S21" ca="1">_xll.SNL.Clients.Office.Excel.Functions.SPG($L21, "SP_PE_FWD","FY2024")</f>
        <v>#NAME?</v>
      </c>
      <c r="T21" s="59" t="e" cm="1">
        <f t="array" aca="1" ref="T21" ca="1">_xll.SNL.Clients.Office.Excel.Functions.SPG($L21, "SP_PE_FWD","FY2025")</f>
        <v>#NAME?</v>
      </c>
      <c r="U21" s="59" t="e" cm="1">
        <f t="array" aca="1" ref="U21" ca="1">_xll.SNL.Clients.Office.Excel.Functions.SPG($L21, "SP_PCFPS_FWD",U$2)</f>
        <v>#NAME?</v>
      </c>
      <c r="V21" s="88"/>
      <c r="W21" s="59"/>
      <c r="X21" s="65" t="e">
        <f ca="1">_xll.SNL.Clients.Office.Excel.Functions.SPG($L21, X$3, $X$2,$X$4)/1000</f>
        <v>#NAME?</v>
      </c>
      <c r="Y21" s="65" t="e">
        <f ca="1">_xll.SNL.Clients.Office.Excel.Functions.SPG($L21, Y$3, $X$2,$X$4)/1000</f>
        <v>#NAME?</v>
      </c>
      <c r="Z21" s="65" t="e">
        <f ca="1">_xll.SNL.Clients.Office.Excel.Functions.SPG($L21, Z$3, $X$2,$X$4)/1000</f>
        <v>#NAME?</v>
      </c>
      <c r="AA21" s="74" t="str">
        <f t="shared" ca="1" si="1"/>
        <v>NM</v>
      </c>
      <c r="AB21" s="67" t="str">
        <f t="shared" ca="1" si="1"/>
        <v>NM</v>
      </c>
      <c r="AC21" s="71" t="str">
        <f t="shared" ca="1" si="1"/>
        <v>NM</v>
      </c>
      <c r="AH21" s="72" t="s">
        <v>64</v>
      </c>
      <c r="AI21" s="72"/>
      <c r="AJ21" s="73" t="s">
        <v>71</v>
      </c>
      <c r="AK21" s="42"/>
    </row>
    <row r="22" spans="1:37" ht="13.8" x14ac:dyDescent="0.25">
      <c r="A22" s="51" t="e">
        <f ca="1">_xll.SNL.Clients.Office.Excel.Functions.SPG($L22, A$3)</f>
        <v>#NAME?</v>
      </c>
      <c r="B22" s="51" t="e">
        <f ca="1">_xll.BDP($K22,B$3)</f>
        <v>#NAME?</v>
      </c>
      <c r="C22" s="51" t="e">
        <f ca="1">_xll.BDP($K22,C$3)</f>
        <v>#NAME?</v>
      </c>
      <c r="D22" s="51" t="e">
        <f ca="1">_xll.BDP($K22,D$3)</f>
        <v>#NAME?</v>
      </c>
      <c r="E22" s="52" t="s">
        <v>100</v>
      </c>
      <c r="F22" s="52" t="s">
        <v>67</v>
      </c>
      <c r="G22" s="53" t="s">
        <v>60</v>
      </c>
      <c r="H22" s="54" t="e">
        <f ca="1">_xll.SNL.Clients.Office.Excel.Functions.SPG($L22, "IQ_TEV", "Options: Curr=USD")</f>
        <v>#NAME?</v>
      </c>
      <c r="I22" s="54" t="e">
        <f ca="1">_xll.SNL.Clients.Office.Excel.Functions.SPG($L22, "SP_MARKETCAP", "Options: Curr=USD")</f>
        <v>#NAME?</v>
      </c>
      <c r="J22" s="55" t="s">
        <v>122</v>
      </c>
      <c r="K22" s="56" t="s">
        <v>123</v>
      </c>
      <c r="L22" s="3" t="s">
        <v>124</v>
      </c>
      <c r="M22" s="57" t="str" cm="1">
        <f t="array" aca="1" ref="M22" ca="1">IFERROR(_xll.SNL.Clients.Office.Excel.Functions.SPG($L22, $M$3)/100,"NA")</f>
        <v>NA</v>
      </c>
      <c r="N22" s="58" t="e" cm="1">
        <f t="array" aca="1" ref="N22" ca="1">_xll.SNL.Clients.Office.Excel.Functions.SPG($L22, "SP_PCFPS_FWD","FY2024")</f>
        <v>#NAME?</v>
      </c>
      <c r="O22" s="59" t="e" cm="1">
        <f t="array" aca="1" ref="O22" ca="1">_xll.SNL.Clients.Office.Excel.Functions.SPG($L22, "SP_PCFPS_FWD","FY2025")</f>
        <v>#NAME?</v>
      </c>
      <c r="P22" s="59" t="e" cm="1">
        <f t="array" aca="1" ref="P22" ca="1">_xll.SNL.Clients.Office.Excel.Functions.SPG($L22, "SP_PCFPS_FWD","FY2025")</f>
        <v>#NAME?</v>
      </c>
      <c r="Q22" s="76" t="str">
        <f ca="1">IFERROR(_xll.SNL.Clients.Office.Excel.Functions.SPG($L22, "SP_FCF_EST",Q$2, "Options: Curr=USD")/1000/$I22,"NA")</f>
        <v>NA</v>
      </c>
      <c r="R22" s="61" t="str">
        <f ca="1">IFERROR(_xll.SNL.Clients.Office.Excel.Functions.SPG($L22, "SP_FCF_EST",R$2, "Options: Curr=USD")/1000/$I22,"NA")</f>
        <v>NA</v>
      </c>
      <c r="S22" s="58" t="e" cm="1">
        <f t="array" aca="1" ref="S22" ca="1">_xll.SNL.Clients.Office.Excel.Functions.SPG($L22, "SP_PE_FWD","FY2024")</f>
        <v>#NAME?</v>
      </c>
      <c r="T22" s="59" t="e" cm="1">
        <f t="array" aca="1" ref="T22" ca="1">_xll.SNL.Clients.Office.Excel.Functions.SPG($L22, "SP_PE_FWD","FY2025")</f>
        <v>#NAME?</v>
      </c>
      <c r="U22" s="59" t="e" cm="1">
        <f t="array" aca="1" ref="U22" ca="1">_xll.SNL.Clients.Office.Excel.Functions.SPG($L22, "SP_PCFPS_FWD",U$2)</f>
        <v>#NAME?</v>
      </c>
      <c r="V22" s="88"/>
      <c r="W22" s="59"/>
      <c r="X22" s="65" t="e">
        <f ca="1">_xll.SNL.Clients.Office.Excel.Functions.SPG($L22, X$3, $X$2,$X$4)/1000</f>
        <v>#NAME?</v>
      </c>
      <c r="Y22" s="65" t="e">
        <f ca="1">_xll.SNL.Clients.Office.Excel.Functions.SPG($L22, Y$3, $X$2,$X$4)/1000</f>
        <v>#NAME?</v>
      </c>
      <c r="Z22" s="65" t="e">
        <f ca="1">_xll.SNL.Clients.Office.Excel.Functions.SPG($L22, Z$3, $X$2,$X$4)/1000</f>
        <v>#NAME?</v>
      </c>
      <c r="AA22" s="74" t="str">
        <f t="shared" ca="1" si="1"/>
        <v>NM</v>
      </c>
      <c r="AB22" s="67" t="str">
        <f t="shared" ca="1" si="1"/>
        <v>NM</v>
      </c>
      <c r="AC22" s="71" t="str">
        <f t="shared" ca="1" si="1"/>
        <v>NM</v>
      </c>
      <c r="AH22" s="72" t="s">
        <v>64</v>
      </c>
      <c r="AI22" s="72"/>
      <c r="AJ22" s="73" t="s">
        <v>71</v>
      </c>
      <c r="AK22" s="42"/>
    </row>
    <row r="23" spans="1:37" ht="13.8" x14ac:dyDescent="0.25">
      <c r="A23" s="51" t="e">
        <f ca="1">_xll.SNL.Clients.Office.Excel.Functions.SPG($L23, A$3)</f>
        <v>#NAME?</v>
      </c>
      <c r="B23" s="51" t="e">
        <f ca="1">_xll.BDP($K23,B$3)</f>
        <v>#NAME?</v>
      </c>
      <c r="C23" s="51" t="e">
        <f ca="1">_xll.BDP($K23,C$3)</f>
        <v>#NAME?</v>
      </c>
      <c r="D23" s="51" t="e">
        <f ca="1">_xll.BDP($K23,D$3)</f>
        <v>#NAME?</v>
      </c>
      <c r="E23" s="52" t="s">
        <v>125</v>
      </c>
      <c r="F23" s="52" t="s">
        <v>67</v>
      </c>
      <c r="G23" s="53" t="s">
        <v>60</v>
      </c>
      <c r="H23" s="54" t="e">
        <f ca="1">_xll.SNL.Clients.Office.Excel.Functions.SPG($L23, "IQ_TEV", "Options: Curr=USD")</f>
        <v>#NAME?</v>
      </c>
      <c r="I23" s="54" t="e">
        <f ca="1">_xll.SNL.Clients.Office.Excel.Functions.SPG($L23, "SP_MARKETCAP", "Options: Curr=USD")</f>
        <v>#NAME?</v>
      </c>
      <c r="J23" s="55" t="s">
        <v>126</v>
      </c>
      <c r="K23" s="56" t="s">
        <v>127</v>
      </c>
      <c r="L23" s="3" t="s">
        <v>128</v>
      </c>
      <c r="M23" s="57" t="str" cm="1">
        <f t="array" aca="1" ref="M23" ca="1">IFERROR(_xll.SNL.Clients.Office.Excel.Functions.SPG($L23, $M$3)/100,"NA")</f>
        <v>NA</v>
      </c>
      <c r="N23" s="58" t="e" cm="1">
        <f t="array" aca="1" ref="N23" ca="1">_xll.SNL.Clients.Office.Excel.Functions.SPG($L23, "SP_PCFPS_FWD","FY2024")</f>
        <v>#NAME?</v>
      </c>
      <c r="O23" s="59" t="e" cm="1">
        <f t="array" aca="1" ref="O23" ca="1">_xll.SNL.Clients.Office.Excel.Functions.SPG($L23, "SP_PCFPS_FWD","FY2025")</f>
        <v>#NAME?</v>
      </c>
      <c r="P23" s="59" t="e" cm="1">
        <f t="array" aca="1" ref="P23" ca="1">_xll.SNL.Clients.Office.Excel.Functions.SPG($L23, "SP_PCFPS_FWD","FY2025")</f>
        <v>#NAME?</v>
      </c>
      <c r="Q23" s="76" t="str">
        <f ca="1">IFERROR(_xll.SNL.Clients.Office.Excel.Functions.SPG($L23, "SP_FCF_EST",Q$2, "Options: Curr=USD")/1000/$I23,"NA")</f>
        <v>NA</v>
      </c>
      <c r="R23" s="61" t="str">
        <f ca="1">IFERROR(_xll.SNL.Clients.Office.Excel.Functions.SPG($L23, "SP_FCF_EST",R$2, "Options: Curr=USD")/1000/$I23,"NA")</f>
        <v>NA</v>
      </c>
      <c r="S23" s="58" t="e" cm="1">
        <f t="array" aca="1" ref="S23" ca="1">_xll.SNL.Clients.Office.Excel.Functions.SPG($L23, "SP_PE_FWD","FY2024")</f>
        <v>#NAME?</v>
      </c>
      <c r="T23" s="59" t="e" cm="1">
        <f t="array" aca="1" ref="T23" ca="1">_xll.SNL.Clients.Office.Excel.Functions.SPG($L23, "SP_PE_FWD","FY2025")</f>
        <v>#NAME?</v>
      </c>
      <c r="U23" s="59" t="e" cm="1">
        <f t="array" aca="1" ref="U23" ca="1">_xll.SNL.Clients.Office.Excel.Functions.SPG($L23, "SP_PCFPS_FWD",U$2)</f>
        <v>#NAME?</v>
      </c>
      <c r="V23" s="88"/>
      <c r="W23" s="59"/>
      <c r="X23" s="65" t="e">
        <f ca="1">_xll.SNL.Clients.Office.Excel.Functions.SPG($L23, X$3, $X$2,$X$4)/1000</f>
        <v>#NAME?</v>
      </c>
      <c r="Y23" s="65" t="e">
        <f ca="1">_xll.SNL.Clients.Office.Excel.Functions.SPG($L23, Y$3, $X$2,$X$4)/1000</f>
        <v>#NAME?</v>
      </c>
      <c r="Z23" s="65" t="e">
        <f ca="1">_xll.SNL.Clients.Office.Excel.Functions.SPG($L23, Z$3, $X$2,$X$4)/1000</f>
        <v>#NAME?</v>
      </c>
      <c r="AA23" s="74" t="str">
        <f t="shared" ca="1" si="1"/>
        <v>NM</v>
      </c>
      <c r="AB23" s="67" t="str">
        <f t="shared" ca="1" si="1"/>
        <v>NM</v>
      </c>
      <c r="AC23" s="71" t="str">
        <f t="shared" ca="1" si="1"/>
        <v>NM</v>
      </c>
      <c r="AH23" s="72" t="s">
        <v>64</v>
      </c>
      <c r="AI23" s="72"/>
      <c r="AJ23" s="73" t="s">
        <v>71</v>
      </c>
      <c r="AK23" s="42"/>
    </row>
    <row r="24" spans="1:37" ht="13.8" x14ac:dyDescent="0.25">
      <c r="A24" s="51" t="e">
        <f ca="1">_xll.SNL.Clients.Office.Excel.Functions.SPG($L24, A$3)</f>
        <v>#NAME?</v>
      </c>
      <c r="B24" s="51" t="e">
        <f ca="1">_xll.BDP($K24,B$3)</f>
        <v>#NAME?</v>
      </c>
      <c r="C24" s="51" t="e">
        <f ca="1">_xll.BDP($K24,C$3)</f>
        <v>#NAME?</v>
      </c>
      <c r="D24" s="51" t="e">
        <f ca="1">_xll.BDP($K24,D$3)</f>
        <v>#NAME?</v>
      </c>
      <c r="E24" s="52" t="s">
        <v>129</v>
      </c>
      <c r="F24" s="52" t="s">
        <v>67</v>
      </c>
      <c r="G24" s="53" t="s">
        <v>60</v>
      </c>
      <c r="H24" s="54" t="e">
        <f ca="1">_xll.SNL.Clients.Office.Excel.Functions.SPG($L24, "IQ_TEV", "Options: Curr=USD")</f>
        <v>#NAME?</v>
      </c>
      <c r="I24" s="54" t="e">
        <f ca="1">_xll.SNL.Clients.Office.Excel.Functions.SPG($L24, "SP_MARKETCAP", "Options: Curr=USD")</f>
        <v>#NAME?</v>
      </c>
      <c r="J24" s="55" t="s">
        <v>130</v>
      </c>
      <c r="K24" s="56" t="s">
        <v>131</v>
      </c>
      <c r="L24" s="3" t="s">
        <v>132</v>
      </c>
      <c r="M24" s="57" t="str" cm="1">
        <f t="array" aca="1" ref="M24" ca="1">IFERROR(_xll.SNL.Clients.Office.Excel.Functions.SPG($L24, $M$3)/100,"NA")</f>
        <v>NA</v>
      </c>
      <c r="N24" s="58" t="e" cm="1">
        <f t="array" aca="1" ref="N24" ca="1">_xll.SNL.Clients.Office.Excel.Functions.SPG($L24, "SP_PCFPS_FWD","FY2024")</f>
        <v>#NAME?</v>
      </c>
      <c r="O24" s="59" t="e" cm="1">
        <f t="array" aca="1" ref="O24" ca="1">_xll.SNL.Clients.Office.Excel.Functions.SPG($L24, "SP_PCFPS_FWD","FY2025")</f>
        <v>#NAME?</v>
      </c>
      <c r="P24" s="59" t="e" cm="1">
        <f t="array" aca="1" ref="P24" ca="1">_xll.SNL.Clients.Office.Excel.Functions.SPG($L24, "SP_PCFPS_FWD","FY2025")</f>
        <v>#NAME?</v>
      </c>
      <c r="Q24" s="76" t="str">
        <f ca="1">IFERROR(_xll.SNL.Clients.Office.Excel.Functions.SPG($L24, "SP_FCF_EST",Q$2, "Options: Curr=USD")/1000/$I24,"NA")</f>
        <v>NA</v>
      </c>
      <c r="R24" s="61" t="str">
        <f ca="1">IFERROR(_xll.SNL.Clients.Office.Excel.Functions.SPG($L24, "SP_FCF_EST",R$2, "Options: Curr=USD")/1000/$I24,"NA")</f>
        <v>NA</v>
      </c>
      <c r="S24" s="58" t="e" cm="1">
        <f t="array" aca="1" ref="S24" ca="1">_xll.SNL.Clients.Office.Excel.Functions.SPG($L24, "SP_PE_FWD","FY2024")</f>
        <v>#NAME?</v>
      </c>
      <c r="T24" s="59" t="e" cm="1">
        <f t="array" aca="1" ref="T24" ca="1">_xll.SNL.Clients.Office.Excel.Functions.SPG($L24, "SP_PE_FWD","FY2025")</f>
        <v>#NAME?</v>
      </c>
      <c r="U24" s="59" t="e" cm="1">
        <f t="array" aca="1" ref="U24" ca="1">_xll.SNL.Clients.Office.Excel.Functions.SPG($L24, "SP_PCFPS_FWD",U$2)</f>
        <v>#NAME?</v>
      </c>
      <c r="V24" s="88"/>
      <c r="W24" s="59"/>
      <c r="X24" s="65" t="e">
        <f ca="1">_xll.SNL.Clients.Office.Excel.Functions.SPG($L24, X$3, $X$2,$X$4)/1000</f>
        <v>#NAME?</v>
      </c>
      <c r="Y24" s="65" t="e">
        <f ca="1">_xll.SNL.Clients.Office.Excel.Functions.SPG($L24, Y$3, $X$2,$X$4)/1000</f>
        <v>#NAME?</v>
      </c>
      <c r="Z24" s="65" t="e">
        <f ca="1">_xll.SNL.Clients.Office.Excel.Functions.SPG($L24, Z$3, $X$2,$X$4)/1000</f>
        <v>#NAME?</v>
      </c>
      <c r="AA24" s="74" t="str">
        <f t="shared" ca="1" si="1"/>
        <v>NM</v>
      </c>
      <c r="AB24" s="67" t="str">
        <f t="shared" ca="1" si="1"/>
        <v>NM</v>
      </c>
      <c r="AC24" s="71" t="str">
        <f t="shared" ca="1" si="1"/>
        <v>NM</v>
      </c>
      <c r="AH24" s="72" t="s">
        <v>64</v>
      </c>
      <c r="AI24" s="72"/>
      <c r="AJ24" s="73" t="s">
        <v>71</v>
      </c>
      <c r="AK24" s="42"/>
    </row>
    <row r="25" spans="1:37" ht="13.8" x14ac:dyDescent="0.25">
      <c r="A25" s="51" t="e">
        <f ca="1">_xll.SNL.Clients.Office.Excel.Functions.SPG($L25, A$3)</f>
        <v>#NAME?</v>
      </c>
      <c r="B25" s="51" t="e">
        <f ca="1">_xll.BDP($K25,B$3)</f>
        <v>#NAME?</v>
      </c>
      <c r="C25" s="51" t="e">
        <f ca="1">_xll.BDP($K25,C$3)</f>
        <v>#NAME?</v>
      </c>
      <c r="D25" s="51" t="e">
        <f ca="1">_xll.BDP($K25,D$3)</f>
        <v>#NAME?</v>
      </c>
      <c r="E25" s="52" t="s">
        <v>133</v>
      </c>
      <c r="F25" s="52" t="s">
        <v>67</v>
      </c>
      <c r="G25" s="53" t="s">
        <v>60</v>
      </c>
      <c r="H25" s="54" t="e">
        <f ca="1">_xll.SNL.Clients.Office.Excel.Functions.SPG($L25, "IQ_TEV", "Options: Curr=USD")</f>
        <v>#NAME?</v>
      </c>
      <c r="I25" s="54" t="e">
        <f ca="1">_xll.SNL.Clients.Office.Excel.Functions.SPG($L25, "SP_MARKETCAP", "Options: Curr=USD")</f>
        <v>#NAME?</v>
      </c>
      <c r="J25" s="55" t="s">
        <v>134</v>
      </c>
      <c r="K25" s="56" t="s">
        <v>135</v>
      </c>
      <c r="L25" s="3" t="s">
        <v>136</v>
      </c>
      <c r="M25" s="57" t="str" cm="1">
        <f t="array" aca="1" ref="M25" ca="1">IFERROR(_xll.SNL.Clients.Office.Excel.Functions.SPG($L25, $M$3)/100,"NA")</f>
        <v>NA</v>
      </c>
      <c r="N25" s="58" t="e" cm="1">
        <f t="array" aca="1" ref="N25" ca="1">_xll.SNL.Clients.Office.Excel.Functions.SPG($L25, "SP_PCFPS_FWD","FY2024")</f>
        <v>#NAME?</v>
      </c>
      <c r="O25" s="59" t="e" cm="1">
        <f t="array" aca="1" ref="O25" ca="1">_xll.SNL.Clients.Office.Excel.Functions.SPG($L25, "SP_PCFPS_FWD","FY2025")</f>
        <v>#NAME?</v>
      </c>
      <c r="P25" s="59" t="e" cm="1">
        <f t="array" aca="1" ref="P25" ca="1">_xll.SNL.Clients.Office.Excel.Functions.SPG($L25, "SP_PCFPS_FWD","FY2025")</f>
        <v>#NAME?</v>
      </c>
      <c r="Q25" s="76" t="str">
        <f ca="1">IFERROR(_xll.SNL.Clients.Office.Excel.Functions.SPG($L25, "SP_FCF_EST",Q$2, "Options: Curr=USD")/1000/$I25,"NA")</f>
        <v>NA</v>
      </c>
      <c r="R25" s="61" t="str">
        <f ca="1">IFERROR(_xll.SNL.Clients.Office.Excel.Functions.SPG($L25, "SP_FCF_EST",R$2, "Options: Curr=USD")/1000/$I25,"NA")</f>
        <v>NA</v>
      </c>
      <c r="S25" s="58" t="e" cm="1">
        <f t="array" aca="1" ref="S25" ca="1">_xll.SNL.Clients.Office.Excel.Functions.SPG($L25, "SP_PE_FWD","FY2024")</f>
        <v>#NAME?</v>
      </c>
      <c r="T25" s="59" t="e" cm="1">
        <f t="array" aca="1" ref="T25" ca="1">_xll.SNL.Clients.Office.Excel.Functions.SPG($L25, "SP_PE_FWD","FY2025")</f>
        <v>#NAME?</v>
      </c>
      <c r="U25" s="59" t="e" cm="1">
        <f t="array" aca="1" ref="U25" ca="1">_xll.SNL.Clients.Office.Excel.Functions.SPG($L25, "SP_PCFPS_FWD",U$2)</f>
        <v>#NAME?</v>
      </c>
      <c r="V25" s="88"/>
      <c r="W25" s="59"/>
      <c r="X25" s="65" t="e">
        <f ca="1">_xll.SNL.Clients.Office.Excel.Functions.SPG($L25, X$3, $X$2,$X$4)/1000</f>
        <v>#NAME?</v>
      </c>
      <c r="Y25" s="65" t="e">
        <f ca="1">_xll.SNL.Clients.Office.Excel.Functions.SPG($L25, Y$3, $X$2,$X$4)/1000</f>
        <v>#NAME?</v>
      </c>
      <c r="Z25" s="65" t="e">
        <f ca="1">_xll.SNL.Clients.Office.Excel.Functions.SPG($L25, Z$3, $X$2,$X$4)/1000</f>
        <v>#NAME?</v>
      </c>
      <c r="AA25" s="74" t="str">
        <f t="shared" ca="1" si="1"/>
        <v>NM</v>
      </c>
      <c r="AB25" s="67" t="str">
        <f t="shared" ca="1" si="1"/>
        <v>NM</v>
      </c>
      <c r="AC25" s="71" t="str">
        <f t="shared" ca="1" si="1"/>
        <v>NM</v>
      </c>
      <c r="AH25" s="72" t="s">
        <v>64</v>
      </c>
      <c r="AI25" s="72"/>
      <c r="AJ25" s="73" t="s">
        <v>71</v>
      </c>
      <c r="AK25" s="42"/>
    </row>
    <row r="26" spans="1:37" ht="13.8" x14ac:dyDescent="0.25">
      <c r="A26" s="51" t="e">
        <f ca="1">_xll.SNL.Clients.Office.Excel.Functions.SPG($L26, A$3)</f>
        <v>#NAME?</v>
      </c>
      <c r="B26" s="51" t="e">
        <f ca="1">_xll.BDP($K26,B$3)</f>
        <v>#NAME?</v>
      </c>
      <c r="C26" s="51" t="e">
        <f ca="1">_xll.BDP($K26,C$3)</f>
        <v>#NAME?</v>
      </c>
      <c r="D26" s="51" t="e">
        <f ca="1">_xll.BDP($K26,D$3)</f>
        <v>#NAME?</v>
      </c>
      <c r="E26" s="52" t="s">
        <v>137</v>
      </c>
      <c r="F26" s="52" t="s">
        <v>67</v>
      </c>
      <c r="G26" s="53" t="s">
        <v>60</v>
      </c>
      <c r="H26" s="54" t="e">
        <f ca="1">_xll.SNL.Clients.Office.Excel.Functions.SPG($L26, "IQ_TEV", "Options: Curr=USD")</f>
        <v>#NAME?</v>
      </c>
      <c r="I26" s="54" t="e">
        <f ca="1">_xll.SNL.Clients.Office.Excel.Functions.SPG($L26, "SP_MARKETCAP", "Options: Curr=USD")</f>
        <v>#NAME?</v>
      </c>
      <c r="J26" s="55" t="s">
        <v>138</v>
      </c>
      <c r="K26" s="56" t="s">
        <v>139</v>
      </c>
      <c r="L26" s="3" t="s">
        <v>140</v>
      </c>
      <c r="M26" s="57" t="str" cm="1">
        <f t="array" aca="1" ref="M26" ca="1">IFERROR(_xll.SNL.Clients.Office.Excel.Functions.SPG($L26, $M$3)/100,"NA")</f>
        <v>NA</v>
      </c>
      <c r="N26" s="58" t="e" cm="1">
        <f t="array" aca="1" ref="N26" ca="1">_xll.SNL.Clients.Office.Excel.Functions.SPG($L26, "SP_PCFPS_FWD","FY2024")</f>
        <v>#NAME?</v>
      </c>
      <c r="O26" s="59" t="e" cm="1">
        <f t="array" aca="1" ref="O26" ca="1">_xll.SNL.Clients.Office.Excel.Functions.SPG($L26, "SP_PCFPS_FWD","FY2025")</f>
        <v>#NAME?</v>
      </c>
      <c r="P26" s="59" t="e" cm="1">
        <f t="array" aca="1" ref="P26" ca="1">_xll.SNL.Clients.Office.Excel.Functions.SPG($L26, "SP_PCFPS_FWD","FY2025")</f>
        <v>#NAME?</v>
      </c>
      <c r="Q26" s="76" t="str">
        <f ca="1">IFERROR(_xll.SNL.Clients.Office.Excel.Functions.SPG($L26, "SP_FCF_EST",Q$2, "Options: Curr=USD")/1000/$I26,"NA")</f>
        <v>NA</v>
      </c>
      <c r="R26" s="61" t="str">
        <f ca="1">IFERROR(_xll.SNL.Clients.Office.Excel.Functions.SPG($L26, "SP_FCF_EST",R$2, "Options: Curr=USD")/1000/$I26,"NA")</f>
        <v>NA</v>
      </c>
      <c r="S26" s="58" t="e" cm="1">
        <f t="array" aca="1" ref="S26" ca="1">_xll.SNL.Clients.Office.Excel.Functions.SPG($L26, "SP_PE_FWD","FY2024")</f>
        <v>#NAME?</v>
      </c>
      <c r="T26" s="59" t="e" cm="1">
        <f t="array" aca="1" ref="T26" ca="1">_xll.SNL.Clients.Office.Excel.Functions.SPG($L26, "SP_PE_FWD","FY2025")</f>
        <v>#NAME?</v>
      </c>
      <c r="U26" s="59" t="e" cm="1">
        <f t="array" aca="1" ref="U26" ca="1">_xll.SNL.Clients.Office.Excel.Functions.SPG($L26, "SP_PCFPS_FWD",U$2)</f>
        <v>#NAME?</v>
      </c>
      <c r="V26" s="88"/>
      <c r="W26" s="59"/>
      <c r="X26" s="65" t="e">
        <f ca="1">_xll.SNL.Clients.Office.Excel.Functions.SPG($L26, X$3, $X$2,$X$4)/1000</f>
        <v>#NAME?</v>
      </c>
      <c r="Y26" s="65" t="e">
        <f ca="1">_xll.SNL.Clients.Office.Excel.Functions.SPG($L26, Y$3, $X$2,$X$4)/1000</f>
        <v>#NAME?</v>
      </c>
      <c r="Z26" s="65" t="e">
        <f ca="1">_xll.SNL.Clients.Office.Excel.Functions.SPG($L26, Z$3, $X$2,$X$4)/1000</f>
        <v>#NAME?</v>
      </c>
      <c r="AA26" s="74" t="str">
        <f t="shared" ca="1" si="1"/>
        <v>NM</v>
      </c>
      <c r="AB26" s="67" t="str">
        <f t="shared" ca="1" si="1"/>
        <v>NM</v>
      </c>
      <c r="AC26" s="71" t="str">
        <f t="shared" ca="1" si="1"/>
        <v>NM</v>
      </c>
      <c r="AH26" s="72" t="s">
        <v>64</v>
      </c>
      <c r="AI26" s="72"/>
      <c r="AJ26" s="73" t="s">
        <v>71</v>
      </c>
      <c r="AK26" s="42"/>
    </row>
    <row r="27" spans="1:37" ht="13.8" x14ac:dyDescent="0.25">
      <c r="A27" s="51" t="e">
        <f ca="1">_xll.SNL.Clients.Office.Excel.Functions.SPG($L27, A$3)</f>
        <v>#NAME?</v>
      </c>
      <c r="B27" s="51" t="e">
        <f ca="1">_xll.BDP($K27,B$3)</f>
        <v>#NAME?</v>
      </c>
      <c r="C27" s="51" t="e">
        <f ca="1">_xll.BDP($K27,C$3)</f>
        <v>#NAME?</v>
      </c>
      <c r="D27" s="51" t="e">
        <f ca="1">_xll.BDP($K27,D$3)</f>
        <v>#NAME?</v>
      </c>
      <c r="E27" s="52" t="s">
        <v>141</v>
      </c>
      <c r="F27" s="52" t="s">
        <v>67</v>
      </c>
      <c r="G27" s="53" t="s">
        <v>60</v>
      </c>
      <c r="H27" s="54" t="e">
        <f ca="1">_xll.SNL.Clients.Office.Excel.Functions.SPG($L27, "IQ_TEV", "Options: Curr=USD")</f>
        <v>#NAME?</v>
      </c>
      <c r="I27" s="54" t="e">
        <f ca="1">_xll.SNL.Clients.Office.Excel.Functions.SPG($L27, "SP_MARKETCAP", "Options: Curr=USD")</f>
        <v>#NAME?</v>
      </c>
      <c r="J27" s="55" t="s">
        <v>142</v>
      </c>
      <c r="K27" s="56" t="s">
        <v>143</v>
      </c>
      <c r="L27" s="3" t="s">
        <v>144</v>
      </c>
      <c r="M27" s="57" t="str" cm="1">
        <f t="array" aca="1" ref="M27" ca="1">IFERROR(_xll.SNL.Clients.Office.Excel.Functions.SPG($L27, $M$3)/100,"NA")</f>
        <v>NA</v>
      </c>
      <c r="N27" s="58" t="e" cm="1">
        <f t="array" aca="1" ref="N27" ca="1">_xll.SNL.Clients.Office.Excel.Functions.SPG($L27, "SP_PCFPS_FWD","FY2024")</f>
        <v>#NAME?</v>
      </c>
      <c r="O27" s="59" t="e" cm="1">
        <f t="array" aca="1" ref="O27" ca="1">_xll.SNL.Clients.Office.Excel.Functions.SPG($L27, "SP_PCFPS_FWD","FY2025")</f>
        <v>#NAME?</v>
      </c>
      <c r="P27" s="59" t="e" cm="1">
        <f t="array" aca="1" ref="P27" ca="1">_xll.SNL.Clients.Office.Excel.Functions.SPG($L27, "SP_PCFPS_FWD","FY2025")</f>
        <v>#NAME?</v>
      </c>
      <c r="Q27" s="76" t="str">
        <f ca="1">IFERROR(_xll.SNL.Clients.Office.Excel.Functions.SPG($L27, "SP_FCF_EST",Q$2, "Options: Curr=USD")/1000/$I27,"NA")</f>
        <v>NA</v>
      </c>
      <c r="R27" s="61" t="str">
        <f ca="1">IFERROR(_xll.SNL.Clients.Office.Excel.Functions.SPG($L27, "SP_FCF_EST",R$2, "Options: Curr=USD")/1000/$I27,"NA")</f>
        <v>NA</v>
      </c>
      <c r="S27" s="58" t="e" cm="1">
        <f t="array" aca="1" ref="S27" ca="1">_xll.SNL.Clients.Office.Excel.Functions.SPG($L27, "SP_PE_FWD","FY2024")</f>
        <v>#NAME?</v>
      </c>
      <c r="T27" s="59" t="e" cm="1">
        <f t="array" aca="1" ref="T27" ca="1">_xll.SNL.Clients.Office.Excel.Functions.SPG($L27, "SP_PE_FWD","FY2025")</f>
        <v>#NAME?</v>
      </c>
      <c r="U27" s="59" t="e" cm="1">
        <f t="array" aca="1" ref="U27" ca="1">_xll.SNL.Clients.Office.Excel.Functions.SPG($L27, "SP_PCFPS_FWD",U$2)</f>
        <v>#NAME?</v>
      </c>
      <c r="V27" s="88"/>
      <c r="W27" s="59"/>
      <c r="X27" s="65" t="e">
        <f ca="1">_xll.SNL.Clients.Office.Excel.Functions.SPG($L27, X$3, $X$2,$X$4)/1000</f>
        <v>#NAME?</v>
      </c>
      <c r="Y27" s="65" t="e">
        <f ca="1">_xll.SNL.Clients.Office.Excel.Functions.SPG($L27, Y$3, $X$2,$X$4)/1000</f>
        <v>#NAME?</v>
      </c>
      <c r="Z27" s="65" t="e">
        <f ca="1">_xll.SNL.Clients.Office.Excel.Functions.SPG($L27, Z$3, $X$2,$X$4)/1000</f>
        <v>#NAME?</v>
      </c>
      <c r="AA27" s="74" t="str">
        <f t="shared" ca="1" si="1"/>
        <v>NM</v>
      </c>
      <c r="AB27" s="67" t="str">
        <f t="shared" ca="1" si="1"/>
        <v>NM</v>
      </c>
      <c r="AC27" s="71" t="str">
        <f t="shared" ca="1" si="1"/>
        <v>NM</v>
      </c>
      <c r="AH27" s="72" t="s">
        <v>64</v>
      </c>
      <c r="AI27" s="72"/>
      <c r="AJ27" s="73" t="s">
        <v>71</v>
      </c>
      <c r="AK27" s="42"/>
    </row>
    <row r="28" spans="1:37" ht="13.8" x14ac:dyDescent="0.25">
      <c r="A28" s="51" t="e">
        <f ca="1">_xll.SNL.Clients.Office.Excel.Functions.SPG($L28, A$3)</f>
        <v>#NAME?</v>
      </c>
      <c r="B28" s="51" t="e">
        <f ca="1">_xll.BDP($K28,B$3)</f>
        <v>#NAME?</v>
      </c>
      <c r="C28" s="51" t="e">
        <f ca="1">_xll.BDP($K28,C$3)</f>
        <v>#NAME?</v>
      </c>
      <c r="D28" s="51" t="e">
        <f ca="1">_xll.BDP($K28,D$3)</f>
        <v>#NAME?</v>
      </c>
      <c r="E28" s="52" t="s">
        <v>145</v>
      </c>
      <c r="F28" s="52" t="s">
        <v>67</v>
      </c>
      <c r="G28" s="53" t="s">
        <v>60</v>
      </c>
      <c r="H28" s="54" t="e">
        <f ca="1">_xll.SNL.Clients.Office.Excel.Functions.SPG($L28, "IQ_TEV", "Options: Curr=USD")</f>
        <v>#NAME?</v>
      </c>
      <c r="I28" s="54" t="e">
        <f ca="1">_xll.SNL.Clients.Office.Excel.Functions.SPG($L28, "SP_MARKETCAP", "Options: Curr=USD")</f>
        <v>#NAME?</v>
      </c>
      <c r="J28" s="55" t="s">
        <v>146</v>
      </c>
      <c r="K28" s="56" t="s">
        <v>147</v>
      </c>
      <c r="L28" s="3" t="s">
        <v>148</v>
      </c>
      <c r="M28" s="57" t="str" cm="1">
        <f t="array" aca="1" ref="M28" ca="1">IFERROR(_xll.SNL.Clients.Office.Excel.Functions.SPG($L28, $M$3)/100,"NA")</f>
        <v>NA</v>
      </c>
      <c r="N28" s="58" t="e" cm="1">
        <f t="array" aca="1" ref="N28" ca="1">_xll.SNL.Clients.Office.Excel.Functions.SPG($L28, "SP_PCFPS_FWD","FY2024")</f>
        <v>#NAME?</v>
      </c>
      <c r="O28" s="59" t="e" cm="1">
        <f t="array" aca="1" ref="O28" ca="1">_xll.SNL.Clients.Office.Excel.Functions.SPG($L28, "SP_PCFPS_FWD","FY2025")</f>
        <v>#NAME?</v>
      </c>
      <c r="P28" s="59" t="e" cm="1">
        <f t="array" aca="1" ref="P28" ca="1">_xll.SNL.Clients.Office.Excel.Functions.SPG($L28, "SP_PCFPS_FWD","FY2025")</f>
        <v>#NAME?</v>
      </c>
      <c r="Q28" s="76" t="str">
        <f ca="1">IFERROR(_xll.SNL.Clients.Office.Excel.Functions.SPG($L28, "SP_FCF_EST",Q$2, "Options: Curr=USD")/1000/$I28,"NA")</f>
        <v>NA</v>
      </c>
      <c r="R28" s="61" t="str">
        <f ca="1">IFERROR(_xll.SNL.Clients.Office.Excel.Functions.SPG($L28, "SP_FCF_EST",R$2, "Options: Curr=USD")/1000/$I28,"NA")</f>
        <v>NA</v>
      </c>
      <c r="S28" s="58" t="e" cm="1">
        <f t="array" aca="1" ref="S28" ca="1">_xll.SNL.Clients.Office.Excel.Functions.SPG($L28, "SP_PE_FWD","FY2024")</f>
        <v>#NAME?</v>
      </c>
      <c r="T28" s="59" t="e" cm="1">
        <f t="array" aca="1" ref="T28" ca="1">_xll.SNL.Clients.Office.Excel.Functions.SPG($L28, "SP_PE_FWD","FY2025")</f>
        <v>#NAME?</v>
      </c>
      <c r="U28" s="59" t="e" cm="1">
        <f t="array" aca="1" ref="U28" ca="1">_xll.SNL.Clients.Office.Excel.Functions.SPG($L28, "SP_PCFPS_FWD",U$2)</f>
        <v>#NAME?</v>
      </c>
      <c r="V28" s="88"/>
      <c r="W28" s="59"/>
      <c r="X28" s="65" t="e">
        <f ca="1">_xll.SNL.Clients.Office.Excel.Functions.SPG($L28, X$3, $X$2,$X$4)/1000</f>
        <v>#NAME?</v>
      </c>
      <c r="Y28" s="65" t="e">
        <f ca="1">_xll.SNL.Clients.Office.Excel.Functions.SPG($L28, Y$3, $X$2,$X$4)/1000</f>
        <v>#NAME?</v>
      </c>
      <c r="Z28" s="65" t="e">
        <f ca="1">_xll.SNL.Clients.Office.Excel.Functions.SPG($L28, Z$3, $X$2,$X$4)/1000</f>
        <v>#NAME?</v>
      </c>
      <c r="AA28" s="74" t="str">
        <f t="shared" ca="1" si="1"/>
        <v>NM</v>
      </c>
      <c r="AB28" s="67" t="str">
        <f t="shared" ca="1" si="1"/>
        <v>NM</v>
      </c>
      <c r="AC28" s="71" t="str">
        <f t="shared" ca="1" si="1"/>
        <v>NM</v>
      </c>
      <c r="AH28" s="77" t="s">
        <v>90</v>
      </c>
      <c r="AI28" s="77"/>
      <c r="AJ28" s="73" t="s">
        <v>65</v>
      </c>
      <c r="AK28" s="42"/>
    </row>
    <row r="29" spans="1:37" ht="13.8" x14ac:dyDescent="0.25">
      <c r="A29" s="51" t="e">
        <f ca="1">_xll.SNL.Clients.Office.Excel.Functions.SPG($L29, A$3)</f>
        <v>#NAME?</v>
      </c>
      <c r="B29" s="51" t="e">
        <f ca="1">_xll.BDP($K29,B$3)</f>
        <v>#NAME?</v>
      </c>
      <c r="C29" s="51" t="e">
        <f ca="1">_xll.BDP($K29,C$3)</f>
        <v>#NAME?</v>
      </c>
      <c r="D29" s="51" t="e">
        <f ca="1">_xll.BDP($K29,D$3)</f>
        <v>#NAME?</v>
      </c>
      <c r="E29" s="52" t="s">
        <v>137</v>
      </c>
      <c r="F29" s="52" t="s">
        <v>67</v>
      </c>
      <c r="G29" s="53" t="s">
        <v>60</v>
      </c>
      <c r="H29" s="54" t="e">
        <f ca="1">_xll.SNL.Clients.Office.Excel.Functions.SPG($L29, "IQ_TEV", "Options: Curr=USD")</f>
        <v>#NAME?</v>
      </c>
      <c r="I29" s="54" t="e">
        <f ca="1">_xll.SNL.Clients.Office.Excel.Functions.SPG($L29, "SP_MARKETCAP", "Options: Curr=USD")</f>
        <v>#NAME?</v>
      </c>
      <c r="J29" s="55" t="s">
        <v>149</v>
      </c>
      <c r="K29" s="56" t="s">
        <v>150</v>
      </c>
      <c r="L29" s="3" t="s">
        <v>151</v>
      </c>
      <c r="M29" s="57" t="str" cm="1">
        <f t="array" aca="1" ref="M29" ca="1">IFERROR(_xll.SNL.Clients.Office.Excel.Functions.SPG($L29, $M$3)/100,"NA")</f>
        <v>NA</v>
      </c>
      <c r="N29" s="58" t="e" cm="1">
        <f t="array" aca="1" ref="N29" ca="1">_xll.SNL.Clients.Office.Excel.Functions.SPG($L29, "SP_PCFPS_FWD","FY2024")</f>
        <v>#NAME?</v>
      </c>
      <c r="O29" s="59" t="e" cm="1">
        <f t="array" aca="1" ref="O29" ca="1">_xll.SNL.Clients.Office.Excel.Functions.SPG($L29, "SP_PCFPS_FWD","FY2025")</f>
        <v>#NAME?</v>
      </c>
      <c r="P29" s="59" t="e" cm="1">
        <f t="array" aca="1" ref="P29" ca="1">_xll.SNL.Clients.Office.Excel.Functions.SPG($L29, "SP_PCFPS_FWD","FY2025")</f>
        <v>#NAME?</v>
      </c>
      <c r="Q29" s="76" t="str">
        <f ca="1">IFERROR(_xll.SNL.Clients.Office.Excel.Functions.SPG($L29, "SP_FCF_EST",Q$2, "Options: Curr=USD")/1000/$I29,"NA")</f>
        <v>NA</v>
      </c>
      <c r="R29" s="61" t="str">
        <f ca="1">IFERROR(_xll.SNL.Clients.Office.Excel.Functions.SPG($L29, "SP_FCF_EST",R$2, "Options: Curr=USD")/1000/$I29,"NA")</f>
        <v>NA</v>
      </c>
      <c r="S29" s="58" t="e" cm="1">
        <f t="array" aca="1" ref="S29" ca="1">_xll.SNL.Clients.Office.Excel.Functions.SPG($L29, "SP_PE_FWD","FY2024")</f>
        <v>#NAME?</v>
      </c>
      <c r="T29" s="59" t="e" cm="1">
        <f t="array" aca="1" ref="T29" ca="1">_xll.SNL.Clients.Office.Excel.Functions.SPG($L29, "SP_PE_FWD","FY2025")</f>
        <v>#NAME?</v>
      </c>
      <c r="U29" s="59" t="e" cm="1">
        <f t="array" aca="1" ref="U29" ca="1">_xll.SNL.Clients.Office.Excel.Functions.SPG($L29, "SP_PCFPS_FWD",U$2)</f>
        <v>#NAME?</v>
      </c>
      <c r="V29" s="88"/>
      <c r="W29" s="59"/>
      <c r="X29" s="65" t="e">
        <f ca="1">_xll.SNL.Clients.Office.Excel.Functions.SPG($L29, X$3, $X$2,$X$4)/1000</f>
        <v>#NAME?</v>
      </c>
      <c r="Y29" s="65" t="e">
        <f ca="1">_xll.SNL.Clients.Office.Excel.Functions.SPG($L29, Y$3, $X$2,$X$4)/1000</f>
        <v>#NAME?</v>
      </c>
      <c r="Z29" s="65" t="e">
        <f ca="1">_xll.SNL.Clients.Office.Excel.Functions.SPG($L29, Z$3, $X$2,$X$4)/1000</f>
        <v>#NAME?</v>
      </c>
      <c r="AA29" s="74" t="str">
        <f t="shared" ca="1" si="1"/>
        <v>NM</v>
      </c>
      <c r="AB29" s="67" t="str">
        <f t="shared" ca="1" si="1"/>
        <v>NM</v>
      </c>
      <c r="AC29" s="71" t="str">
        <f t="shared" ca="1" si="1"/>
        <v>NM</v>
      </c>
      <c r="AH29" s="77" t="s">
        <v>90</v>
      </c>
      <c r="AI29" s="77"/>
      <c r="AJ29" s="73" t="s">
        <v>65</v>
      </c>
      <c r="AK29" s="42"/>
    </row>
    <row r="30" spans="1:37" ht="13.8" x14ac:dyDescent="0.25">
      <c r="A30" s="51" t="e">
        <f ca="1">_xll.SNL.Clients.Office.Excel.Functions.SPG($L30, A$3)</f>
        <v>#NAME?</v>
      </c>
      <c r="B30" s="51" t="e">
        <f ca="1">_xll.BDP($K30,B$3)</f>
        <v>#NAME?</v>
      </c>
      <c r="C30" s="51" t="e">
        <f ca="1">_xll.BDP($K30,C$3)</f>
        <v>#NAME?</v>
      </c>
      <c r="D30" s="51" t="e">
        <f ca="1">_xll.BDP($K30,D$3)</f>
        <v>#NAME?</v>
      </c>
      <c r="E30" s="52" t="s">
        <v>152</v>
      </c>
      <c r="F30" s="52" t="s">
        <v>67</v>
      </c>
      <c r="G30" s="53" t="s">
        <v>60</v>
      </c>
      <c r="H30" s="54" t="e">
        <f ca="1">_xll.SNL.Clients.Office.Excel.Functions.SPG($L30, "IQ_TEV", "Options: Curr=USD")</f>
        <v>#NAME?</v>
      </c>
      <c r="I30" s="54" t="e">
        <f ca="1">_xll.SNL.Clients.Office.Excel.Functions.SPG($L30, "SP_MARKETCAP", "Options: Curr=USD")</f>
        <v>#NAME?</v>
      </c>
      <c r="J30" s="55" t="s">
        <v>153</v>
      </c>
      <c r="K30" s="56" t="s">
        <v>154</v>
      </c>
      <c r="L30" s="3" t="s">
        <v>155</v>
      </c>
      <c r="M30" s="57" t="str" cm="1">
        <f t="array" aca="1" ref="M30" ca="1">IFERROR(_xll.SNL.Clients.Office.Excel.Functions.SPG($L30, $M$3)/100,"NA")</f>
        <v>NA</v>
      </c>
      <c r="N30" s="58" t="e" cm="1">
        <f t="array" aca="1" ref="N30" ca="1">_xll.SNL.Clients.Office.Excel.Functions.SPG($L30, "SP_PCFPS_FWD","FY2024")</f>
        <v>#NAME?</v>
      </c>
      <c r="O30" s="59" t="e" cm="1">
        <f t="array" aca="1" ref="O30" ca="1">_xll.SNL.Clients.Office.Excel.Functions.SPG($L30, "SP_PCFPS_FWD","FY2025")</f>
        <v>#NAME?</v>
      </c>
      <c r="P30" s="59" t="e" cm="1">
        <f t="array" aca="1" ref="P30" ca="1">_xll.SNL.Clients.Office.Excel.Functions.SPG($L30, "SP_PCFPS_FWD","FY2025")</f>
        <v>#NAME?</v>
      </c>
      <c r="Q30" s="76" t="str">
        <f ca="1">IFERROR(_xll.SNL.Clients.Office.Excel.Functions.SPG($L30, "SP_FCF_EST",Q$2, "Options: Curr=USD")/1000/$I30,"NA")</f>
        <v>NA</v>
      </c>
      <c r="R30" s="61" t="str">
        <f ca="1">IFERROR(_xll.SNL.Clients.Office.Excel.Functions.SPG($L30, "SP_FCF_EST",R$2, "Options: Curr=USD")/1000/$I30,"NA")</f>
        <v>NA</v>
      </c>
      <c r="S30" s="58" t="e" cm="1">
        <f t="array" aca="1" ref="S30" ca="1">_xll.SNL.Clients.Office.Excel.Functions.SPG($L30, "SP_PE_FWD","FY2024")</f>
        <v>#NAME?</v>
      </c>
      <c r="T30" s="59" t="e" cm="1">
        <f t="array" aca="1" ref="T30" ca="1">_xll.SNL.Clients.Office.Excel.Functions.SPG($L30, "SP_PE_FWD","FY2025")</f>
        <v>#NAME?</v>
      </c>
      <c r="U30" s="59" t="e" cm="1">
        <f t="array" aca="1" ref="U30" ca="1">_xll.SNL.Clients.Office.Excel.Functions.SPG($L30, "SP_PCFPS_FWD",U$2)</f>
        <v>#NAME?</v>
      </c>
      <c r="V30" s="89"/>
      <c r="W30" s="59"/>
      <c r="X30" s="65" t="e">
        <f ca="1">_xll.SNL.Clients.Office.Excel.Functions.SPG($L30, X$3, $X$2,$X$4)/1000</f>
        <v>#NAME?</v>
      </c>
      <c r="Y30" s="65" t="e">
        <f ca="1">_xll.SNL.Clients.Office.Excel.Functions.SPG($L30, Y$3, $X$2,$X$4)/1000</f>
        <v>#NAME?</v>
      </c>
      <c r="Z30" s="65" t="e">
        <f ca="1">_xll.SNL.Clients.Office.Excel.Functions.SPG($L30, Z$3, $X$2,$X$4)/1000</f>
        <v>#NAME?</v>
      </c>
      <c r="AA30" s="74" t="str">
        <f t="shared" ca="1" si="1"/>
        <v>NM</v>
      </c>
      <c r="AB30" s="67" t="str">
        <f t="shared" ca="1" si="1"/>
        <v>NM</v>
      </c>
      <c r="AC30" s="71" t="str">
        <f t="shared" ca="1" si="1"/>
        <v>NM</v>
      </c>
      <c r="AH30" s="90" t="s">
        <v>64</v>
      </c>
      <c r="AI30" s="90"/>
      <c r="AJ30" s="73" t="s">
        <v>71</v>
      </c>
      <c r="AK30" s="91"/>
    </row>
    <row r="31" spans="1:37" x14ac:dyDescent="0.25">
      <c r="H31" s="54"/>
      <c r="I31" s="54"/>
      <c r="J31" s="80"/>
      <c r="K31" s="80"/>
      <c r="L31" s="92" t="s">
        <v>98</v>
      </c>
      <c r="M31" s="93" t="e" cm="1">
        <f t="array" aca="1" ref="M31" ca="1">AVERAGE(IFERROR(M16:M30, ""))</f>
        <v>#DIV/0!</v>
      </c>
      <c r="N31" s="94"/>
      <c r="O31" s="83"/>
      <c r="P31" s="83"/>
      <c r="Q31" s="85" t="e">
        <f ca="1">AVERAGE(Q25:Q29)</f>
        <v>#DIV/0!</v>
      </c>
      <c r="R31" s="85" t="e">
        <f ca="1">AVERAGE(R25:R29)</f>
        <v>#DIV/0!</v>
      </c>
      <c r="S31" s="94"/>
      <c r="T31" s="83"/>
      <c r="U31" s="83"/>
      <c r="V31" s="83"/>
      <c r="W31" s="83"/>
      <c r="AA31" s="82" t="e" cm="1">
        <f t="array" aca="1" ref="AA31" ca="1">AVERAGE(IFERROR(AA16:AA30, ""))</f>
        <v>#DIV/0!</v>
      </c>
      <c r="AB31" s="83" t="e" cm="1">
        <f t="array" aca="1" ref="AB31" ca="1">AVERAGE(IFERROR(AB16:AB30, ""))</f>
        <v>#DIV/0!</v>
      </c>
      <c r="AC31" s="84" t="e" cm="1">
        <f t="array" aca="1" ref="AC31" ca="1">AVERAGE(IFERROR(AC16:AC30, ""))</f>
        <v>#DIV/0!</v>
      </c>
    </row>
    <row r="32" spans="1:37" x14ac:dyDescent="0.25">
      <c r="H32" s="54"/>
      <c r="I32" s="54"/>
    </row>
    <row r="33" spans="8:9" x14ac:dyDescent="0.25">
      <c r="H33" s="54"/>
      <c r="I33" s="54"/>
    </row>
    <row r="36" spans="8:9" x14ac:dyDescent="0.25">
      <c r="H36" s="54"/>
      <c r="I36" s="54"/>
    </row>
    <row r="37" spans="8:9" x14ac:dyDescent="0.25">
      <c r="H37" s="54"/>
      <c r="I37" s="54"/>
    </row>
    <row r="38" spans="8:9" x14ac:dyDescent="0.25">
      <c r="H38" s="54"/>
      <c r="I38" s="54"/>
    </row>
    <row r="39" spans="8:9" x14ac:dyDescent="0.25">
      <c r="H39" s="54"/>
      <c r="I39" s="54"/>
    </row>
    <row r="40" spans="8:9" x14ac:dyDescent="0.25">
      <c r="H40" s="54"/>
      <c r="I40" s="54"/>
    </row>
    <row r="41" spans="8:9" x14ac:dyDescent="0.25">
      <c r="H41" s="54"/>
      <c r="I41" s="54"/>
    </row>
    <row r="42" spans="8:9" x14ac:dyDescent="0.25">
      <c r="H42" s="54"/>
      <c r="I42" s="54"/>
    </row>
    <row r="43" spans="8:9" x14ac:dyDescent="0.25">
      <c r="H43" s="54"/>
      <c r="I43" s="54"/>
    </row>
    <row r="44" spans="8:9" x14ac:dyDescent="0.25">
      <c r="H44" s="54"/>
      <c r="I44" s="54"/>
    </row>
    <row r="45" spans="8:9" x14ac:dyDescent="0.25">
      <c r="H45" s="54"/>
      <c r="I45" s="54"/>
    </row>
    <row r="46" spans="8:9" x14ac:dyDescent="0.25">
      <c r="H46" s="54"/>
      <c r="I46" s="54"/>
    </row>
    <row r="47" spans="8:9" x14ac:dyDescent="0.25">
      <c r="H47" s="54"/>
      <c r="I47" s="54"/>
    </row>
    <row r="48" spans="8:9" x14ac:dyDescent="0.25">
      <c r="H48" s="54"/>
      <c r="I48" s="54"/>
    </row>
    <row r="49" spans="8:9" x14ac:dyDescent="0.25">
      <c r="H49" s="54"/>
      <c r="I49" s="54"/>
    </row>
    <row r="50" spans="8:9" x14ac:dyDescent="0.25">
      <c r="H50" s="54"/>
      <c r="I50" s="54"/>
    </row>
    <row r="51" spans="8:9" x14ac:dyDescent="0.25">
      <c r="H51" s="54"/>
      <c r="I51" s="54"/>
    </row>
    <row r="52" spans="8:9" x14ac:dyDescent="0.25">
      <c r="H52" s="54"/>
      <c r="I52" s="54"/>
    </row>
    <row r="53" spans="8:9" x14ac:dyDescent="0.25">
      <c r="H53" s="54"/>
      <c r="I53" s="54"/>
    </row>
    <row r="54" spans="8:9" x14ac:dyDescent="0.25">
      <c r="H54" s="54"/>
      <c r="I54" s="54"/>
    </row>
    <row r="55" spans="8:9" x14ac:dyDescent="0.25">
      <c r="H55" s="54"/>
      <c r="I55" s="54"/>
    </row>
    <row r="56" spans="8:9" x14ac:dyDescent="0.25">
      <c r="H56" s="54"/>
      <c r="I56" s="54"/>
    </row>
    <row r="57" spans="8:9" x14ac:dyDescent="0.25">
      <c r="H57" s="54"/>
      <c r="I57" s="54"/>
    </row>
    <row r="58" spans="8:9" x14ac:dyDescent="0.25">
      <c r="H58" s="54"/>
      <c r="I58" s="54"/>
    </row>
    <row r="59" spans="8:9" x14ac:dyDescent="0.25">
      <c r="H59" s="54"/>
      <c r="I59" s="54"/>
    </row>
    <row r="60" spans="8:9" x14ac:dyDescent="0.25">
      <c r="H60" s="54"/>
      <c r="I60" s="54"/>
    </row>
    <row r="61" spans="8:9" x14ac:dyDescent="0.25">
      <c r="H61" s="54"/>
      <c r="I61" s="54"/>
    </row>
    <row r="62" spans="8:9" x14ac:dyDescent="0.25">
      <c r="H62" s="54"/>
      <c r="I62" s="54"/>
    </row>
    <row r="63" spans="8:9" x14ac:dyDescent="0.25">
      <c r="H63" s="54"/>
      <c r="I63" s="54"/>
    </row>
    <row r="64" spans="8:9" x14ac:dyDescent="0.25">
      <c r="H64" s="54"/>
      <c r="I64" s="54"/>
    </row>
    <row r="65" spans="8:9" x14ac:dyDescent="0.25">
      <c r="H65" s="54"/>
      <c r="I65" s="54"/>
    </row>
    <row r="66" spans="8:9" x14ac:dyDescent="0.25">
      <c r="H66" s="54"/>
      <c r="I66" s="54"/>
    </row>
    <row r="67" spans="8:9" x14ac:dyDescent="0.25">
      <c r="H67" s="54"/>
      <c r="I67" s="54"/>
    </row>
    <row r="68" spans="8:9" x14ac:dyDescent="0.25">
      <c r="H68" s="54"/>
      <c r="I68" s="54"/>
    </row>
    <row r="69" spans="8:9" x14ac:dyDescent="0.25">
      <c r="H69" s="54"/>
      <c r="I69" s="54"/>
    </row>
    <row r="70" spans="8:9" x14ac:dyDescent="0.25">
      <c r="H70" s="54"/>
      <c r="I70" s="54"/>
    </row>
    <row r="71" spans="8:9" x14ac:dyDescent="0.25">
      <c r="H71" s="54"/>
      <c r="I71" s="54"/>
    </row>
    <row r="72" spans="8:9" x14ac:dyDescent="0.25">
      <c r="H72" s="54"/>
      <c r="I72" s="54"/>
    </row>
    <row r="73" spans="8:9" x14ac:dyDescent="0.25">
      <c r="H73" s="54"/>
      <c r="I73" s="54"/>
    </row>
    <row r="74" spans="8:9" x14ac:dyDescent="0.25">
      <c r="H74" s="54"/>
      <c r="I74" s="54"/>
    </row>
    <row r="75" spans="8:9" x14ac:dyDescent="0.25">
      <c r="H75" s="54"/>
      <c r="I75" s="54"/>
    </row>
    <row r="76" spans="8:9" x14ac:dyDescent="0.25">
      <c r="H76" s="54"/>
      <c r="I76" s="54"/>
    </row>
  </sheetData>
  <mergeCells count="13">
    <mergeCell ref="AD1:AF1"/>
    <mergeCell ref="I1:I2"/>
    <mergeCell ref="M1:M2"/>
    <mergeCell ref="N1:P1"/>
    <mergeCell ref="Q1:R1"/>
    <mergeCell ref="S1:U1"/>
    <mergeCell ref="AA1:AC1"/>
    <mergeCell ref="A1:A2"/>
    <mergeCell ref="B1:B2"/>
    <mergeCell ref="C1:C2"/>
    <mergeCell ref="E1:E2"/>
    <mergeCell ref="F1:F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Uranium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2026-02-20T13:12:09Z</dcterms:created>
  <dcterms:modified xsi:type="dcterms:W3CDTF">2026-02-20T13:12:11Z</dcterms:modified>
</cp:coreProperties>
</file>