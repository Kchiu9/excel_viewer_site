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E6847690-8783-48E5-9591-E1B9B5C74EDC}" xr6:coauthVersionLast="47" xr6:coauthVersionMax="47" xr10:uidLastSave="{00000000-0000-0000-0000-000000000000}"/>
  <bookViews>
    <workbookView xWindow="-108" yWindow="-108" windowWidth="23256" windowHeight="12456" xr2:uid="{057080CB-1E86-4B6D-9B64-F08F5175C86E}"/>
  </bookViews>
  <sheets>
    <sheet name="O&amp;G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5" i="1" l="1" a="1"/>
  <c r="T45" i="1" s="1"/>
  <c r="S45" i="1" a="1"/>
  <c r="S45" i="1" s="1"/>
  <c r="R45" i="1" a="1"/>
  <c r="R45" i="1" s="1"/>
  <c r="Q45" i="1"/>
  <c r="Q45" i="1" a="1"/>
  <c r="P45" i="1" a="1"/>
  <c r="P45" i="1" s="1"/>
  <c r="O45" i="1" a="1"/>
  <c r="O45" i="1" s="1"/>
  <c r="N45" i="1" a="1"/>
  <c r="N45" i="1" s="1"/>
  <c r="M45" i="1" a="1"/>
  <c r="M45" i="1" s="1"/>
  <c r="L45" i="1"/>
  <c r="I45" i="1"/>
  <c r="I45" i="1" a="1"/>
  <c r="H45" i="1" a="1"/>
  <c r="H45" i="1" s="1"/>
  <c r="G45" i="1"/>
  <c r="G45" i="1" a="1"/>
  <c r="F45" i="1" a="1"/>
  <c r="F45" i="1" s="1"/>
  <c r="C45" i="1"/>
  <c r="K45" i="1" s="1"/>
  <c r="B45" i="1"/>
  <c r="A45" i="1"/>
  <c r="T44" i="1" a="1"/>
  <c r="T44" i="1" s="1"/>
  <c r="S44" i="1"/>
  <c r="S44" i="1" a="1"/>
  <c r="R44" i="1" a="1"/>
  <c r="R44" i="1" s="1"/>
  <c r="Q44" i="1" a="1"/>
  <c r="Q44" i="1" s="1"/>
  <c r="P44" i="1" a="1"/>
  <c r="P44" i="1" s="1"/>
  <c r="O44" i="1" a="1"/>
  <c r="O44" i="1" s="1"/>
  <c r="N44" i="1" a="1"/>
  <c r="N44" i="1" s="1"/>
  <c r="M44" i="1" a="1"/>
  <c r="M44" i="1" s="1"/>
  <c r="L44" i="1"/>
  <c r="K44" i="1"/>
  <c r="I44" i="1" a="1"/>
  <c r="I44" i="1" s="1"/>
  <c r="H44" i="1"/>
  <c r="H44" i="1" a="1"/>
  <c r="G44" i="1" a="1"/>
  <c r="G44" i="1" s="1"/>
  <c r="F44" i="1"/>
  <c r="F44" i="1" a="1"/>
  <c r="C44" i="1"/>
  <c r="J44" i="1" s="1"/>
  <c r="B44" i="1"/>
  <c r="A44" i="1"/>
  <c r="T43" i="1" a="1"/>
  <c r="T43" i="1" s="1"/>
  <c r="S43" i="1"/>
  <c r="S43" i="1" a="1"/>
  <c r="R43" i="1" a="1"/>
  <c r="R43" i="1" s="1"/>
  <c r="Q43" i="1" a="1"/>
  <c r="Q43" i="1" s="1"/>
  <c r="P43" i="1" a="1"/>
  <c r="P43" i="1" s="1"/>
  <c r="O43" i="1" a="1"/>
  <c r="O43" i="1" s="1"/>
  <c r="N43" i="1" a="1"/>
  <c r="N43" i="1" s="1"/>
  <c r="M43" i="1" a="1"/>
  <c r="M43" i="1" s="1"/>
  <c r="L43" i="1"/>
  <c r="J43" i="1"/>
  <c r="I43" i="1"/>
  <c r="I43" i="1" a="1"/>
  <c r="H43" i="1" a="1"/>
  <c r="H43" i="1" s="1"/>
  <c r="G43" i="1"/>
  <c r="G43" i="1" a="1"/>
  <c r="F43" i="1" a="1"/>
  <c r="F43" i="1" s="1"/>
  <c r="C43" i="1"/>
  <c r="K43" i="1" s="1"/>
  <c r="B43" i="1"/>
  <c r="A43" i="1"/>
  <c r="AC41" i="1"/>
  <c r="AB41" i="1"/>
  <c r="AA41" i="1"/>
  <c r="W41" i="1"/>
  <c r="V41" i="1"/>
  <c r="U41" i="1"/>
  <c r="T41" i="1"/>
  <c r="T41" i="1" a="1"/>
  <c r="S41" i="1" a="1"/>
  <c r="S41" i="1" s="1"/>
  <c r="R41" i="1"/>
  <c r="R41" i="1" a="1"/>
  <c r="Q41" i="1" a="1"/>
  <c r="Q41" i="1" s="1"/>
  <c r="P41" i="1"/>
  <c r="P41" i="1" a="1"/>
  <c r="O41" i="1" a="1"/>
  <c r="O41" i="1" s="1"/>
  <c r="N41" i="1"/>
  <c r="N41" i="1" a="1"/>
  <c r="M41" i="1" a="1"/>
  <c r="M41" i="1" s="1"/>
  <c r="L41" i="1"/>
  <c r="I41" i="1" a="1"/>
  <c r="I41" i="1" s="1"/>
  <c r="H41" i="1" a="1"/>
  <c r="H41" i="1" s="1"/>
  <c r="G41" i="1" a="1"/>
  <c r="G41" i="1" s="1"/>
  <c r="F41" i="1"/>
  <c r="F41" i="1" a="1"/>
  <c r="C41" i="1"/>
  <c r="B41" i="1"/>
  <c r="Z41" i="1" s="1"/>
  <c r="A41" i="1"/>
  <c r="S39" i="1"/>
  <c r="AC38" i="1"/>
  <c r="AB38" i="1"/>
  <c r="AA38" i="1"/>
  <c r="W38" i="1"/>
  <c r="Z38" i="1" s="1"/>
  <c r="V38" i="1"/>
  <c r="U38" i="1"/>
  <c r="T38" i="1" a="1"/>
  <c r="T38" i="1" s="1"/>
  <c r="S38" i="1"/>
  <c r="S38" i="1" a="1"/>
  <c r="R38" i="1" a="1"/>
  <c r="R38" i="1" s="1"/>
  <c r="Q38" i="1"/>
  <c r="Q38" i="1" a="1"/>
  <c r="P38" i="1" a="1"/>
  <c r="P38" i="1" s="1"/>
  <c r="O38" i="1"/>
  <c r="O38" i="1" a="1"/>
  <c r="N38" i="1" a="1"/>
  <c r="N38" i="1" s="1"/>
  <c r="M38" i="1"/>
  <c r="M38" i="1" a="1"/>
  <c r="L38" i="1"/>
  <c r="K38" i="1"/>
  <c r="J38" i="1"/>
  <c r="I38" i="1"/>
  <c r="I38" i="1" a="1"/>
  <c r="H38" i="1" a="1"/>
  <c r="H38" i="1" s="1"/>
  <c r="G38" i="1"/>
  <c r="G38" i="1" a="1"/>
  <c r="F38" i="1"/>
  <c r="F38" i="1" a="1"/>
  <c r="C38" i="1"/>
  <c r="B38" i="1"/>
  <c r="Y38" i="1" s="1"/>
  <c r="A38" i="1"/>
  <c r="AC37" i="1"/>
  <c r="AB37" i="1"/>
  <c r="AA37" i="1"/>
  <c r="Z37" i="1"/>
  <c r="W37" i="1"/>
  <c r="V37" i="1"/>
  <c r="U37" i="1"/>
  <c r="T37" i="1" a="1"/>
  <c r="T37" i="1" s="1"/>
  <c r="S37" i="1"/>
  <c r="S37" i="1" a="1"/>
  <c r="R37" i="1" a="1"/>
  <c r="R37" i="1" s="1"/>
  <c r="Q37" i="1" a="1"/>
  <c r="Q37" i="1" s="1"/>
  <c r="P37" i="1" a="1"/>
  <c r="P37" i="1" s="1"/>
  <c r="O37" i="1"/>
  <c r="O37" i="1" a="1"/>
  <c r="N37" i="1" a="1"/>
  <c r="N37" i="1" s="1"/>
  <c r="M37" i="1" a="1"/>
  <c r="M37" i="1" s="1"/>
  <c r="L37" i="1"/>
  <c r="J37" i="1"/>
  <c r="I37" i="1"/>
  <c r="I37" i="1" a="1"/>
  <c r="H37" i="1" a="1"/>
  <c r="H37" i="1" s="1"/>
  <c r="G37" i="1"/>
  <c r="G37" i="1" a="1"/>
  <c r="F37" i="1" a="1"/>
  <c r="F37" i="1" s="1"/>
  <c r="C37" i="1"/>
  <c r="K37" i="1" s="1"/>
  <c r="B37" i="1"/>
  <c r="Y37" i="1" s="1"/>
  <c r="A37" i="1"/>
  <c r="AC36" i="1"/>
  <c r="AB36" i="1"/>
  <c r="AA36" i="1"/>
  <c r="Y36" i="1"/>
  <c r="W36" i="1"/>
  <c r="V36" i="1"/>
  <c r="U36" i="1"/>
  <c r="T36" i="1"/>
  <c r="T36" i="1" a="1"/>
  <c r="S36" i="1" a="1"/>
  <c r="S36" i="1" s="1"/>
  <c r="R36" i="1" a="1"/>
  <c r="R36" i="1" s="1"/>
  <c r="Q36" i="1" a="1"/>
  <c r="Q36" i="1" s="1"/>
  <c r="P36" i="1"/>
  <c r="P36" i="1" a="1"/>
  <c r="O36" i="1" a="1"/>
  <c r="O36" i="1" s="1"/>
  <c r="N36" i="1" a="1"/>
  <c r="N36" i="1" s="1"/>
  <c r="M36" i="1" a="1"/>
  <c r="M36" i="1" s="1"/>
  <c r="L36" i="1"/>
  <c r="I36" i="1"/>
  <c r="I36" i="1" a="1"/>
  <c r="H36" i="1"/>
  <c r="H36" i="1" a="1"/>
  <c r="G36" i="1"/>
  <c r="G36" i="1" a="1"/>
  <c r="F36" i="1"/>
  <c r="F36" i="1" a="1"/>
  <c r="C36" i="1"/>
  <c r="K36" i="1" s="1"/>
  <c r="B36" i="1"/>
  <c r="Z36" i="1" s="1"/>
  <c r="A36" i="1"/>
  <c r="AC35" i="1"/>
  <c r="AB35" i="1"/>
  <c r="AA35" i="1"/>
  <c r="W35" i="1"/>
  <c r="V35" i="1"/>
  <c r="U35" i="1"/>
  <c r="T35" i="1" a="1"/>
  <c r="T35" i="1" s="1"/>
  <c r="S35" i="1" a="1"/>
  <c r="S35" i="1" s="1"/>
  <c r="R35" i="1"/>
  <c r="R35" i="1" a="1"/>
  <c r="Q35" i="1" a="1"/>
  <c r="Q35" i="1" s="1"/>
  <c r="P35" i="1" a="1"/>
  <c r="P35" i="1" s="1"/>
  <c r="O35" i="1" a="1"/>
  <c r="O35" i="1" s="1"/>
  <c r="N35" i="1"/>
  <c r="N35" i="1" a="1"/>
  <c r="M35" i="1" a="1"/>
  <c r="M35" i="1" s="1"/>
  <c r="L35" i="1"/>
  <c r="L39" i="1" s="1"/>
  <c r="K35" i="1"/>
  <c r="I35" i="1" a="1"/>
  <c r="I35" i="1" s="1"/>
  <c r="H35" i="1" a="1"/>
  <c r="H35" i="1" s="1"/>
  <c r="G35" i="1" a="1"/>
  <c r="G35" i="1" s="1"/>
  <c r="F35" i="1"/>
  <c r="F35" i="1" a="1"/>
  <c r="C35" i="1"/>
  <c r="J35" i="1" s="1"/>
  <c r="B35" i="1"/>
  <c r="Z35" i="1" s="1"/>
  <c r="A35" i="1"/>
  <c r="AC34" i="1"/>
  <c r="AB34" i="1"/>
  <c r="AA34" i="1"/>
  <c r="Z34" i="1"/>
  <c r="W34" i="1"/>
  <c r="V34" i="1"/>
  <c r="U34" i="1"/>
  <c r="T34" i="1" a="1"/>
  <c r="T34" i="1" s="1"/>
  <c r="S34" i="1"/>
  <c r="S34" i="1" a="1"/>
  <c r="R34" i="1" a="1"/>
  <c r="R34" i="1" s="1"/>
  <c r="Q34" i="1" a="1"/>
  <c r="Q34" i="1" s="1"/>
  <c r="P34" i="1" a="1"/>
  <c r="P34" i="1" s="1"/>
  <c r="O34" i="1"/>
  <c r="O34" i="1" a="1"/>
  <c r="N34" i="1" a="1"/>
  <c r="N34" i="1" s="1"/>
  <c r="M34" i="1" a="1"/>
  <c r="M34" i="1" s="1"/>
  <c r="L34" i="1"/>
  <c r="K34" i="1"/>
  <c r="J34" i="1"/>
  <c r="I34" i="1"/>
  <c r="I34" i="1" a="1"/>
  <c r="H34" i="1"/>
  <c r="H34" i="1" a="1"/>
  <c r="G34" i="1" a="1"/>
  <c r="G34" i="1" s="1"/>
  <c r="F34" i="1" a="1"/>
  <c r="F34" i="1" s="1"/>
  <c r="C34" i="1"/>
  <c r="B34" i="1"/>
  <c r="Y34" i="1" s="1"/>
  <c r="A34" i="1"/>
  <c r="W33" i="1"/>
  <c r="V33" i="1"/>
  <c r="U33" i="1"/>
  <c r="T33" i="1" a="1"/>
  <c r="T33" i="1" s="1"/>
  <c r="S33" i="1" a="1"/>
  <c r="S33" i="1" s="1"/>
  <c r="R33" i="1" a="1"/>
  <c r="R33" i="1" s="1"/>
  <c r="Q33" i="1"/>
  <c r="Q33" i="1" a="1"/>
  <c r="P33" i="1" a="1"/>
  <c r="P33" i="1" s="1"/>
  <c r="O33" i="1" a="1"/>
  <c r="O33" i="1" s="1"/>
  <c r="N33" i="1" a="1"/>
  <c r="N33" i="1" s="1"/>
  <c r="M33" i="1"/>
  <c r="M33" i="1" a="1"/>
  <c r="L33" i="1"/>
  <c r="K33" i="1"/>
  <c r="I33" i="1" a="1"/>
  <c r="I33" i="1" s="1"/>
  <c r="H33" i="1" a="1"/>
  <c r="H33" i="1" s="1"/>
  <c r="G33" i="1"/>
  <c r="G33" i="1" a="1"/>
  <c r="F33" i="1"/>
  <c r="F33" i="1" a="1"/>
  <c r="C33" i="1"/>
  <c r="J33" i="1" s="1"/>
  <c r="B33" i="1"/>
  <c r="A33" i="1"/>
  <c r="Z32" i="1"/>
  <c r="W32" i="1"/>
  <c r="V32" i="1"/>
  <c r="U32" i="1"/>
  <c r="T32" i="1" a="1"/>
  <c r="T32" i="1" s="1"/>
  <c r="S32" i="1"/>
  <c r="S32" i="1" a="1"/>
  <c r="R32" i="1" a="1"/>
  <c r="R32" i="1" s="1"/>
  <c r="Q32" i="1" a="1"/>
  <c r="Q32" i="1" s="1"/>
  <c r="P32" i="1" a="1"/>
  <c r="P32" i="1" s="1"/>
  <c r="O32" i="1"/>
  <c r="O32" i="1" a="1"/>
  <c r="N32" i="1" a="1"/>
  <c r="N32" i="1" s="1"/>
  <c r="M32" i="1" a="1"/>
  <c r="M32" i="1" s="1"/>
  <c r="L32" i="1"/>
  <c r="K32" i="1"/>
  <c r="J32" i="1"/>
  <c r="I32" i="1"/>
  <c r="I32" i="1" a="1"/>
  <c r="H32" i="1"/>
  <c r="H32" i="1" a="1"/>
  <c r="G32" i="1"/>
  <c r="G32" i="1" a="1"/>
  <c r="F32" i="1" a="1"/>
  <c r="F32" i="1" s="1"/>
  <c r="C32" i="1"/>
  <c r="B32" i="1"/>
  <c r="Y32" i="1" s="1"/>
  <c r="A32" i="1"/>
  <c r="AC31" i="1"/>
  <c r="AB31" i="1"/>
  <c r="AA31" i="1"/>
  <c r="Z31" i="1"/>
  <c r="Y31" i="1"/>
  <c r="W31" i="1"/>
  <c r="V31" i="1"/>
  <c r="U31" i="1"/>
  <c r="T31" i="1"/>
  <c r="T31" i="1" a="1"/>
  <c r="S31" i="1" a="1"/>
  <c r="S31" i="1" s="1"/>
  <c r="R31" i="1" a="1"/>
  <c r="R31" i="1" s="1"/>
  <c r="Q31" i="1"/>
  <c r="Q31" i="1" a="1"/>
  <c r="P31" i="1"/>
  <c r="P31" i="1" a="1"/>
  <c r="O31" i="1" a="1"/>
  <c r="O31" i="1" s="1"/>
  <c r="N31" i="1" a="1"/>
  <c r="N31" i="1" s="1"/>
  <c r="M31" i="1"/>
  <c r="M31" i="1" a="1"/>
  <c r="L31" i="1"/>
  <c r="J31" i="1"/>
  <c r="I31" i="1"/>
  <c r="I31" i="1" a="1"/>
  <c r="H31" i="1" a="1"/>
  <c r="H31" i="1" s="1"/>
  <c r="G31" i="1" a="1"/>
  <c r="G31" i="1" s="1"/>
  <c r="F31" i="1" a="1"/>
  <c r="F31" i="1" s="1"/>
  <c r="C31" i="1"/>
  <c r="K31" i="1" s="1"/>
  <c r="B31" i="1"/>
  <c r="X31" i="1" s="1"/>
  <c r="A31" i="1"/>
  <c r="AC30" i="1"/>
  <c r="AB30" i="1"/>
  <c r="AA30" i="1"/>
  <c r="X30" i="1"/>
  <c r="W30" i="1"/>
  <c r="V30" i="1"/>
  <c r="U30" i="1"/>
  <c r="T30" i="1" a="1"/>
  <c r="T30" i="1" s="1"/>
  <c r="S30" i="1" a="1"/>
  <c r="S30" i="1" s="1"/>
  <c r="R30" i="1"/>
  <c r="R30" i="1" a="1"/>
  <c r="Q30" i="1" a="1"/>
  <c r="Q30" i="1" s="1"/>
  <c r="P30" i="1" a="1"/>
  <c r="P30" i="1" s="1"/>
  <c r="O30" i="1" a="1"/>
  <c r="O30" i="1" s="1"/>
  <c r="N30" i="1"/>
  <c r="N30" i="1" a="1"/>
  <c r="M30" i="1" a="1"/>
  <c r="M30" i="1" s="1"/>
  <c r="L30" i="1"/>
  <c r="I30" i="1" a="1"/>
  <c r="I30" i="1" s="1"/>
  <c r="H30" i="1" a="1"/>
  <c r="H30" i="1" s="1"/>
  <c r="G30" i="1"/>
  <c r="G30" i="1" a="1"/>
  <c r="F30" i="1"/>
  <c r="F30" i="1" a="1"/>
  <c r="C30" i="1"/>
  <c r="B30" i="1"/>
  <c r="Z30" i="1" s="1"/>
  <c r="A30" i="1"/>
  <c r="AC29" i="1"/>
  <c r="AB29" i="1"/>
  <c r="AA29" i="1"/>
  <c r="X29" i="1"/>
  <c r="W29" i="1"/>
  <c r="V29" i="1"/>
  <c r="U29" i="1"/>
  <c r="U39" i="1" s="1" a="1"/>
  <c r="U39" i="1" s="1"/>
  <c r="T29" i="1"/>
  <c r="T39" i="1" s="1"/>
  <c r="T29" i="1" a="1"/>
  <c r="S29" i="1"/>
  <c r="S29" i="1" a="1"/>
  <c r="R29" i="1"/>
  <c r="R39" i="1" s="1"/>
  <c r="R29" i="1" a="1"/>
  <c r="Q29" i="1" a="1"/>
  <c r="Q29" i="1" s="1"/>
  <c r="P29" i="1"/>
  <c r="P29" i="1" a="1"/>
  <c r="O29" i="1"/>
  <c r="O29" i="1" a="1"/>
  <c r="N29" i="1" a="1"/>
  <c r="N29" i="1" s="1"/>
  <c r="N39" i="1" s="1" a="1"/>
  <c r="N39" i="1" s="1"/>
  <c r="M29" i="1" a="1"/>
  <c r="M29" i="1" s="1"/>
  <c r="L29" i="1"/>
  <c r="J29" i="1"/>
  <c r="I29" i="1" a="1"/>
  <c r="I29" i="1" s="1"/>
  <c r="H29" i="1"/>
  <c r="H29" i="1" a="1"/>
  <c r="G29" i="1" a="1"/>
  <c r="G29" i="1" s="1"/>
  <c r="G39" i="1" s="1" a="1"/>
  <c r="G39" i="1" s="1"/>
  <c r="F29" i="1" a="1"/>
  <c r="F29" i="1" s="1"/>
  <c r="C29" i="1"/>
  <c r="K29" i="1" s="1"/>
  <c r="B29" i="1"/>
  <c r="A29" i="1"/>
  <c r="T27" i="1"/>
  <c r="I27" i="1"/>
  <c r="AC26" i="1"/>
  <c r="AB26" i="1"/>
  <c r="AA26" i="1"/>
  <c r="Z26" i="1"/>
  <c r="Y26" i="1"/>
  <c r="W26" i="1"/>
  <c r="V26" i="1"/>
  <c r="U26" i="1"/>
  <c r="T26" i="1"/>
  <c r="T26" i="1" a="1"/>
  <c r="S26" i="1" a="1"/>
  <c r="S26" i="1" s="1"/>
  <c r="R26" i="1" a="1"/>
  <c r="R26" i="1" s="1"/>
  <c r="Q26" i="1"/>
  <c r="Q26" i="1" a="1"/>
  <c r="P26" i="1" a="1"/>
  <c r="P26" i="1" s="1"/>
  <c r="O26" i="1"/>
  <c r="O26" i="1" a="1"/>
  <c r="N26" i="1" a="1"/>
  <c r="N26" i="1" s="1"/>
  <c r="M26" i="1"/>
  <c r="M26" i="1" a="1"/>
  <c r="L26" i="1"/>
  <c r="I26" i="1"/>
  <c r="I26" i="1" a="1"/>
  <c r="H26" i="1" a="1"/>
  <c r="H26" i="1" s="1"/>
  <c r="G26" i="1" a="1"/>
  <c r="G26" i="1" s="1"/>
  <c r="F26" i="1" a="1"/>
  <c r="F26" i="1" s="1"/>
  <c r="C26" i="1"/>
  <c r="K26" i="1" s="1"/>
  <c r="B26" i="1"/>
  <c r="X26" i="1" s="1"/>
  <c r="A26" i="1"/>
  <c r="AC25" i="1"/>
  <c r="AB25" i="1"/>
  <c r="AA25" i="1"/>
  <c r="X25" i="1"/>
  <c r="W25" i="1"/>
  <c r="V25" i="1"/>
  <c r="U25" i="1"/>
  <c r="T25" i="1" a="1"/>
  <c r="T25" i="1" s="1"/>
  <c r="S25" i="1" a="1"/>
  <c r="S25" i="1" s="1"/>
  <c r="R25" i="1"/>
  <c r="R25" i="1" a="1"/>
  <c r="Q25" i="1" a="1"/>
  <c r="Q25" i="1" s="1"/>
  <c r="P25" i="1" a="1"/>
  <c r="P25" i="1" s="1"/>
  <c r="O25" i="1" a="1"/>
  <c r="O25" i="1" s="1"/>
  <c r="N25" i="1"/>
  <c r="N25" i="1" a="1"/>
  <c r="M25" i="1" a="1"/>
  <c r="M25" i="1" s="1"/>
  <c r="L25" i="1"/>
  <c r="I25" i="1" a="1"/>
  <c r="I25" i="1" s="1"/>
  <c r="H25" i="1" a="1"/>
  <c r="H25" i="1" s="1"/>
  <c r="G25" i="1"/>
  <c r="G25" i="1" a="1"/>
  <c r="F25" i="1"/>
  <c r="F25" i="1" a="1"/>
  <c r="C25" i="1"/>
  <c r="B25" i="1"/>
  <c r="Z25" i="1" s="1"/>
  <c r="A25" i="1"/>
  <c r="W24" i="1"/>
  <c r="V24" i="1"/>
  <c r="Y24" i="1" s="1"/>
  <c r="U24" i="1"/>
  <c r="T24" i="1"/>
  <c r="T24" i="1" a="1"/>
  <c r="S24" i="1" a="1"/>
  <c r="S24" i="1" s="1"/>
  <c r="R24" i="1" a="1"/>
  <c r="R24" i="1" s="1"/>
  <c r="Q24" i="1" a="1"/>
  <c r="Q24" i="1" s="1"/>
  <c r="P24" i="1"/>
  <c r="P24" i="1" a="1"/>
  <c r="O24" i="1" a="1"/>
  <c r="O24" i="1" s="1"/>
  <c r="N24" i="1" a="1"/>
  <c r="N24" i="1" s="1"/>
  <c r="M24" i="1" a="1"/>
  <c r="M24" i="1" s="1"/>
  <c r="L24" i="1"/>
  <c r="I24" i="1"/>
  <c r="I24" i="1" a="1"/>
  <c r="H24" i="1"/>
  <c r="H24" i="1" a="1"/>
  <c r="G24" i="1" a="1"/>
  <c r="G24" i="1" s="1"/>
  <c r="F24" i="1" a="1"/>
  <c r="F24" i="1" s="1"/>
  <c r="C24" i="1"/>
  <c r="K24" i="1" s="1"/>
  <c r="B24" i="1"/>
  <c r="Z24" i="1" s="1"/>
  <c r="A24" i="1"/>
  <c r="W23" i="1"/>
  <c r="V23" i="1"/>
  <c r="U23" i="1"/>
  <c r="T23" i="1" a="1"/>
  <c r="T23" i="1" s="1"/>
  <c r="S23" i="1" a="1"/>
  <c r="S23" i="1" s="1"/>
  <c r="R23" i="1"/>
  <c r="R23" i="1" a="1"/>
  <c r="Q23" i="1" a="1"/>
  <c r="Q23" i="1" s="1"/>
  <c r="P23" i="1" a="1"/>
  <c r="P23" i="1" s="1"/>
  <c r="O23" i="1" a="1"/>
  <c r="O23" i="1" s="1"/>
  <c r="N23" i="1"/>
  <c r="N23" i="1" a="1"/>
  <c r="M23" i="1" a="1"/>
  <c r="M23" i="1" s="1"/>
  <c r="L23" i="1"/>
  <c r="I23" i="1"/>
  <c r="I23" i="1" a="1"/>
  <c r="H23" i="1" a="1"/>
  <c r="H23" i="1" s="1"/>
  <c r="G23" i="1"/>
  <c r="G23" i="1" a="1"/>
  <c r="F23" i="1"/>
  <c r="F23" i="1" a="1"/>
  <c r="C23" i="1"/>
  <c r="B23" i="1"/>
  <c r="Z23" i="1" s="1"/>
  <c r="A23" i="1"/>
  <c r="Y22" i="1"/>
  <c r="W22" i="1"/>
  <c r="V22" i="1"/>
  <c r="U22" i="1"/>
  <c r="T22" i="1"/>
  <c r="T22" i="1" a="1"/>
  <c r="S22" i="1" a="1"/>
  <c r="S22" i="1" s="1"/>
  <c r="R22" i="1" a="1"/>
  <c r="R22" i="1" s="1"/>
  <c r="Q22" i="1" a="1"/>
  <c r="Q22" i="1" s="1"/>
  <c r="P22" i="1"/>
  <c r="P22" i="1" a="1"/>
  <c r="O22" i="1" a="1"/>
  <c r="O22" i="1" s="1"/>
  <c r="N22" i="1" a="1"/>
  <c r="N22" i="1" s="1"/>
  <c r="M22" i="1" a="1"/>
  <c r="M22" i="1" s="1"/>
  <c r="L22" i="1"/>
  <c r="I22" i="1"/>
  <c r="I22" i="1" a="1"/>
  <c r="H22" i="1"/>
  <c r="H22" i="1" a="1"/>
  <c r="G22" i="1"/>
  <c r="G22" i="1" a="1"/>
  <c r="F22" i="1"/>
  <c r="F22" i="1" a="1"/>
  <c r="C22" i="1"/>
  <c r="K22" i="1" s="1"/>
  <c r="B22" i="1"/>
  <c r="Z22" i="1" s="1"/>
  <c r="A22" i="1"/>
  <c r="Y21" i="1"/>
  <c r="W21" i="1"/>
  <c r="V21" i="1"/>
  <c r="U21" i="1"/>
  <c r="T21" i="1" a="1"/>
  <c r="T21" i="1" s="1"/>
  <c r="S21" i="1" a="1"/>
  <c r="S21" i="1" s="1"/>
  <c r="R21" i="1"/>
  <c r="R21" i="1" a="1"/>
  <c r="Q21" i="1" a="1"/>
  <c r="Q21" i="1" s="1"/>
  <c r="P21" i="1" a="1"/>
  <c r="P21" i="1" s="1"/>
  <c r="O21" i="1" a="1"/>
  <c r="O21" i="1" s="1"/>
  <c r="N21" i="1"/>
  <c r="N21" i="1" a="1"/>
  <c r="M21" i="1" a="1"/>
  <c r="M21" i="1" s="1"/>
  <c r="L21" i="1"/>
  <c r="I21" i="1"/>
  <c r="I21" i="1" a="1"/>
  <c r="H21" i="1"/>
  <c r="H21" i="1" a="1"/>
  <c r="G21" i="1"/>
  <c r="G21" i="1" a="1"/>
  <c r="F21" i="1"/>
  <c r="F21" i="1" a="1"/>
  <c r="C21" i="1"/>
  <c r="B21" i="1"/>
  <c r="Z21" i="1" s="1"/>
  <c r="A21" i="1"/>
  <c r="Y20" i="1"/>
  <c r="W20" i="1"/>
  <c r="Z20" i="1" s="1"/>
  <c r="V20" i="1"/>
  <c r="U20" i="1"/>
  <c r="T20" i="1"/>
  <c r="T20" i="1" a="1"/>
  <c r="S20" i="1" a="1"/>
  <c r="S20" i="1" s="1"/>
  <c r="R20" i="1" a="1"/>
  <c r="R20" i="1" s="1"/>
  <c r="Q20" i="1" a="1"/>
  <c r="Q20" i="1" s="1"/>
  <c r="P20" i="1"/>
  <c r="P20" i="1" a="1"/>
  <c r="O20" i="1" a="1"/>
  <c r="O20" i="1" s="1"/>
  <c r="N20" i="1" a="1"/>
  <c r="N20" i="1" s="1"/>
  <c r="M20" i="1" a="1"/>
  <c r="M20" i="1" s="1"/>
  <c r="L20" i="1"/>
  <c r="I20" i="1"/>
  <c r="I20" i="1" a="1"/>
  <c r="H20" i="1"/>
  <c r="H20" i="1" a="1"/>
  <c r="G20" i="1" a="1"/>
  <c r="G20" i="1" s="1"/>
  <c r="F20" i="1"/>
  <c r="F20" i="1" a="1"/>
  <c r="C20" i="1"/>
  <c r="K20" i="1" s="1"/>
  <c r="B20" i="1"/>
  <c r="X20" i="1" s="1"/>
  <c r="A20" i="1"/>
  <c r="AC19" i="1"/>
  <c r="AB19" i="1"/>
  <c r="AA19" i="1"/>
  <c r="W19" i="1"/>
  <c r="V19" i="1"/>
  <c r="U19" i="1"/>
  <c r="T19" i="1" a="1"/>
  <c r="T19" i="1" s="1"/>
  <c r="S19" i="1"/>
  <c r="S19" i="1" a="1"/>
  <c r="R19" i="1"/>
  <c r="R19" i="1" a="1"/>
  <c r="Q19" i="1"/>
  <c r="Q19" i="1" a="1"/>
  <c r="P19" i="1" a="1"/>
  <c r="P19" i="1" s="1"/>
  <c r="O19" i="1" a="1"/>
  <c r="O19" i="1" s="1"/>
  <c r="N19" i="1"/>
  <c r="N19" i="1" a="1"/>
  <c r="M19" i="1"/>
  <c r="M19" i="1" a="1"/>
  <c r="L19" i="1"/>
  <c r="K19" i="1"/>
  <c r="I19" i="1" a="1"/>
  <c r="I19" i="1" s="1"/>
  <c r="H19" i="1" a="1"/>
  <c r="H19" i="1" s="1"/>
  <c r="G19" i="1" a="1"/>
  <c r="G19" i="1" s="1"/>
  <c r="F19" i="1"/>
  <c r="F19" i="1" a="1"/>
  <c r="C19" i="1"/>
  <c r="J19" i="1" s="1"/>
  <c r="B19" i="1"/>
  <c r="Z19" i="1" s="1"/>
  <c r="A19" i="1"/>
  <c r="AC18" i="1"/>
  <c r="AB18" i="1"/>
  <c r="AA18" i="1"/>
  <c r="Z18" i="1"/>
  <c r="W18" i="1"/>
  <c r="V18" i="1"/>
  <c r="U18" i="1"/>
  <c r="T18" i="1" a="1"/>
  <c r="T18" i="1" s="1"/>
  <c r="S18" i="1"/>
  <c r="S18" i="1" a="1"/>
  <c r="R18" i="1" a="1"/>
  <c r="R18" i="1" s="1"/>
  <c r="Q18" i="1" a="1"/>
  <c r="Q18" i="1" s="1"/>
  <c r="P18" i="1" a="1"/>
  <c r="P18" i="1" s="1"/>
  <c r="O18" i="1"/>
  <c r="O18" i="1" a="1"/>
  <c r="N18" i="1" a="1"/>
  <c r="N18" i="1" s="1"/>
  <c r="M18" i="1" a="1"/>
  <c r="M18" i="1" s="1"/>
  <c r="L18" i="1"/>
  <c r="K18" i="1"/>
  <c r="J18" i="1"/>
  <c r="I18" i="1"/>
  <c r="I18" i="1" a="1"/>
  <c r="H18" i="1"/>
  <c r="H18" i="1" a="1"/>
  <c r="G18" i="1"/>
  <c r="G18" i="1" a="1"/>
  <c r="F18" i="1" a="1"/>
  <c r="F18" i="1" s="1"/>
  <c r="C18" i="1"/>
  <c r="B18" i="1"/>
  <c r="Y18" i="1" s="1"/>
  <c r="A18" i="1"/>
  <c r="AC17" i="1"/>
  <c r="AB17" i="1"/>
  <c r="AA17" i="1"/>
  <c r="Z17" i="1"/>
  <c r="Y17" i="1"/>
  <c r="W17" i="1"/>
  <c r="V17" i="1"/>
  <c r="U17" i="1"/>
  <c r="T17" i="1"/>
  <c r="T17" i="1" a="1"/>
  <c r="S17" i="1" a="1"/>
  <c r="S17" i="1" s="1"/>
  <c r="R17" i="1"/>
  <c r="R17" i="1" a="1"/>
  <c r="Q17" i="1"/>
  <c r="Q17" i="1" a="1"/>
  <c r="P17" i="1"/>
  <c r="P17" i="1" a="1"/>
  <c r="O17" i="1" a="1"/>
  <c r="O17" i="1" s="1"/>
  <c r="N17" i="1"/>
  <c r="N17" i="1" a="1"/>
  <c r="M17" i="1"/>
  <c r="M17" i="1" a="1"/>
  <c r="L17" i="1"/>
  <c r="J17" i="1"/>
  <c r="I17" i="1"/>
  <c r="I17" i="1" a="1"/>
  <c r="H17" i="1" a="1"/>
  <c r="H17" i="1" s="1"/>
  <c r="G17" i="1" a="1"/>
  <c r="G17" i="1" s="1"/>
  <c r="F17" i="1" a="1"/>
  <c r="F17" i="1" s="1"/>
  <c r="C17" i="1"/>
  <c r="K17" i="1" s="1"/>
  <c r="B17" i="1"/>
  <c r="X17" i="1" s="1"/>
  <c r="A17" i="1"/>
  <c r="AC16" i="1"/>
  <c r="AB16" i="1"/>
  <c r="AA16" i="1"/>
  <c r="Y16" i="1"/>
  <c r="W16" i="1"/>
  <c r="V16" i="1"/>
  <c r="U16" i="1"/>
  <c r="T16" i="1" a="1"/>
  <c r="T16" i="1" s="1"/>
  <c r="S16" i="1" a="1"/>
  <c r="S16" i="1" s="1"/>
  <c r="R16" i="1"/>
  <c r="R16" i="1" a="1"/>
  <c r="Q16" i="1" a="1"/>
  <c r="Q16" i="1" s="1"/>
  <c r="P16" i="1" a="1"/>
  <c r="P16" i="1" s="1"/>
  <c r="O16" i="1" a="1"/>
  <c r="O16" i="1" s="1"/>
  <c r="N16" i="1"/>
  <c r="N16" i="1" a="1"/>
  <c r="M16" i="1" a="1"/>
  <c r="M16" i="1" s="1"/>
  <c r="L16" i="1"/>
  <c r="I16" i="1"/>
  <c r="I16" i="1" a="1"/>
  <c r="H16" i="1"/>
  <c r="H16" i="1" a="1"/>
  <c r="G16" i="1"/>
  <c r="G16" i="1" a="1"/>
  <c r="F16" i="1"/>
  <c r="F16" i="1" a="1"/>
  <c r="C16" i="1"/>
  <c r="B16" i="1"/>
  <c r="Z16" i="1" s="1"/>
  <c r="A16" i="1"/>
  <c r="AC15" i="1"/>
  <c r="AB15" i="1"/>
  <c r="AA15" i="1"/>
  <c r="X15" i="1"/>
  <c r="W15" i="1"/>
  <c r="V15" i="1"/>
  <c r="U15" i="1"/>
  <c r="T15" i="1"/>
  <c r="T15" i="1" a="1"/>
  <c r="S15" i="1"/>
  <c r="S15" i="1" a="1"/>
  <c r="R15" i="1" a="1"/>
  <c r="R15" i="1" s="1"/>
  <c r="Q15" i="1"/>
  <c r="Q15" i="1" a="1"/>
  <c r="P15" i="1"/>
  <c r="P15" i="1" a="1"/>
  <c r="O15" i="1"/>
  <c r="O15" i="1" a="1"/>
  <c r="N15" i="1" a="1"/>
  <c r="N15" i="1" s="1"/>
  <c r="M15" i="1"/>
  <c r="M15" i="1" a="1"/>
  <c r="L15" i="1"/>
  <c r="J15" i="1"/>
  <c r="I15" i="1" a="1"/>
  <c r="I15" i="1" s="1"/>
  <c r="H15" i="1"/>
  <c r="H15" i="1" a="1"/>
  <c r="G15" i="1" a="1"/>
  <c r="G15" i="1" s="1"/>
  <c r="F15" i="1" a="1"/>
  <c r="F15" i="1" s="1"/>
  <c r="C15" i="1"/>
  <c r="K15" i="1" s="1"/>
  <c r="B15" i="1"/>
  <c r="A15" i="1"/>
  <c r="AC14" i="1"/>
  <c r="AB14" i="1"/>
  <c r="AA14" i="1"/>
  <c r="W14" i="1"/>
  <c r="W27" i="1" s="1"/>
  <c r="V14" i="1"/>
  <c r="U14" i="1"/>
  <c r="U27" i="1" s="1"/>
  <c r="T14" i="1" a="1"/>
  <c r="T14" i="1" s="1"/>
  <c r="S14" i="1" a="1"/>
  <c r="S14" i="1" s="1"/>
  <c r="S27" i="1" s="1"/>
  <c r="R14" i="1" a="1"/>
  <c r="R14" i="1" s="1"/>
  <c r="R27" i="1" s="1"/>
  <c r="Q14" i="1"/>
  <c r="Q14" i="1" a="1"/>
  <c r="P14" i="1" a="1"/>
  <c r="P14" i="1" s="1"/>
  <c r="O14" i="1" a="1"/>
  <c r="O14" i="1" s="1"/>
  <c r="O27" i="1" s="1"/>
  <c r="N14" i="1" a="1"/>
  <c r="N14" i="1" s="1"/>
  <c r="N27" i="1" s="1"/>
  <c r="M14" i="1"/>
  <c r="M27" i="1" s="1"/>
  <c r="M14" i="1" a="1"/>
  <c r="L14" i="1"/>
  <c r="L27" i="1" s="1"/>
  <c r="I14" i="1"/>
  <c r="I14" i="1" a="1"/>
  <c r="H14" i="1" a="1"/>
  <c r="H14" i="1" s="1"/>
  <c r="H27" i="1" s="1"/>
  <c r="G14" i="1"/>
  <c r="G27" i="1" s="1"/>
  <c r="G14" i="1" a="1"/>
  <c r="F14" i="1"/>
  <c r="F14" i="1" a="1"/>
  <c r="C14" i="1"/>
  <c r="B14" i="1"/>
  <c r="A14" i="1"/>
  <c r="F12" i="1"/>
  <c r="Y11" i="1"/>
  <c r="X11" i="1"/>
  <c r="W11" i="1"/>
  <c r="V11" i="1"/>
  <c r="U11" i="1"/>
  <c r="T11" i="1" a="1"/>
  <c r="T11" i="1" s="1"/>
  <c r="S11" i="1" a="1"/>
  <c r="S11" i="1" s="1"/>
  <c r="R11" i="1"/>
  <c r="R11" i="1" a="1"/>
  <c r="Q11" i="1" a="1"/>
  <c r="Q11" i="1" s="1"/>
  <c r="P11" i="1" a="1"/>
  <c r="P11" i="1" s="1"/>
  <c r="O11" i="1" a="1"/>
  <c r="O11" i="1" s="1"/>
  <c r="N11" i="1"/>
  <c r="N11" i="1" a="1"/>
  <c r="M11" i="1" a="1"/>
  <c r="M11" i="1" s="1"/>
  <c r="L11" i="1"/>
  <c r="K11" i="1"/>
  <c r="I11" i="1"/>
  <c r="I11" i="1" a="1"/>
  <c r="H11" i="1"/>
  <c r="H11" i="1" a="1"/>
  <c r="G11" i="1"/>
  <c r="G11" i="1" a="1"/>
  <c r="F11" i="1"/>
  <c r="F11" i="1" a="1"/>
  <c r="C11" i="1"/>
  <c r="J11" i="1" s="1"/>
  <c r="B11" i="1"/>
  <c r="Z11" i="1" s="1"/>
  <c r="A11" i="1"/>
  <c r="Y10" i="1"/>
  <c r="W10" i="1"/>
  <c r="Z10" i="1" s="1"/>
  <c r="V10" i="1"/>
  <c r="U10" i="1"/>
  <c r="T10" i="1"/>
  <c r="T10" i="1" a="1"/>
  <c r="S10" i="1" a="1"/>
  <c r="S10" i="1" s="1"/>
  <c r="R10" i="1" a="1"/>
  <c r="R10" i="1" s="1"/>
  <c r="Q10" i="1" a="1"/>
  <c r="Q10" i="1" s="1"/>
  <c r="P10" i="1"/>
  <c r="P10" i="1" a="1"/>
  <c r="O10" i="1" a="1"/>
  <c r="O10" i="1" s="1"/>
  <c r="N10" i="1" a="1"/>
  <c r="N10" i="1" s="1"/>
  <c r="M10" i="1" a="1"/>
  <c r="M10" i="1" s="1"/>
  <c r="L10" i="1"/>
  <c r="I10" i="1"/>
  <c r="I10" i="1" a="1"/>
  <c r="H10" i="1"/>
  <c r="H10" i="1" a="1"/>
  <c r="G10" i="1" a="1"/>
  <c r="G10" i="1" s="1"/>
  <c r="F10" i="1"/>
  <c r="F10" i="1" a="1"/>
  <c r="C10" i="1"/>
  <c r="B10" i="1"/>
  <c r="A10" i="1"/>
  <c r="W9" i="1"/>
  <c r="V9" i="1"/>
  <c r="U9" i="1"/>
  <c r="T9" i="1" a="1"/>
  <c r="T9" i="1" s="1"/>
  <c r="S9" i="1" a="1"/>
  <c r="S9" i="1" s="1"/>
  <c r="R9" i="1"/>
  <c r="R9" i="1" a="1"/>
  <c r="Q9" i="1" a="1"/>
  <c r="Q9" i="1" s="1"/>
  <c r="P9" i="1" a="1"/>
  <c r="P9" i="1" s="1"/>
  <c r="O9" i="1" a="1"/>
  <c r="O9" i="1" s="1"/>
  <c r="N9" i="1"/>
  <c r="N9" i="1" a="1"/>
  <c r="M9" i="1" a="1"/>
  <c r="M9" i="1" s="1"/>
  <c r="L9" i="1"/>
  <c r="I9" i="1" a="1"/>
  <c r="I9" i="1" s="1"/>
  <c r="H9" i="1"/>
  <c r="H9" i="1" a="1"/>
  <c r="G9" i="1"/>
  <c r="G9" i="1" a="1"/>
  <c r="F9" i="1"/>
  <c r="F9" i="1" a="1"/>
  <c r="C9" i="1"/>
  <c r="J9" i="1" s="1"/>
  <c r="B9" i="1"/>
  <c r="Z9" i="1" s="1"/>
  <c r="A9" i="1"/>
  <c r="AC8" i="1"/>
  <c r="AB8" i="1"/>
  <c r="AA8" i="1"/>
  <c r="W8" i="1"/>
  <c r="V8" i="1"/>
  <c r="U8" i="1"/>
  <c r="T8" i="1"/>
  <c r="T8" i="1" a="1"/>
  <c r="S8" i="1"/>
  <c r="S8" i="1" a="1"/>
  <c r="R8" i="1" a="1"/>
  <c r="R8" i="1" s="1"/>
  <c r="Q8" i="1"/>
  <c r="Q8" i="1" a="1"/>
  <c r="P8" i="1"/>
  <c r="P8" i="1" a="1"/>
  <c r="O8" i="1"/>
  <c r="O8" i="1" a="1"/>
  <c r="N8" i="1" a="1"/>
  <c r="N8" i="1" s="1"/>
  <c r="M8" i="1"/>
  <c r="M8" i="1" a="1"/>
  <c r="L8" i="1"/>
  <c r="J8" i="1"/>
  <c r="I8" i="1" a="1"/>
  <c r="I8" i="1" s="1"/>
  <c r="H8" i="1" a="1"/>
  <c r="H8" i="1" s="1"/>
  <c r="G8" i="1" a="1"/>
  <c r="G8" i="1" s="1"/>
  <c r="F8" i="1" a="1"/>
  <c r="F8" i="1" s="1"/>
  <c r="C8" i="1"/>
  <c r="K8" i="1" s="1"/>
  <c r="B8" i="1"/>
  <c r="Y8" i="1" s="1"/>
  <c r="A8" i="1"/>
  <c r="AC7" i="1"/>
  <c r="AB7" i="1"/>
  <c r="AA7" i="1"/>
  <c r="Y7" i="1"/>
  <c r="W7" i="1"/>
  <c r="V7" i="1"/>
  <c r="U7" i="1"/>
  <c r="T7" i="1" a="1"/>
  <c r="T7" i="1" s="1"/>
  <c r="S7" i="1" a="1"/>
  <c r="S7" i="1" s="1"/>
  <c r="R7" i="1" a="1"/>
  <c r="R7" i="1" s="1"/>
  <c r="Q7" i="1" a="1"/>
  <c r="Q7" i="1" s="1"/>
  <c r="P7" i="1" a="1"/>
  <c r="P7" i="1" s="1"/>
  <c r="O7" i="1" a="1"/>
  <c r="O7" i="1" s="1"/>
  <c r="N7" i="1" a="1"/>
  <c r="N7" i="1" s="1"/>
  <c r="M7" i="1" a="1"/>
  <c r="M7" i="1" s="1"/>
  <c r="L7" i="1"/>
  <c r="K7" i="1"/>
  <c r="I7" i="1"/>
  <c r="I7" i="1" a="1"/>
  <c r="H7" i="1" a="1"/>
  <c r="H7" i="1" s="1"/>
  <c r="G7" i="1"/>
  <c r="G7" i="1" a="1"/>
  <c r="F7" i="1"/>
  <c r="F7" i="1" a="1"/>
  <c r="C7" i="1"/>
  <c r="J7" i="1" s="1"/>
  <c r="B7" i="1"/>
  <c r="A7" i="1"/>
  <c r="AC6" i="1"/>
  <c r="AB6" i="1"/>
  <c r="AA6" i="1"/>
  <c r="X6" i="1"/>
  <c r="W6" i="1"/>
  <c r="W12" i="1" s="1"/>
  <c r="V6" i="1"/>
  <c r="V12" i="1" s="1"/>
  <c r="U6" i="1"/>
  <c r="U12" i="1" s="1"/>
  <c r="T6" i="1"/>
  <c r="T12" i="1" s="1" a="1"/>
  <c r="T12" i="1" s="1"/>
  <c r="T6" i="1" a="1"/>
  <c r="S6" i="1"/>
  <c r="S6" i="1" a="1"/>
  <c r="R6" i="1"/>
  <c r="R6" i="1" a="1"/>
  <c r="Q6" i="1" a="1"/>
  <c r="Q6" i="1" s="1"/>
  <c r="P6" i="1"/>
  <c r="P6" i="1" a="1"/>
  <c r="O6" i="1"/>
  <c r="O12" i="1" s="1"/>
  <c r="O6" i="1" a="1"/>
  <c r="N6" i="1"/>
  <c r="N12" i="1" s="1"/>
  <c r="N6" i="1" a="1"/>
  <c r="M6" i="1" a="1"/>
  <c r="M6" i="1" s="1"/>
  <c r="M12" i="1" s="1"/>
  <c r="L6" i="1"/>
  <c r="L12" i="1" s="1"/>
  <c r="K6" i="1"/>
  <c r="K12" i="1" s="1"/>
  <c r="J6" i="1"/>
  <c r="I6" i="1" a="1"/>
  <c r="I6" i="1" s="1"/>
  <c r="I12" i="1" s="1"/>
  <c r="H6" i="1"/>
  <c r="H12" i="1" s="1"/>
  <c r="H6" i="1" a="1"/>
  <c r="G6" i="1" a="1"/>
  <c r="G6" i="1" s="1"/>
  <c r="G12" i="1" s="1"/>
  <c r="F6" i="1"/>
  <c r="F6" i="1" a="1"/>
  <c r="C6" i="1"/>
  <c r="B6" i="1"/>
  <c r="Y6" i="1" s="1"/>
  <c r="Y12" i="1" s="1"/>
  <c r="A6" i="1"/>
  <c r="F39" i="1" l="1"/>
  <c r="J12" i="1"/>
  <c r="S12" i="1" a="1"/>
  <c r="S12" i="1" s="1"/>
  <c r="X8" i="1"/>
  <c r="K9" i="1"/>
  <c r="Y9" i="1"/>
  <c r="Z14" i="1"/>
  <c r="J26" i="1"/>
  <c r="Z8" i="1"/>
  <c r="K14" i="1"/>
  <c r="J14" i="1"/>
  <c r="X23" i="1"/>
  <c r="H39" i="1" a="1"/>
  <c r="H39" i="1" s="1"/>
  <c r="O39" i="1" a="1"/>
  <c r="O39" i="1" s="1"/>
  <c r="X10" i="1"/>
  <c r="Y23" i="1"/>
  <c r="I39" i="1" a="1"/>
  <c r="I39" i="1" s="1"/>
  <c r="X41" i="1"/>
  <c r="K16" i="1"/>
  <c r="J16" i="1"/>
  <c r="X9" i="1"/>
  <c r="K10" i="1"/>
  <c r="J10" i="1"/>
  <c r="F27" i="1"/>
  <c r="K23" i="1"/>
  <c r="J23" i="1"/>
  <c r="Y30" i="1"/>
  <c r="K41" i="1"/>
  <c r="J41" i="1"/>
  <c r="Y41" i="1"/>
  <c r="V27" i="1"/>
  <c r="Y14" i="1"/>
  <c r="K21" i="1"/>
  <c r="J21" i="1"/>
  <c r="Z7" i="1"/>
  <c r="X7" i="1"/>
  <c r="X12" i="1" s="1"/>
  <c r="Z15" i="1"/>
  <c r="Y15" i="1"/>
  <c r="Y25" i="1"/>
  <c r="Z29" i="1"/>
  <c r="Z39" i="1" s="1" a="1"/>
  <c r="Z39" i="1" s="1"/>
  <c r="Y29" i="1"/>
  <c r="V39" i="1" a="1"/>
  <c r="V39" i="1" s="1"/>
  <c r="K30" i="1"/>
  <c r="K39" i="1" s="1"/>
  <c r="J30" i="1"/>
  <c r="J39" i="1" s="1"/>
  <c r="Z33" i="1"/>
  <c r="R12" i="1" a="1"/>
  <c r="R12" i="1" s="1"/>
  <c r="Z6" i="1"/>
  <c r="X16" i="1"/>
  <c r="X21" i="1"/>
  <c r="K25" i="1"/>
  <c r="J25" i="1"/>
  <c r="M39" i="1" a="1"/>
  <c r="M39" i="1" s="1"/>
  <c r="W39" i="1" a="1"/>
  <c r="W39" i="1" s="1"/>
  <c r="X14" i="1"/>
  <c r="X33" i="1"/>
  <c r="X38" i="1"/>
  <c r="Y33" i="1"/>
  <c r="X37" i="1"/>
  <c r="X22" i="1"/>
  <c r="X24" i="1"/>
  <c r="X36" i="1"/>
  <c r="X19" i="1"/>
  <c r="X35" i="1"/>
  <c r="J45" i="1"/>
  <c r="X18" i="1"/>
  <c r="Y19" i="1"/>
  <c r="J20" i="1"/>
  <c r="J22" i="1"/>
  <c r="J24" i="1"/>
  <c r="X32" i="1"/>
  <c r="X39" i="1" s="1" a="1"/>
  <c r="X39" i="1" s="1"/>
  <c r="X34" i="1"/>
  <c r="Y35" i="1"/>
  <c r="J36" i="1"/>
  <c r="Y39" i="1" l="1" a="1"/>
  <c r="Y39" i="1" s="1"/>
  <c r="J27" i="1"/>
  <c r="Y27" i="1"/>
  <c r="K27" i="1"/>
  <c r="Z12" i="1"/>
  <c r="X27" i="1"/>
  <c r="Z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<sst xmlns="http://schemas.openxmlformats.org/spreadsheetml/2006/main" count="128" uniqueCount="111">
  <si>
    <t>Last Earnings Date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</si>
  <si>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</si>
  <si>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</si>
  <si>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</si>
  <si>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</si>
  <si>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</si>
  <si>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</si>
  <si>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</si>
  <si>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</si>
  <si>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</si>
  <si>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Avg daily production (MBOE)</t>
  </si>
  <si>
    <t xml:space="preserve">EV/Production MBOE </t>
  </si>
  <si>
    <t>Attributable Reserves</t>
  </si>
  <si>
    <t>Attributable M&amp;I Resources</t>
  </si>
  <si>
    <t>Attributable Total Resources</t>
  </si>
  <si>
    <t>Ticker</t>
  </si>
  <si>
    <t>FY2024</t>
  </si>
  <si>
    <t>FY2025</t>
  </si>
  <si>
    <t>FY2026</t>
  </si>
  <si>
    <t>2024Y</t>
  </si>
  <si>
    <t>2025Y</t>
  </si>
  <si>
    <t>2026Y</t>
  </si>
  <si>
    <t>Coal</t>
  </si>
  <si>
    <t>SNL_EARNINGS_RELEASE_DATE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</si>
  <si>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</si>
  <si>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</si>
  <si>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</si>
  <si>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</si>
  <si>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</si>
  <si>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</si>
  <si>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</si>
  <si>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</si>
  <si>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SNL_ATTRIBUTABLE_RESV_TONNES</t>
  </si>
  <si>
    <t>SNL_ATTRIBUTABLE_M_AND_I_RESRC_TONNES</t>
  </si>
  <si>
    <t>SNL_ATTRIBUTABLE_TOTAL_RESRC_TONNES</t>
  </si>
  <si>
    <t>FQ0</t>
  </si>
  <si>
    <t>FH0</t>
  </si>
  <si>
    <t>SP_OG_AVG_DAILY_PROD_EST</t>
  </si>
  <si>
    <t>MRQ</t>
  </si>
  <si>
    <t>Europe</t>
  </si>
  <si>
    <t>Shell</t>
  </si>
  <si>
    <t>LSE:SHEL</t>
  </si>
  <si>
    <t>BP</t>
  </si>
  <si>
    <t>LSE:BP.</t>
  </si>
  <si>
    <t>TotalEnergies SE</t>
  </si>
  <si>
    <t>NYSE:TTE</t>
  </si>
  <si>
    <t>Equinor</t>
  </si>
  <si>
    <t>OB:EQNR</t>
  </si>
  <si>
    <t>Energean PLC</t>
  </si>
  <si>
    <t>LSE:ENOG</t>
  </si>
  <si>
    <t>Neste Oyj</t>
  </si>
  <si>
    <t>HLSE:NESTE</t>
  </si>
  <si>
    <t>Average</t>
  </si>
  <si>
    <t>Canada</t>
  </si>
  <si>
    <t>Canadian Natural Resources</t>
  </si>
  <si>
    <t>TSX:CNQ</t>
  </si>
  <si>
    <t>Suncor Energy</t>
  </si>
  <si>
    <t>TSX:SU</t>
  </si>
  <si>
    <t>Imperial Oil Ltd</t>
  </si>
  <si>
    <t>TSX:IMO</t>
  </si>
  <si>
    <t>Cenovus Energy Inc</t>
  </si>
  <si>
    <t>TSX:CVE</t>
  </si>
  <si>
    <t>MEG Energy Corp</t>
  </si>
  <si>
    <t>TSX:MEG</t>
  </si>
  <si>
    <t>Whitecap Energy</t>
  </si>
  <si>
    <t>TSX:WCP</t>
  </si>
  <si>
    <t>Enerplus Corp</t>
  </si>
  <si>
    <t>TSX:ERF</t>
  </si>
  <si>
    <t>Athabasca Oil Corp</t>
  </si>
  <si>
    <t>TSX:ATH</t>
  </si>
  <si>
    <t>Baytex Energy</t>
  </si>
  <si>
    <t>TSX:BTE</t>
  </si>
  <si>
    <t>Birchcliff Energy</t>
  </si>
  <si>
    <t>TSX:BIR</t>
  </si>
  <si>
    <t>Tamarack Valley</t>
  </si>
  <si>
    <t>TSX:TVE</t>
  </si>
  <si>
    <t>International Petroleum Corp</t>
  </si>
  <si>
    <t>TSX:IPCO</t>
  </si>
  <si>
    <t>Logan Energy</t>
  </si>
  <si>
    <t>TSXV:LGN</t>
  </si>
  <si>
    <t>USA</t>
  </si>
  <si>
    <t>Exxon Mobil Copr</t>
  </si>
  <si>
    <t>NYSE:XOM</t>
  </si>
  <si>
    <t>Chevron Corp</t>
  </si>
  <si>
    <t>NYSE:CVX</t>
  </si>
  <si>
    <t>ConoccoPhillips</t>
  </si>
  <si>
    <t>NYSE:COP</t>
  </si>
  <si>
    <t>Hess Corp</t>
  </si>
  <si>
    <t>NYSE:HES</t>
  </si>
  <si>
    <t>Devon Energy Corp</t>
  </si>
  <si>
    <t>NYSE:DVN</t>
  </si>
  <si>
    <t>Marathon Oil Corp</t>
  </si>
  <si>
    <t>NYSE:MRO</t>
  </si>
  <si>
    <t>Murphy Oil Corp</t>
  </si>
  <si>
    <t>NYSE:MUR</t>
  </si>
  <si>
    <t>Occidental Petroleum</t>
  </si>
  <si>
    <t>NYSE:OXY</t>
  </si>
  <si>
    <t>Viper Energy Inc</t>
  </si>
  <si>
    <t>NASDAQGS:VNOM</t>
  </si>
  <si>
    <t>NGL Energy Partners LP</t>
  </si>
  <si>
    <t>NYSE:NGL</t>
  </si>
  <si>
    <t>Australia</t>
  </si>
  <si>
    <t>Karoon Energy</t>
  </si>
  <si>
    <t>ASX:KAR</t>
  </si>
  <si>
    <t>Oil and Gas Services</t>
  </si>
  <si>
    <t>Precision Drilling</t>
  </si>
  <si>
    <t>TSX:PD</t>
  </si>
  <si>
    <t>Secure Energy Services</t>
  </si>
  <si>
    <t>TSX:SES</t>
  </si>
  <si>
    <t>Total Energy Services</t>
  </si>
  <si>
    <t>TSX:TOT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</si>
</sst>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1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6"/>
      <color rgb="FF525252"/>
      <name val="Arial Narrow"/>
      <family val="2"/>
    </font>
    <font>
      <sz val="7"/>
      <color rgb="FF525252"/>
      <name val="Arial"/>
      <family val="2"/>
    </font>
    <font>
      <b/>
      <sz val="13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2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7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164" fontId="0" fillId="5" borderId="14" xfId="0" applyNumberForma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4" fontId="8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2" fontId="0" fillId="0" borderId="1" xfId="0" applyNumberFormat="1" applyBorder="1" applyAlignment="1">
      <alignment horizontal="center" vertical="top"/>
    </xf>
    <xf numFmtId="164" fontId="0" fillId="0" borderId="6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0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9" fontId="0" fillId="0" borderId="15" xfId="1" applyFont="1" applyBorder="1" applyAlignment="1">
      <alignment horizontal="center" vertical="top"/>
    </xf>
    <xf numFmtId="9" fontId="0" fillId="0" borderId="9" xfId="1" applyFon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0" fillId="0" borderId="8" xfId="0" applyNumberForma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3" fontId="0" fillId="0" borderId="15" xfId="0" applyNumberFormat="1" applyBorder="1" applyAlignment="1">
      <alignment horizontal="center" vertical="top"/>
    </xf>
    <xf numFmtId="3" fontId="0" fillId="0" borderId="7" xfId="0" applyNumberFormat="1" applyBorder="1" applyAlignment="1">
      <alignment horizontal="center" vertical="top"/>
    </xf>
    <xf numFmtId="3" fontId="0" fillId="0" borderId="8" xfId="0" applyNumberFormat="1" applyBorder="1" applyAlignment="1">
      <alignment horizontal="center" vertical="top"/>
    </xf>
    <xf numFmtId="9" fontId="0" fillId="0" borderId="6" xfId="1" applyFont="1" applyBorder="1" applyAlignment="1">
      <alignment horizontal="center" vertical="top"/>
    </xf>
    <xf numFmtId="9" fontId="0" fillId="0" borderId="16" xfId="1" applyFont="1" applyBorder="1" applyAlignment="1">
      <alignment horizontal="center" vertical="top"/>
    </xf>
    <xf numFmtId="3" fontId="0" fillId="0" borderId="6" xfId="0" applyNumberFormat="1" applyBorder="1" applyAlignment="1">
      <alignment horizontal="center" vertical="top"/>
    </xf>
    <xf numFmtId="3" fontId="0" fillId="0" borderId="0" xfId="0" applyNumberFormat="1" applyAlignment="1">
      <alignment horizontal="center" vertical="top"/>
    </xf>
    <xf numFmtId="3" fontId="0" fillId="0" borderId="10" xfId="0" applyNumberFormat="1" applyBorder="1" applyAlignment="1">
      <alignment horizontal="center" vertical="top"/>
    </xf>
    <xf numFmtId="9" fontId="0" fillId="0" borderId="11" xfId="1" applyFont="1" applyBorder="1" applyAlignment="1">
      <alignment horizontal="center" vertical="top"/>
    </xf>
    <xf numFmtId="9" fontId="0" fillId="0" borderId="17" xfId="1" applyFont="1" applyBorder="1" applyAlignment="1">
      <alignment horizontal="center" vertical="top"/>
    </xf>
    <xf numFmtId="0" fontId="1" fillId="6" borderId="3" xfId="0" applyFont="1" applyFill="1" applyBorder="1" applyAlignment="1">
      <alignment horizontal="right" vertical="top"/>
    </xf>
    <xf numFmtId="2" fontId="1" fillId="6" borderId="14" xfId="0" applyNumberFormat="1" applyFont="1" applyFill="1" applyBorder="1" applyAlignment="1">
      <alignment horizontal="center" vertical="top"/>
    </xf>
    <xf numFmtId="164" fontId="1" fillId="6" borderId="2" xfId="0" applyNumberFormat="1" applyFont="1" applyFill="1" applyBorder="1" applyAlignment="1">
      <alignment horizontal="center" vertical="top"/>
    </xf>
    <xf numFmtId="164" fontId="1" fillId="6" borderId="3" xfId="0" applyNumberFormat="1" applyFont="1" applyFill="1" applyBorder="1" applyAlignment="1">
      <alignment horizontal="center" vertical="top"/>
    </xf>
    <xf numFmtId="164" fontId="1" fillId="6" borderId="4" xfId="0" applyNumberFormat="1" applyFont="1" applyFill="1" applyBorder="1" applyAlignment="1">
      <alignment horizontal="center" vertical="top"/>
    </xf>
    <xf numFmtId="165" fontId="1" fillId="6" borderId="3" xfId="1" applyNumberFormat="1" applyFont="1" applyFill="1" applyBorder="1" applyAlignment="1">
      <alignment horizontal="center" vertical="top"/>
    </xf>
    <xf numFmtId="166" fontId="1" fillId="6" borderId="3" xfId="0" applyNumberFormat="1" applyFont="1" applyFill="1" applyBorder="1" applyAlignment="1">
      <alignment horizontal="center" vertical="top"/>
    </xf>
    <xf numFmtId="3" fontId="1" fillId="6" borderId="3" xfId="0" applyNumberFormat="1" applyFont="1" applyFill="1" applyBorder="1" applyAlignment="1">
      <alignment horizontal="center" vertical="top"/>
    </xf>
    <xf numFmtId="3" fontId="1" fillId="6" borderId="2" xfId="0" applyNumberFormat="1" applyFont="1" applyFill="1" applyBorder="1" applyAlignment="1">
      <alignment horizontal="center" vertical="top"/>
    </xf>
    <xf numFmtId="3" fontId="1" fillId="6" borderId="8" xfId="0" applyNumberFormat="1" applyFont="1" applyFill="1" applyBorder="1" applyAlignment="1">
      <alignment horizontal="center" vertical="top"/>
    </xf>
    <xf numFmtId="3" fontId="1" fillId="6" borderId="0" xfId="0" applyNumberFormat="1" applyFont="1" applyFill="1" applyAlignment="1">
      <alignment horizontal="center" vertical="top"/>
    </xf>
    <xf numFmtId="2" fontId="0" fillId="5" borderId="3" xfId="0" applyNumberFormat="1" applyFill="1" applyBorder="1" applyAlignment="1">
      <alignment horizontal="center" vertical="top"/>
    </xf>
    <xf numFmtId="166" fontId="1" fillId="6" borderId="4" xfId="0" applyNumberFormat="1" applyFont="1" applyFill="1" applyBorder="1" applyAlignment="1">
      <alignment horizontal="center" vertical="top"/>
    </xf>
    <xf numFmtId="3" fontId="1" fillId="6" borderId="4" xfId="0" applyNumberFormat="1" applyFont="1" applyFill="1" applyBorder="1" applyAlignment="1">
      <alignment horizontal="center" vertical="top"/>
    </xf>
    <xf numFmtId="164" fontId="0" fillId="5" borderId="12" xfId="0" applyNumberFormat="1" applyFill="1" applyBorder="1" applyAlignment="1">
      <alignment horizontal="center" vertical="top"/>
    </xf>
    <xf numFmtId="0" fontId="0" fillId="5" borderId="12" xfId="0" applyFill="1" applyBorder="1" applyAlignment="1">
      <alignment horizontal="center" vertical="top"/>
    </xf>
    <xf numFmtId="0" fontId="0" fillId="5" borderId="13" xfId="0" applyFill="1" applyBorder="1" applyAlignment="1">
      <alignment horizontal="center" vertical="top"/>
    </xf>
    <xf numFmtId="0" fontId="0" fillId="5" borderId="11" xfId="0" applyFill="1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2" fontId="1" fillId="6" borderId="18" xfId="0" applyNumberFormat="1" applyFont="1" applyFill="1" applyBorder="1" applyAlignment="1">
      <alignment horizontal="center" vertical="top"/>
    </xf>
    <xf numFmtId="2" fontId="0" fillId="5" borderId="12" xfId="0" applyNumberFormat="1" applyFill="1" applyBorder="1" applyAlignment="1">
      <alignment horizontal="center" vertical="top"/>
    </xf>
    <xf numFmtId="2" fontId="0" fillId="5" borderId="0" xfId="0" applyNumberFormat="1" applyFill="1" applyAlignment="1">
      <alignment horizontal="center" vertical="top"/>
    </xf>
    <xf numFmtId="2" fontId="0" fillId="0" borderId="19" xfId="0" applyNumberFormat="1" applyBorder="1" applyAlignment="1">
      <alignment horizontal="center" vertical="top"/>
    </xf>
    <xf numFmtId="2" fontId="0" fillId="0" borderId="20" xfId="0" applyNumberFormat="1" applyBorder="1" applyAlignment="1">
      <alignment horizontal="center" vertical="top"/>
    </xf>
    <xf numFmtId="166" fontId="0" fillId="0" borderId="6" xfId="0" applyNumberFormat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166" fontId="0" fillId="0" borderId="10" xfId="0" applyNumberFormat="1" applyBorder="1" applyAlignment="1">
      <alignment horizontal="center" vertical="top"/>
    </xf>
    <xf numFmtId="0" fontId="10" fillId="0" borderId="0" xfId="0" applyFont="1" applyAlignment="1">
      <alignment horizontal="left" vertical="center" indent="3"/>
    </xf>
    <xf numFmtId="0" fontId="10" fillId="0" borderId="0" xfId="0" applyFont="1" applyAlignment="1">
      <alignment horizontal="left" vertical="center"/>
    </xf>
    <xf numFmtId="166" fontId="0" fillId="0" borderId="0" xfId="0" applyNumberFormat="1" applyAlignment="1">
      <alignment horizontal="right" vertical="top"/>
    </xf>
    <xf numFmtId="0" fontId="10" fillId="0" borderId="0" xfId="0" applyFont="1" applyAlignment="1">
      <alignment horizontal="left" vertical="center" indent="1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7975-5F80-4E90-908E-381843D7368D}">
  <dimension ref="A1:AD61"/>
  <sheetViews>
    <sheetView showGridLines="0" tabSelected="1" topLeftCell="D29" workbookViewId="0">
      <selection activeCell="I2678" sqref="I2678"/>
    </sheetView>
  </sheetViews>
  <sheetFormatPr defaultRowHeight="13.2" outlineLevelRow="1" outlineLevelCol="1" x14ac:dyDescent="0.25"/>
  <cols>
    <col min="1" max="1" width="16.33203125" style="2" hidden="1" customWidth="1" outlineLevel="1"/>
    <col min="2" max="2" width="10.77734375" style="2" hidden="1" customWidth="1" outlineLevel="1"/>
    <col min="3" max="3" width="9.6640625" style="2" hidden="1" customWidth="1" outlineLevel="1"/>
    <col min="4" max="4" width="25.77734375" style="2" customWidth="1" collapsed="1"/>
    <col min="5" max="5" width="20.33203125" style="2" customWidth="1"/>
    <col min="6" max="6" width="11.33203125" style="2" customWidth="1"/>
    <col min="7" max="7" width="8.33203125" style="2" customWidth="1"/>
    <col min="8" max="8" width="8" style="2" customWidth="1"/>
    <col min="9" max="9" width="8.109375" style="2" bestFit="1" customWidth="1"/>
    <col min="10" max="10" width="8.33203125" style="2" customWidth="1"/>
    <col min="11" max="11" width="8" style="2" customWidth="1"/>
    <col min="12" max="12" width="8" style="2" hidden="1" customWidth="1"/>
    <col min="13" max="13" width="8.33203125" style="2" bestFit="1" customWidth="1"/>
    <col min="14" max="14" width="7.6640625" style="2" bestFit="1" customWidth="1"/>
    <col min="15" max="15" width="8.109375" style="2" customWidth="1"/>
    <col min="16" max="16" width="10.44140625" style="2" customWidth="1"/>
    <col min="17" max="17" width="10.6640625" style="2" customWidth="1"/>
    <col min="18" max="20" width="8.109375" style="2" customWidth="1"/>
    <col min="21" max="21" width="8.6640625" style="2" customWidth="1"/>
    <col min="22" max="22" width="8.109375" style="2" customWidth="1"/>
    <col min="23" max="23" width="11.109375" style="2" customWidth="1"/>
    <col min="24" max="25" width="7.33203125" style="2" bestFit="1" customWidth="1"/>
    <col min="26" max="26" width="8.6640625" style="2" customWidth="1"/>
    <col min="27" max="27" width="21.77734375" style="2" hidden="1" customWidth="1" outlineLevel="1"/>
    <col min="28" max="28" width="25.77734375" style="2" hidden="1" customWidth="1" outlineLevel="1"/>
    <col min="29" max="29" width="25.109375" style="2" hidden="1" customWidth="1" outlineLevel="1"/>
    <col min="30" max="30" width="8.88671875" style="2" collapsed="1"/>
    <col min="31" max="32" width="8.88671875" style="2"/>
    <col min="33" max="34" width="8.77734375" style="2" customWidth="1"/>
    <col min="35" max="16384" width="8.88671875" style="2"/>
  </cols>
  <sheetData>
    <row r="1" spans="1:30" ht="28.5" customHeight="1" x14ac:dyDescent="0.25">
      <c r="A1" s="1" t="s">
        <v>0</v>
      </c>
      <c r="B1" s="1" t="s">
        <v>1</v>
      </c>
      <c r="C1" s="1" t="s">
        <v>2</v>
      </c>
      <c r="F1" s="3" t="s">
        <v>3</v>
      </c>
      <c r="G1" s="4" t="s">
        <v>4</v>
      </c>
      <c r="H1" s="5"/>
      <c r="I1" s="6"/>
      <c r="J1" s="4" t="s">
        <v>5</v>
      </c>
      <c r="K1" s="5"/>
      <c r="L1" s="6"/>
      <c r="M1" s="4" t="s">
        <v>6</v>
      </c>
      <c r="N1" s="5"/>
      <c r="O1" s="6"/>
      <c r="P1" s="7" t="s">
        <v>7</v>
      </c>
      <c r="Q1" s="8" t="s">
        <v>8</v>
      </c>
      <c r="R1" s="4" t="s">
        <v>9</v>
      </c>
      <c r="S1" s="5"/>
      <c r="T1" s="6"/>
      <c r="U1" s="4" t="s">
        <v>10</v>
      </c>
      <c r="V1" s="5"/>
      <c r="W1" s="5"/>
      <c r="X1" s="4" t="s">
        <v>11</v>
      </c>
      <c r="Y1" s="5"/>
      <c r="Z1" s="6"/>
      <c r="AA1" s="9" t="s">
        <v>12</v>
      </c>
      <c r="AB1" s="9" t="s">
        <v>13</v>
      </c>
      <c r="AC1" s="9" t="s">
        <v>14</v>
      </c>
    </row>
    <row r="2" spans="1:30" ht="27.6" x14ac:dyDescent="0.25">
      <c r="A2" s="1"/>
      <c r="B2" s="1"/>
      <c r="C2" s="1"/>
      <c r="E2" s="10" t="s">
        <v>15</v>
      </c>
      <c r="F2" s="3"/>
      <c r="G2" s="11" t="s">
        <v>16</v>
      </c>
      <c r="H2" s="12" t="s">
        <v>17</v>
      </c>
      <c r="I2" s="13" t="s">
        <v>18</v>
      </c>
      <c r="J2" s="14" t="s">
        <v>16</v>
      </c>
      <c r="K2" s="12" t="s">
        <v>17</v>
      </c>
      <c r="L2" s="12" t="s">
        <v>18</v>
      </c>
      <c r="M2" s="11" t="s">
        <v>16</v>
      </c>
      <c r="N2" s="12" t="s">
        <v>17</v>
      </c>
      <c r="O2" s="13" t="s">
        <v>18</v>
      </c>
      <c r="P2" s="11" t="s">
        <v>16</v>
      </c>
      <c r="Q2" s="15"/>
      <c r="R2" s="11" t="s">
        <v>16</v>
      </c>
      <c r="S2" s="12" t="s">
        <v>17</v>
      </c>
      <c r="T2" s="13" t="s">
        <v>18</v>
      </c>
      <c r="U2" s="16" t="s">
        <v>16</v>
      </c>
      <c r="V2" s="16" t="s">
        <v>17</v>
      </c>
      <c r="W2" s="16" t="s">
        <v>18</v>
      </c>
      <c r="X2" s="17" t="s">
        <v>19</v>
      </c>
      <c r="Y2" s="16" t="s">
        <v>20</v>
      </c>
      <c r="Z2" s="18" t="s">
        <v>21</v>
      </c>
      <c r="AA2" s="16" t="s">
        <v>22</v>
      </c>
      <c r="AB2" s="16" t="s">
        <v>22</v>
      </c>
      <c r="AC2" s="16" t="s">
        <v>22</v>
      </c>
    </row>
    <row r="3" spans="1:30" hidden="1" outlineLevel="1" x14ac:dyDescent="0.25">
      <c r="A3" s="19" t="s">
        <v>23</v>
      </c>
      <c r="E3" s="10"/>
      <c r="F3" s="19" t="s">
        <v>24</v>
      </c>
      <c r="G3" s="20" t="s">
        <v>25</v>
      </c>
      <c r="I3" s="21"/>
      <c r="J3" s="22" t="s">
        <v>26</v>
      </c>
      <c r="K3" s="22" t="s">
        <v>27</v>
      </c>
      <c r="L3" s="22"/>
      <c r="M3" s="20" t="s">
        <v>28</v>
      </c>
      <c r="O3" s="21"/>
      <c r="P3" s="23" t="s">
        <v>29</v>
      </c>
      <c r="Q3" s="23" t="s">
        <v>30</v>
      </c>
      <c r="R3" s="20" t="s">
        <v>31</v>
      </c>
      <c r="T3" s="21"/>
      <c r="X3" s="24"/>
      <c r="Z3" s="21"/>
      <c r="AA3" s="25" t="s">
        <v>32</v>
      </c>
      <c r="AB3" s="26" t="s">
        <v>33</v>
      </c>
      <c r="AC3" s="26" t="s">
        <v>34</v>
      </c>
      <c r="AD3" s="26"/>
    </row>
    <row r="4" spans="1:30" hidden="1" outlineLevel="1" x14ac:dyDescent="0.25">
      <c r="E4" s="10"/>
      <c r="F4" s="19"/>
      <c r="G4" s="20"/>
      <c r="I4" s="21"/>
      <c r="J4" s="22"/>
      <c r="K4" s="22"/>
      <c r="L4" s="22"/>
      <c r="M4" s="20"/>
      <c r="O4" s="21"/>
      <c r="P4" s="23" t="s">
        <v>35</v>
      </c>
      <c r="Q4" s="23" t="s">
        <v>36</v>
      </c>
      <c r="T4" s="21"/>
      <c r="U4" s="27" t="s">
        <v>37</v>
      </c>
      <c r="X4" s="28"/>
      <c r="Y4" s="29"/>
      <c r="Z4" s="30"/>
      <c r="AA4" s="25" t="s">
        <v>38</v>
      </c>
    </row>
    <row r="5" spans="1:30" ht="16.8" collapsed="1" x14ac:dyDescent="0.25">
      <c r="D5" s="31" t="s">
        <v>39</v>
      </c>
      <c r="E5" s="32"/>
      <c r="F5" s="33"/>
      <c r="G5" s="34"/>
      <c r="H5" s="35"/>
      <c r="I5" s="36"/>
      <c r="J5" s="35"/>
      <c r="K5" s="35"/>
      <c r="L5" s="35"/>
      <c r="M5" s="34"/>
      <c r="N5" s="35"/>
      <c r="O5" s="36"/>
      <c r="P5" s="35"/>
      <c r="Q5" s="35"/>
      <c r="R5" s="35"/>
      <c r="S5" s="35"/>
      <c r="T5" s="36"/>
      <c r="U5" s="35"/>
      <c r="V5" s="35"/>
      <c r="W5" s="35"/>
      <c r="X5" s="35"/>
      <c r="Y5" s="35"/>
      <c r="Z5" s="35"/>
      <c r="AA5" s="35"/>
      <c r="AB5" s="35"/>
      <c r="AC5" s="35"/>
    </row>
    <row r="6" spans="1:30" ht="13.8" x14ac:dyDescent="0.25">
      <c r="A6" s="37" t="e">
        <f ca="1">_xll.SNL.Clients.Office.Excel.Functions.SPG($E6, A$3)</f>
        <v>#NAME?</v>
      </c>
      <c r="B6" s="38" t="e">
        <f ca="1">_xll.SNL.Clients.Office.Excel.Functions.SPG($E6, "IQ_TEV", "Options: Curr=USD")</f>
        <v>#NAME?</v>
      </c>
      <c r="C6" s="38" t="e">
        <f ca="1">_xll.SNL.Clients.Office.Excel.Functions.SPG($E6, "SP_MARKETCAP", "Options: Curr=USD")</f>
        <v>#NAME?</v>
      </c>
      <c r="D6" s="39" t="s">
        <v>40</v>
      </c>
      <c r="E6" s="40" t="s">
        <v>41</v>
      </c>
      <c r="F6" s="41" t="e" cm="1">
        <f t="array" aca="1" ref="F6" ca="1">_xll.SNL.Clients.Office.Excel.Functions.SPG($E6, $F$3)/100</f>
        <v>#NAME?</v>
      </c>
      <c r="G6" s="42" t="e" cm="1">
        <f t="array" aca="1" ref="G6" ca="1">_xll.SNL.Clients.Office.Excel.Functions.SPG($E6, "SP_PCFPS_FWD",G$2)</f>
        <v>#NAME?</v>
      </c>
      <c r="H6" s="43" t="e" cm="1">
        <f t="array" aca="1" ref="H6" ca="1">_xll.SNL.Clients.Office.Excel.Functions.SPG($E6, "SP_PCFPS_FWD",H$2)</f>
        <v>#NAME?</v>
      </c>
      <c r="I6" s="44" t="e" cm="1">
        <f t="array" aca="1" ref="I6" ca="1">_xll.SNL.Clients.Office.Excel.Functions.SPG($E6, "SP_PCFPS_FWD",I$2)</f>
        <v>#NAME?</v>
      </c>
      <c r="J6" s="45" t="str">
        <f ca="1">IFERROR(_xll.SNL.Clients.Office.Excel.Functions.SPG($E6, "SP_FCF_EST",J$2, "Options: Curr=USD")/1000/C6,"NA")</f>
        <v>NA</v>
      </c>
      <c r="K6" s="45" t="str">
        <f ca="1">IFERROR(_xll.SNL.Clients.Office.Excel.Functions.SPG($E6, "SP_FCF_EST",K$2, "Options: Curr=USD")/1000/C6,"NA")</f>
        <v>NA</v>
      </c>
      <c r="L6" s="45" t="str">
        <f ca="1">IFERROR(_xll.SNL.Clients.Office.Excel.Functions.SPG($E6, "SP_FCF_EST",L$2, "Options: Curr=USD")/1000/D6,"NA")</f>
        <v>NA</v>
      </c>
      <c r="M6" s="42" t="e" cm="1">
        <f t="array" aca="1" ref="M6" ca="1">_xll.SNL.Clients.Office.Excel.Functions.SPG($E6, "SP_PE_FWD",M$2)</f>
        <v>#NAME?</v>
      </c>
      <c r="N6" s="43" t="e" cm="1">
        <f t="array" aca="1" ref="N6" ca="1">_xll.SNL.Clients.Office.Excel.Functions.SPG($E6, "SP_PE_FWD",N$2)</f>
        <v>#NAME?</v>
      </c>
      <c r="O6" s="44" t="e" cm="1">
        <f t="array" aca="1" ref="O6" ca="1">_xll.SNL.Clients.Office.Excel.Functions.SPG($E6, "SP_PE_FWD",O$2)</f>
        <v>#NAME?</v>
      </c>
      <c r="P6" s="46" t="e" cm="1">
        <f t="array" aca="1" ref="P6" ca="1">IF((_xll.SNL.Clients.Office.Excel.Functions.SPG($E6,$P$3,P$4,"Options: Curr=USD") / _xll.SNL.Clients.Office.Excel.Functions.SPG($E6,"SP_EBITDA_EST",P$2,"Options: Curr=USD")) &lt; 0, "NM", (_xll.SNL.Clients.Office.Excel.Functions.SPG($E6,$P$3,P$4,"Options: Curr=USD") / _xll.SNL.Clients.Office.Excel.Functions.SPG($E6,"SP_EBITDA_EST",P$2,"Options: Curr=USD")))</f>
        <v>#NAME?</v>
      </c>
      <c r="Q6" s="47" t="e" cm="1">
        <f t="array" aca="1" ref="Q6" ca="1">_xll.SNL.Clients.Office.Excel.Functions.SPG($E6, $Q$3,Q$4)</f>
        <v>#NAME?</v>
      </c>
      <c r="R6" s="42" t="e" cm="1">
        <f t="array" aca="1" ref="R6" ca="1">_xll.SNL.Clients.Office.Excel.Functions.SPG($E6, $R$3,R$2)</f>
        <v>#NAME?</v>
      </c>
      <c r="S6" s="48" t="e" cm="1">
        <f t="array" aca="1" ref="S6" ca="1">_xll.SNL.Clients.Office.Excel.Functions.SPG($E6, $R$3,S$2)</f>
        <v>#NAME?</v>
      </c>
      <c r="T6" s="49" t="e" cm="1">
        <f t="array" aca="1" ref="T6" ca="1">_xll.SNL.Clients.Office.Excel.Functions.SPG($E6, $R$3,T$2)</f>
        <v>#NAME?</v>
      </c>
      <c r="U6" s="50" t="e">
        <f ca="1" xml:space="preserve"> IF(ISNUMBER(SEARCH("na",_xll.SNL.Clients.Office.Excel.Functions.SPG($E6, $U$4, U$2))), 0,_xll.SNL.Clients.Office.Excel.Functions.SPG($E6, $U$4, U$2))</f>
        <v>#NAME?</v>
      </c>
      <c r="V6" s="50" t="e">
        <f ca="1" xml:space="preserve"> IF(ISNUMBER(SEARCH("na",_xll.SNL.Clients.Office.Excel.Functions.SPG($E6, $U$4, V$2))), 0,_xll.SNL.Clients.Office.Excel.Functions.SPG($E6, $U$4, V$2))</f>
        <v>#NAME?</v>
      </c>
      <c r="W6" s="50" t="e">
        <f ca="1" xml:space="preserve"> IF(ISNUMBER(SEARCH("na",_xll.SNL.Clients.Office.Excel.Functions.SPG($E6, $U$4, W$2))), 0,_xll.SNL.Clients.Office.Excel.Functions.SPG($E6, $U$4, W$2))</f>
        <v>#NAME?</v>
      </c>
      <c r="X6" s="51" t="str">
        <f t="shared" ref="X6:Z11" ca="1" si="0">IFERROR($B6/U6,"NA")</f>
        <v>NA</v>
      </c>
      <c r="Y6" s="52" t="str">
        <f t="shared" ca="1" si="0"/>
        <v>NA</v>
      </c>
      <c r="Z6" s="53" t="str">
        <f t="shared" ca="1" si="0"/>
        <v>NA</v>
      </c>
      <c r="AA6" s="50">
        <f ca="1">IFERROR(_xll.SNL.Clients.Office.Excel.Functions.SPG($E6, $AA$3, AA$2,$AA$4)/1000,0)</f>
        <v>0</v>
      </c>
      <c r="AB6" s="50">
        <f ca="1">IFERROR(_xll.SNL.Clients.Office.Excel.Functions.SPG($E6, $AB$3, AB$2,$AA$4)/1000,0)</f>
        <v>0</v>
      </c>
      <c r="AC6" s="50">
        <f ca="1">IFERROR(_xll.SNL.Clients.Office.Excel.Functions.SPG($E6, $AC$3, AC$2,$AA$4)/1000,0)</f>
        <v>0</v>
      </c>
    </row>
    <row r="7" spans="1:30" ht="13.8" x14ac:dyDescent="0.25">
      <c r="A7" s="37" t="e">
        <f ca="1">_xll.SNL.Clients.Office.Excel.Functions.SPG($E7, A$3)</f>
        <v>#NAME?</v>
      </c>
      <c r="B7" s="38" t="e">
        <f ca="1">_xll.SNL.Clients.Office.Excel.Functions.SPG($E7, "IQ_TEV", "Options: Curr=USD")</f>
        <v>#NAME?</v>
      </c>
      <c r="C7" s="38" t="e">
        <f ca="1">_xll.SNL.Clients.Office.Excel.Functions.SPG($E7, "SP_MARKETCAP", "Options: Curr=USD")</f>
        <v>#NAME?</v>
      </c>
      <c r="D7" s="39" t="s">
        <v>42</v>
      </c>
      <c r="E7" s="40" t="s">
        <v>43</v>
      </c>
      <c r="F7" s="41" t="e" cm="1">
        <f t="array" aca="1" ref="F7" ca="1">_xll.SNL.Clients.Office.Excel.Functions.SPG($E7, $F$3)/100</f>
        <v>#NAME?</v>
      </c>
      <c r="G7" s="42" t="e" cm="1">
        <f t="array" aca="1" ref="G7" ca="1">_xll.SNL.Clients.Office.Excel.Functions.SPG($E7, "SP_PCFPS_FWD",G$2)</f>
        <v>#NAME?</v>
      </c>
      <c r="H7" s="43" t="e" cm="1">
        <f t="array" aca="1" ref="H7" ca="1">_xll.SNL.Clients.Office.Excel.Functions.SPG($E7, "SP_PCFPS_FWD",H$2)</f>
        <v>#NAME?</v>
      </c>
      <c r="I7" s="44" t="e" cm="1">
        <f t="array" aca="1" ref="I7" ca="1">_xll.SNL.Clients.Office.Excel.Functions.SPG($E7, "SP_PCFPS_FWD",I$2)</f>
        <v>#NAME?</v>
      </c>
      <c r="J7" s="45" t="str">
        <f ca="1">IFERROR(_xll.SNL.Clients.Office.Excel.Functions.SPG($E7, "SP_FCF_EST",J$2, "Options: Curr=USD")/1000/C7,"NA")</f>
        <v>NA</v>
      </c>
      <c r="K7" s="45" t="str">
        <f ca="1">IFERROR(_xll.SNL.Clients.Office.Excel.Functions.SPG($E7, "SP_FCF_EST",K$2, "Options: Curr=USD")/1000/C7,"NA")</f>
        <v>NA</v>
      </c>
      <c r="L7" s="45" t="str">
        <f ca="1">IFERROR(_xll.SNL.Clients.Office.Excel.Functions.SPG($E7, "SP_FCF_EST",L$2, "Options: Curr=USD")/1000/D7,"NA")</f>
        <v>NA</v>
      </c>
      <c r="M7" s="42" t="e" cm="1">
        <f t="array" aca="1" ref="M7" ca="1">_xll.SNL.Clients.Office.Excel.Functions.SPG($E7, "SP_PE_FWD",M$2)</f>
        <v>#NAME?</v>
      </c>
      <c r="N7" s="43" t="e" cm="1">
        <f t="array" aca="1" ref="N7" ca="1">_xll.SNL.Clients.Office.Excel.Functions.SPG($E7, "SP_PE_FWD",N$2)</f>
        <v>#NAME?</v>
      </c>
      <c r="O7" s="44" t="e" cm="1">
        <f t="array" aca="1" ref="O7" ca="1">_xll.SNL.Clients.Office.Excel.Functions.SPG($E7, "SP_PE_FWD",O$2)</f>
        <v>#NAME?</v>
      </c>
      <c r="P7" s="54" t="e" cm="1">
        <f t="array" aca="1" ref="P7" ca="1">IF((_xll.SNL.Clients.Office.Excel.Functions.SPG($E7,$P$3,P$4,"Options: Curr=USD") / _xll.SNL.Clients.Office.Excel.Functions.SPG($E7,"SP_EBITDA_EST",P$2,"Options: Curr=USD")) &lt; 0, "NM", (_xll.SNL.Clients.Office.Excel.Functions.SPG($E7,$P$3,P$4,"Options: Curr=USD") / _xll.SNL.Clients.Office.Excel.Functions.SPG($E7,"SP_EBITDA_EST",P$2,"Options: Curr=USD")))</f>
        <v>#NAME?</v>
      </c>
      <c r="Q7" s="55" t="e" cm="1">
        <f t="array" aca="1" ref="Q7" ca="1">_xll.SNL.Clients.Office.Excel.Functions.SPG($E7, $Q$3,Q$4)</f>
        <v>#NAME?</v>
      </c>
      <c r="R7" s="43" t="e" cm="1">
        <f t="array" aca="1" ref="R7" ca="1">_xll.SNL.Clients.Office.Excel.Functions.SPG($E7, $R$3,R$2)</f>
        <v>#NAME?</v>
      </c>
      <c r="S7" s="43" t="e" cm="1">
        <f t="array" aca="1" ref="S7" ca="1">_xll.SNL.Clients.Office.Excel.Functions.SPG($E7, $R$3,S$2)</f>
        <v>#NAME?</v>
      </c>
      <c r="T7" s="44" t="e" cm="1">
        <f t="array" aca="1" ref="T7" ca="1">_xll.SNL.Clients.Office.Excel.Functions.SPG($E7, $R$3,T$2)</f>
        <v>#NAME?</v>
      </c>
      <c r="U7" s="50" t="e">
        <f ca="1" xml:space="preserve"> IF(ISNUMBER(SEARCH("na",_xll.SNL.Clients.Office.Excel.Functions.SPG($E7, $U$4, U$2))), 0,_xll.SNL.Clients.Office.Excel.Functions.SPG($E7, $U$4, U$2))</f>
        <v>#NAME?</v>
      </c>
      <c r="V7" s="50" t="e">
        <f ca="1" xml:space="preserve"> IF(ISNUMBER(SEARCH("na",_xll.SNL.Clients.Office.Excel.Functions.SPG($E7, $U$4, V$2))), 0,_xll.SNL.Clients.Office.Excel.Functions.SPG($E7, $U$4, V$2))</f>
        <v>#NAME?</v>
      </c>
      <c r="W7" s="50" t="e">
        <f ca="1" xml:space="preserve"> IF(ISNUMBER(SEARCH("na",_xll.SNL.Clients.Office.Excel.Functions.SPG($E7, $U$4, W$2))), 0,_xll.SNL.Clients.Office.Excel.Functions.SPG($E7, $U$4, W$2))</f>
        <v>#NAME?</v>
      </c>
      <c r="X7" s="56" t="str">
        <f t="shared" ca="1" si="0"/>
        <v>NA</v>
      </c>
      <c r="Y7" s="57" t="str">
        <f t="shared" ca="1" si="0"/>
        <v>NA</v>
      </c>
      <c r="Z7" s="58" t="str">
        <f t="shared" ca="1" si="0"/>
        <v>NA</v>
      </c>
      <c r="AA7" s="50">
        <f ca="1">IFERROR(_xll.SNL.Clients.Office.Excel.Functions.SPG($E7, $AA$3, AA$2,$AA$4)/1000,0)</f>
        <v>0</v>
      </c>
      <c r="AB7" s="50">
        <f ca="1">IFERROR(_xll.SNL.Clients.Office.Excel.Functions.SPG($E7, $AB$3, AB$2,$AA$4)/1000,0)</f>
        <v>0</v>
      </c>
      <c r="AC7" s="50">
        <f ca="1">IFERROR(_xll.SNL.Clients.Office.Excel.Functions.SPG($E7, $AC$3, AC$2,$AA$4)/1000,0)</f>
        <v>0</v>
      </c>
    </row>
    <row r="8" spans="1:30" ht="13.8" x14ac:dyDescent="0.25">
      <c r="A8" s="37" t="e">
        <f ca="1">_xll.SNL.Clients.Office.Excel.Functions.SPG($E8, A$3)</f>
        <v>#NAME?</v>
      </c>
      <c r="B8" s="38" t="e">
        <f ca="1">_xll.SNL.Clients.Office.Excel.Functions.SPG( "enxtpa:TTE", "iq_TEV", "Options: Curr=USD")</f>
        <v>#NAME?</v>
      </c>
      <c r="C8" s="38" t="e">
        <f ca="1">_xll.SNL.Clients.Office.Excel.Functions.SPG( "enxtpa:TTE", "SP_MARKETCAP", "Options: Curr=USD")</f>
        <v>#NAME?</v>
      </c>
      <c r="D8" s="39" t="s">
        <v>44</v>
      </c>
      <c r="E8" s="40" t="s">
        <v>45</v>
      </c>
      <c r="F8" s="41" t="e" cm="1">
        <f t="array" aca="1" ref="F8" ca="1">_xll.SNL.Clients.Office.Excel.Functions.SPG($E8, $F$3)/100</f>
        <v>#NAME?</v>
      </c>
      <c r="G8" s="42" t="e" cm="1">
        <f t="array" aca="1" ref="G8" ca="1">_xll.SNL.Clients.Office.Excel.Functions.SPG($E8, "SP_PCFPS_FWD",G$2)</f>
        <v>#NAME?</v>
      </c>
      <c r="H8" s="43" t="e" cm="1">
        <f t="array" aca="1" ref="H8" ca="1">_xll.SNL.Clients.Office.Excel.Functions.SPG($E8, "SP_PCFPS_FWD",H$2)</f>
        <v>#NAME?</v>
      </c>
      <c r="I8" s="44" t="e" cm="1">
        <f t="array" aca="1" ref="I8" ca="1">_xll.SNL.Clients.Office.Excel.Functions.SPG($E8, "SP_PCFPS_FWD",I$2)</f>
        <v>#NAME?</v>
      </c>
      <c r="J8" s="45" t="str">
        <f ca="1">IFERROR(_xll.SNL.Clients.Office.Excel.Functions.SPG($E8, "SP_FCF_EST",J$2, "Options: Curr=USD")/1000/C8,"NA")</f>
        <v>NA</v>
      </c>
      <c r="K8" s="45" t="str">
        <f ca="1">IFERROR(_xll.SNL.Clients.Office.Excel.Functions.SPG($E8, "SP_FCF_EST",K$2, "Options: Curr=USD")/1000/C8,"NA")</f>
        <v>NA</v>
      </c>
      <c r="L8" s="45" t="str">
        <f ca="1">IFERROR(_xll.SNL.Clients.Office.Excel.Functions.SPG($E8, "SP_FCF_EST",L$2, "Options: Curr=USD")/1000/D8,"NA")</f>
        <v>NA</v>
      </c>
      <c r="M8" s="42" t="e" cm="1">
        <f t="array" aca="1" ref="M8" ca="1">_xll.SNL.Clients.Office.Excel.Functions.SPG($E8, "SP_PE_FWD",M$2)</f>
        <v>#NAME?</v>
      </c>
      <c r="N8" s="43" t="e" cm="1">
        <f t="array" aca="1" ref="N8" ca="1">_xll.SNL.Clients.Office.Excel.Functions.SPG($E8, "SP_PE_FWD",N$2)</f>
        <v>#NAME?</v>
      </c>
      <c r="O8" s="44" t="e" cm="1">
        <f t="array" aca="1" ref="O8" ca="1">_xll.SNL.Clients.Office.Excel.Functions.SPG($E8, "SP_PE_FWD",O$2)</f>
        <v>#NAME?</v>
      </c>
      <c r="P8" s="54" t="e" cm="1">
        <f t="array" aca="1" ref="P8" ca="1">IF((_xll.SNL.Clients.Office.Excel.Functions.SPG($E8,$P$3,P$4,"Options: Curr=USD") / _xll.SNL.Clients.Office.Excel.Functions.SPG($E8,"SP_EBITDA_EST",P$2,"Options: Curr=USD")) &lt; 0, "NM", (_xll.SNL.Clients.Office.Excel.Functions.SPG($E8,$P$3,P$4,"Options: Curr=USD") / _xll.SNL.Clients.Office.Excel.Functions.SPG($E8,"SP_EBITDA_EST",P$2,"Options: Curr=USD")))</f>
        <v>#NAME?</v>
      </c>
      <c r="Q8" s="55" t="e" cm="1">
        <f t="array" aca="1" ref="Q8" ca="1">_xll.SNL.Clients.Office.Excel.Functions.SPG($E8, $Q$3,Q$4)</f>
        <v>#NAME?</v>
      </c>
      <c r="R8" s="43" t="e" cm="1">
        <f t="array" aca="1" ref="R8" ca="1">_xll.SNL.Clients.Office.Excel.Functions.SPG($E8, $R$3,R$2)</f>
        <v>#NAME?</v>
      </c>
      <c r="S8" s="43" t="e" cm="1">
        <f t="array" aca="1" ref="S8" ca="1">_xll.SNL.Clients.Office.Excel.Functions.SPG($E8, $R$3,S$2)</f>
        <v>#NAME?</v>
      </c>
      <c r="T8" s="44" t="e" cm="1">
        <f t="array" aca="1" ref="T8" ca="1">_xll.SNL.Clients.Office.Excel.Functions.SPG($E8, $R$3,T$2)</f>
        <v>#NAME?</v>
      </c>
      <c r="U8" s="50" t="e">
        <f ca="1" xml:space="preserve"> IF(ISNUMBER(SEARCH("na",_xll.SNL.Clients.Office.Excel.Functions.SPG($E8, $U$4, U$2))), 0,_xll.SNL.Clients.Office.Excel.Functions.SPG($E8, $U$4, U$2))</f>
        <v>#NAME?</v>
      </c>
      <c r="V8" s="50" t="e">
        <f ca="1" xml:space="preserve"> IF(ISNUMBER(SEARCH("na",_xll.SNL.Clients.Office.Excel.Functions.SPG($E8, $U$4, V$2))), 0,_xll.SNL.Clients.Office.Excel.Functions.SPG($E8, $U$4, V$2))</f>
        <v>#NAME?</v>
      </c>
      <c r="W8" s="50" t="e">
        <f ca="1" xml:space="preserve"> IF(ISNUMBER(SEARCH("na",_xll.SNL.Clients.Office.Excel.Functions.SPG($E8, $U$4, W$2))), 0,_xll.SNL.Clients.Office.Excel.Functions.SPG($E8, $U$4, W$2))</f>
        <v>#NAME?</v>
      </c>
      <c r="X8" s="56" t="str">
        <f t="shared" ca="1" si="0"/>
        <v>NA</v>
      </c>
      <c r="Y8" s="57" t="str">
        <f t="shared" ca="1" si="0"/>
        <v>NA</v>
      </c>
      <c r="Z8" s="58" t="str">
        <f t="shared" ca="1" si="0"/>
        <v>NA</v>
      </c>
      <c r="AA8" s="50">
        <f ca="1">IFERROR(_xll.SNL.Clients.Office.Excel.Functions.SPG($E8, $AA$3, AA$2,$AA$4)/1000,0)</f>
        <v>0</v>
      </c>
      <c r="AB8" s="50">
        <f ca="1">IFERROR(_xll.SNL.Clients.Office.Excel.Functions.SPG($E8, $AB$3, AB$2,$AA$4)/1000,0)</f>
        <v>0</v>
      </c>
      <c r="AC8" s="50">
        <f ca="1">IFERROR(_xll.SNL.Clients.Office.Excel.Functions.SPG($E8, $AC$3, AC$2,$AA$4)/1000,0)</f>
        <v>0</v>
      </c>
    </row>
    <row r="9" spans="1:30" ht="13.8" x14ac:dyDescent="0.25">
      <c r="A9" s="37" t="e">
        <f ca="1">_xll.SNL.Clients.Office.Excel.Functions.SPG($E9, A$3)</f>
        <v>#NAME?</v>
      </c>
      <c r="B9" s="38" t="e">
        <f ca="1">_xll.SNL.Clients.Office.Excel.Functions.SPG($E9, "IQ_TEV", "Options: Curr=USD")</f>
        <v>#NAME?</v>
      </c>
      <c r="C9" s="38" t="e">
        <f ca="1">_xll.SNL.Clients.Office.Excel.Functions.SPG($E9, "SP_MARKETCAP", "Options: Curr=USD")</f>
        <v>#NAME?</v>
      </c>
      <c r="D9" s="39" t="s">
        <v>46</v>
      </c>
      <c r="E9" s="40" t="s">
        <v>47</v>
      </c>
      <c r="F9" s="41" t="e" cm="1">
        <f t="array" aca="1" ref="F9" ca="1">_xll.SNL.Clients.Office.Excel.Functions.SPG($E9, $F$3)/100</f>
        <v>#NAME?</v>
      </c>
      <c r="G9" s="42" t="e" cm="1">
        <f t="array" aca="1" ref="G9" ca="1">_xll.SNL.Clients.Office.Excel.Functions.SPG($E9, "SP_PCFPS_FWD",G$2)</f>
        <v>#NAME?</v>
      </c>
      <c r="H9" s="43" t="e" cm="1">
        <f t="array" aca="1" ref="H9" ca="1">_xll.SNL.Clients.Office.Excel.Functions.SPG($E9, "SP_PCFPS_FWD",H$2)</f>
        <v>#NAME?</v>
      </c>
      <c r="I9" s="44" t="e" cm="1">
        <f t="array" aca="1" ref="I9" ca="1">_xll.SNL.Clients.Office.Excel.Functions.SPG($E9, "SP_PCFPS_FWD",I$2)</f>
        <v>#NAME?</v>
      </c>
      <c r="J9" s="45" t="str">
        <f ca="1">IFERROR(_xll.SNL.Clients.Office.Excel.Functions.SPG($E9, "SP_FCF_EST",J$2, "Options: Curr=USD")/1000/C9,"NA")</f>
        <v>NA</v>
      </c>
      <c r="K9" s="45" t="str">
        <f ca="1">IFERROR(_xll.SNL.Clients.Office.Excel.Functions.SPG($E9, "SP_FCF_EST",K$2, "Options: Curr=USD")/1000/C9,"NA")</f>
        <v>NA</v>
      </c>
      <c r="L9" s="45" t="str">
        <f ca="1">IFERROR(_xll.SNL.Clients.Office.Excel.Functions.SPG($E9, "SP_FCF_EST",L$2, "Options: Curr=USD")/1000/D9,"NA")</f>
        <v>NA</v>
      </c>
      <c r="M9" s="42" t="e" cm="1">
        <f t="array" aca="1" ref="M9" ca="1">_xll.SNL.Clients.Office.Excel.Functions.SPG($E9, "SP_PE_FWD",M$2)</f>
        <v>#NAME?</v>
      </c>
      <c r="N9" s="43" t="e" cm="1">
        <f t="array" aca="1" ref="N9" ca="1">_xll.SNL.Clients.Office.Excel.Functions.SPG($E9, "SP_PE_FWD",N$2)</f>
        <v>#NAME?</v>
      </c>
      <c r="O9" s="44" t="e" cm="1">
        <f t="array" aca="1" ref="O9" ca="1">_xll.SNL.Clients.Office.Excel.Functions.SPG($E9, "SP_PE_FWD",O$2)</f>
        <v>#NAME?</v>
      </c>
      <c r="P9" s="54" t="e" cm="1">
        <f t="array" aca="1" ref="P9" ca="1">IF((_xll.SNL.Clients.Office.Excel.Functions.SPG($E9,$P$3,P$4,"Options: Curr=USD") / _xll.SNL.Clients.Office.Excel.Functions.SPG($E9,"SP_EBITDA_EST",P$2,"Options: Curr=USD")) &lt; 0, "NM", (_xll.SNL.Clients.Office.Excel.Functions.SPG($E9,$P$3,P$4,"Options: Curr=USD") / _xll.SNL.Clients.Office.Excel.Functions.SPG($E9,"SP_EBITDA_EST",P$2,"Options: Curr=USD")))</f>
        <v>#NAME?</v>
      </c>
      <c r="Q9" s="55" t="e" cm="1">
        <f t="array" aca="1" ref="Q9" ca="1">_xll.SNL.Clients.Office.Excel.Functions.SPG($E9, $Q$3,Q$4)</f>
        <v>#NAME?</v>
      </c>
      <c r="R9" s="43" t="e" cm="1">
        <f t="array" aca="1" ref="R9" ca="1">_xll.SNL.Clients.Office.Excel.Functions.SPG($E9, $R$3,R$2)</f>
        <v>#NAME?</v>
      </c>
      <c r="S9" s="43" t="e" cm="1">
        <f t="array" aca="1" ref="S9" ca="1">_xll.SNL.Clients.Office.Excel.Functions.SPG($E9, $R$3,S$2)</f>
        <v>#NAME?</v>
      </c>
      <c r="T9" s="44" t="e" cm="1">
        <f t="array" aca="1" ref="T9" ca="1">_xll.SNL.Clients.Office.Excel.Functions.SPG($E9, $R$3,T$2)</f>
        <v>#NAME?</v>
      </c>
      <c r="U9" s="50" t="e">
        <f ca="1" xml:space="preserve"> IF(ISNUMBER(SEARCH("na",_xll.SNL.Clients.Office.Excel.Functions.SPG($E9, $U$4, U$2))), 0,_xll.SNL.Clients.Office.Excel.Functions.SPG($E9, $U$4, U$2))</f>
        <v>#NAME?</v>
      </c>
      <c r="V9" s="50" t="e">
        <f ca="1" xml:space="preserve"> IF(ISNUMBER(SEARCH("na",_xll.SNL.Clients.Office.Excel.Functions.SPG($E9, $U$4, V$2))), 0,_xll.SNL.Clients.Office.Excel.Functions.SPG($E9, $U$4, V$2))</f>
        <v>#NAME?</v>
      </c>
      <c r="W9" s="50" t="e">
        <f ca="1" xml:space="preserve"> IF(ISNUMBER(SEARCH("na",_xll.SNL.Clients.Office.Excel.Functions.SPG($E9, $U$4, W$2))), 0,_xll.SNL.Clients.Office.Excel.Functions.SPG($E9, $U$4, W$2))</f>
        <v>#NAME?</v>
      </c>
      <c r="X9" s="56" t="str">
        <f t="shared" ca="1" si="0"/>
        <v>NA</v>
      </c>
      <c r="Y9" s="57" t="str">
        <f t="shared" ca="1" si="0"/>
        <v>NA</v>
      </c>
      <c r="Z9" s="58" t="str">
        <f t="shared" ca="1" si="0"/>
        <v>NA</v>
      </c>
      <c r="AA9" s="50"/>
      <c r="AB9" s="50"/>
      <c r="AC9" s="50"/>
    </row>
    <row r="10" spans="1:30" ht="13.8" x14ac:dyDescent="0.25">
      <c r="A10" s="37" t="e">
        <f ca="1">_xll.SNL.Clients.Office.Excel.Functions.SPG($E10, A$3)</f>
        <v>#NAME?</v>
      </c>
      <c r="B10" s="38" t="e">
        <f ca="1">_xll.SNL.Clients.Office.Excel.Functions.SPG($E10, "IQ_TEV", "Options: Curr=USD")</f>
        <v>#NAME?</v>
      </c>
      <c r="C10" s="38" t="e">
        <f ca="1">_xll.SNL.Clients.Office.Excel.Functions.SPG($E10, "SP_MARKETCAP", "Options: Curr=USD")</f>
        <v>#NAME?</v>
      </c>
      <c r="D10" s="39" t="s">
        <v>48</v>
      </c>
      <c r="E10" s="40" t="s">
        <v>49</v>
      </c>
      <c r="F10" s="41" t="e" cm="1">
        <f t="array" aca="1" ref="F10" ca="1">_xll.SNL.Clients.Office.Excel.Functions.SPG($E10, $F$3)/100</f>
        <v>#NAME?</v>
      </c>
      <c r="G10" s="42" t="e" cm="1">
        <f t="array" aca="1" ref="G10" ca="1">_xll.SNL.Clients.Office.Excel.Functions.SPG($E10, "SP_PCFPS_FWD",G$2)</f>
        <v>#NAME?</v>
      </c>
      <c r="H10" s="43" t="e" cm="1">
        <f t="array" aca="1" ref="H10" ca="1">_xll.SNL.Clients.Office.Excel.Functions.SPG($E10, "SP_PCFPS_FWD",H$2)</f>
        <v>#NAME?</v>
      </c>
      <c r="I10" s="44" t="e" cm="1">
        <f t="array" aca="1" ref="I10" ca="1">_xll.SNL.Clients.Office.Excel.Functions.SPG($E10, "SP_PCFPS_FWD",I$2)</f>
        <v>#NAME?</v>
      </c>
      <c r="J10" s="45" t="str">
        <f ca="1">IFERROR(_xll.SNL.Clients.Office.Excel.Functions.SPG($E10, "SP_FCF_EST",J$2, "Options: Curr=USD")/1000/C10,"NA")</f>
        <v>NA</v>
      </c>
      <c r="K10" s="45" t="str">
        <f ca="1">IFERROR(_xll.SNL.Clients.Office.Excel.Functions.SPG($E10, "SP_FCF_EST",K$2, "Options: Curr=USD")/1000/C10,"NA")</f>
        <v>NA</v>
      </c>
      <c r="L10" s="45" t="str">
        <f ca="1">IFERROR(_xll.SNL.Clients.Office.Excel.Functions.SPG($E10, "SP_FCF_EST",L$2, "Options: Curr=USD")/1000/D10,"NA")</f>
        <v>NA</v>
      </c>
      <c r="M10" s="42" t="e" cm="1">
        <f t="array" aca="1" ref="M10" ca="1">_xll.SNL.Clients.Office.Excel.Functions.SPG($E10, "SP_PE_FWD",M$2)</f>
        <v>#NAME?</v>
      </c>
      <c r="N10" s="43" t="e" cm="1">
        <f t="array" aca="1" ref="N10" ca="1">_xll.SNL.Clients.Office.Excel.Functions.SPG($E10, "SP_PE_FWD",N$2)</f>
        <v>#NAME?</v>
      </c>
      <c r="O10" s="44" t="e" cm="1">
        <f t="array" aca="1" ref="O10" ca="1">_xll.SNL.Clients.Office.Excel.Functions.SPG($E10, "SP_PE_FWD",O$2)</f>
        <v>#NAME?</v>
      </c>
      <c r="P10" s="54" t="e" cm="1">
        <f t="array" aca="1" ref="P10" ca="1">IF((_xll.SNL.Clients.Office.Excel.Functions.SPG($E10,$P$3,P$4,"Options: Curr=USD") / _xll.SNL.Clients.Office.Excel.Functions.SPG($E10,"SP_EBITDA_EST",P$2,"Options: Curr=USD")) &lt; 0, "NM", (_xll.SNL.Clients.Office.Excel.Functions.SPG($E10,$P$3,P$4,"Options: Curr=USD") / _xll.SNL.Clients.Office.Excel.Functions.SPG($E10,"SP_EBITDA_EST",P$2,"Options: Curr=USD")))</f>
        <v>#NAME?</v>
      </c>
      <c r="Q10" s="55" t="e" cm="1">
        <f t="array" aca="1" ref="Q10" ca="1">_xll.SNL.Clients.Office.Excel.Functions.SPG($E10, $Q$3,Q$4)</f>
        <v>#NAME?</v>
      </c>
      <c r="R10" s="43" t="e" cm="1">
        <f t="array" aca="1" ref="R10" ca="1">_xll.SNL.Clients.Office.Excel.Functions.SPG($E10, $R$3,R$2)</f>
        <v>#NAME?</v>
      </c>
      <c r="S10" s="43" t="e" cm="1">
        <f t="array" aca="1" ref="S10" ca="1">_xll.SNL.Clients.Office.Excel.Functions.SPG($E10, $R$3,S$2)</f>
        <v>#NAME?</v>
      </c>
      <c r="T10" s="44" t="e" cm="1">
        <f t="array" aca="1" ref="T10" ca="1">_xll.SNL.Clients.Office.Excel.Functions.SPG($E10, $R$3,T$2)</f>
        <v>#NAME?</v>
      </c>
      <c r="U10" s="50" t="e">
        <f ca="1" xml:space="preserve"> IF(ISNUMBER(SEARCH("na",_xll.SNL.Clients.Office.Excel.Functions.SPG($E10, $U$4, U$2))), 0,_xll.SNL.Clients.Office.Excel.Functions.SPG($E10, $U$4, U$2))</f>
        <v>#NAME?</v>
      </c>
      <c r="V10" s="50" t="e">
        <f ca="1" xml:space="preserve"> IF(ISNUMBER(SEARCH("na",_xll.SNL.Clients.Office.Excel.Functions.SPG($E10, $U$4, V$2))), 0,_xll.SNL.Clients.Office.Excel.Functions.SPG($E10, $U$4, V$2))</f>
        <v>#NAME?</v>
      </c>
      <c r="W10" s="50" t="e">
        <f ca="1" xml:space="preserve"> IF(ISNUMBER(SEARCH("na",_xll.SNL.Clients.Office.Excel.Functions.SPG($E10, $U$4, W$2))), 0,_xll.SNL.Clients.Office.Excel.Functions.SPG($E10, $U$4, W$2))</f>
        <v>#NAME?</v>
      </c>
      <c r="X10" s="56" t="str">
        <f t="shared" ca="1" si="0"/>
        <v>NA</v>
      </c>
      <c r="Y10" s="57" t="str">
        <f t="shared" ca="1" si="0"/>
        <v>NA</v>
      </c>
      <c r="Z10" s="58" t="str">
        <f t="shared" ca="1" si="0"/>
        <v>NA</v>
      </c>
      <c r="AA10" s="50"/>
      <c r="AB10" s="50"/>
      <c r="AC10" s="50"/>
    </row>
    <row r="11" spans="1:30" ht="13.8" x14ac:dyDescent="0.25">
      <c r="A11" s="37" t="e">
        <f ca="1">_xll.SNL.Clients.Office.Excel.Functions.SPG($E11, A$3)</f>
        <v>#NAME?</v>
      </c>
      <c r="B11" s="38" t="e">
        <f ca="1">_xll.SNL.Clients.Office.Excel.Functions.SPG($E11, "IQ_TEV", "Options: Curr=USD")</f>
        <v>#NAME?</v>
      </c>
      <c r="C11" s="38" t="e">
        <f ca="1">_xll.SNL.Clients.Office.Excel.Functions.SPG($E11, "SP_MARKETCAP", "Options: Curr=USD")</f>
        <v>#NAME?</v>
      </c>
      <c r="D11" s="39" t="s">
        <v>50</v>
      </c>
      <c r="E11" s="40" t="s">
        <v>51</v>
      </c>
      <c r="F11" s="41" t="e" cm="1">
        <f t="array" aca="1" ref="F11" ca="1">_xll.SNL.Clients.Office.Excel.Functions.SPG($E11, $F$3)/100</f>
        <v>#NAME?</v>
      </c>
      <c r="G11" s="42" t="e" cm="1">
        <f t="array" aca="1" ref="G11" ca="1">_xll.SNL.Clients.Office.Excel.Functions.SPG($E11, "SP_PCFPS_FWD",G$2)</f>
        <v>#NAME?</v>
      </c>
      <c r="H11" s="43" t="e" cm="1">
        <f t="array" aca="1" ref="H11" ca="1">_xll.SNL.Clients.Office.Excel.Functions.SPG($E11, "SP_PCFPS_FWD",H$2)</f>
        <v>#NAME?</v>
      </c>
      <c r="I11" s="44" t="e" cm="1">
        <f t="array" aca="1" ref="I11" ca="1">_xll.SNL.Clients.Office.Excel.Functions.SPG($E11, "SP_PCFPS_FWD",I$2)</f>
        <v>#NAME?</v>
      </c>
      <c r="J11" s="45" t="str">
        <f ca="1">IFERROR(_xll.SNL.Clients.Office.Excel.Functions.SPG($E11, "SP_FCF_EST",J$2, "Options: Curr=USD")/1000/C11,"NA")</f>
        <v>NA</v>
      </c>
      <c r="K11" s="45" t="str">
        <f ca="1">IFERROR(_xll.SNL.Clients.Office.Excel.Functions.SPG($E11, "SP_FCF_EST",K$2, "Options: Curr=USD")/1000/C11,"NA")</f>
        <v>NA</v>
      </c>
      <c r="L11" s="45" t="str">
        <f ca="1">IFERROR(_xll.SNL.Clients.Office.Excel.Functions.SPG($E11, "SP_FCF_EST",L$2, "Options: Curr=USD")/1000/D11,"NA")</f>
        <v>NA</v>
      </c>
      <c r="M11" s="42" t="e" cm="1">
        <f t="array" aca="1" ref="M11" ca="1">_xll.SNL.Clients.Office.Excel.Functions.SPG($E11, "SP_PE_FWD",M$2)</f>
        <v>#NAME?</v>
      </c>
      <c r="N11" s="43" t="e" cm="1">
        <f t="array" aca="1" ref="N11" ca="1">_xll.SNL.Clients.Office.Excel.Functions.SPG($E11, "SP_PE_FWD",N$2)</f>
        <v>#NAME?</v>
      </c>
      <c r="O11" s="44" t="e" cm="1">
        <f t="array" aca="1" ref="O11" ca="1">_xll.SNL.Clients.Office.Excel.Functions.SPG($E11, "SP_PE_FWD",O$2)</f>
        <v>#NAME?</v>
      </c>
      <c r="P11" s="59" t="e" cm="1">
        <f t="array" aca="1" ref="P11" ca="1">IF((_xll.SNL.Clients.Office.Excel.Functions.SPG($E11,$P$3,P$4,"Options: Curr=USD") / _xll.SNL.Clients.Office.Excel.Functions.SPG($E11,"SP_EBITDA_EST",P$2,"Options: Curr=USD")) &lt; 0, "NM", (_xll.SNL.Clients.Office.Excel.Functions.SPG($E11,$P$3,P$4,"Options: Curr=USD") / _xll.SNL.Clients.Office.Excel.Functions.SPG($E11,"SP_EBITDA_EST",P$2,"Options: Curr=USD")))</f>
        <v>#NAME?</v>
      </c>
      <c r="Q11" s="60" t="e" cm="1">
        <f t="array" aca="1" ref="Q11" ca="1">_xll.SNL.Clients.Office.Excel.Functions.SPG($E11, $Q$3,Q$4)</f>
        <v>#NAME?</v>
      </c>
      <c r="R11" s="43" t="e" cm="1">
        <f t="array" aca="1" ref="R11" ca="1">_xll.SNL.Clients.Office.Excel.Functions.SPG($E11, $R$3,R$2)</f>
        <v>#NAME?</v>
      </c>
      <c r="S11" s="43" t="e" cm="1">
        <f t="array" aca="1" ref="S11" ca="1">_xll.SNL.Clients.Office.Excel.Functions.SPG($E11, $R$3,S$2)</f>
        <v>#NAME?</v>
      </c>
      <c r="T11" s="44" t="e" cm="1">
        <f t="array" aca="1" ref="T11" ca="1">_xll.SNL.Clients.Office.Excel.Functions.SPG($E11, $R$3,T$2)</f>
        <v>#NAME?</v>
      </c>
      <c r="U11" s="50" t="e">
        <f ca="1" xml:space="preserve"> IF(ISNUMBER(SEARCH("na",_xll.SNL.Clients.Office.Excel.Functions.SPG($E11, $U$4, U$2))), 0,_xll.SNL.Clients.Office.Excel.Functions.SPG($E11, $U$4, U$2))</f>
        <v>#NAME?</v>
      </c>
      <c r="V11" s="50" t="e">
        <f ca="1" xml:space="preserve"> IF(ISNUMBER(SEARCH("na",_xll.SNL.Clients.Office.Excel.Functions.SPG($E11, $U$4, V$2))), 0,_xll.SNL.Clients.Office.Excel.Functions.SPG($E11, $U$4, V$2))</f>
        <v>#NAME?</v>
      </c>
      <c r="W11" s="50" t="e">
        <f ca="1" xml:space="preserve"> IF(ISNUMBER(SEARCH("na",_xll.SNL.Clients.Office.Excel.Functions.SPG($E11, $U$4, W$2))), 0,_xll.SNL.Clients.Office.Excel.Functions.SPG($E11, $U$4, W$2))</f>
        <v>#NAME?</v>
      </c>
      <c r="X11" s="56" t="str">
        <f t="shared" ca="1" si="0"/>
        <v>NA</v>
      </c>
      <c r="Y11" s="57" t="str">
        <f t="shared" ca="1" si="0"/>
        <v>NA</v>
      </c>
      <c r="Z11" s="58" t="str">
        <f t="shared" ca="1" si="0"/>
        <v>NA</v>
      </c>
      <c r="AA11" s="50"/>
      <c r="AB11" s="50"/>
      <c r="AC11" s="50"/>
    </row>
    <row r="12" spans="1:30" x14ac:dyDescent="0.25">
      <c r="D12" s="61"/>
      <c r="E12" s="61" t="s">
        <v>52</v>
      </c>
      <c r="F12" s="62" t="e">
        <f t="shared" ref="F12:O12" ca="1" si="1">AVERAGE(F5:F7)</f>
        <v>#NAME?</v>
      </c>
      <c r="G12" s="63" t="e">
        <f t="shared" ca="1" si="1"/>
        <v>#NAME?</v>
      </c>
      <c r="H12" s="64" t="e">
        <f t="shared" ca="1" si="1"/>
        <v>#NAME?</v>
      </c>
      <c r="I12" s="65" t="e">
        <f t="shared" ca="1" si="1"/>
        <v>#NAME?</v>
      </c>
      <c r="J12" s="66" t="e">
        <f t="shared" ca="1" si="1"/>
        <v>#DIV/0!</v>
      </c>
      <c r="K12" s="66" t="e">
        <f t="shared" ca="1" si="1"/>
        <v>#DIV/0!</v>
      </c>
      <c r="L12" s="66" t="e">
        <f t="shared" ca="1" si="1"/>
        <v>#DIV/0!</v>
      </c>
      <c r="M12" s="63" t="e">
        <f t="shared" ca="1" si="1"/>
        <v>#NAME?</v>
      </c>
      <c r="N12" s="64" t="e">
        <f t="shared" ca="1" si="1"/>
        <v>#NAME?</v>
      </c>
      <c r="O12" s="65" t="e">
        <f t="shared" ca="1" si="1"/>
        <v>#NAME?</v>
      </c>
      <c r="P12" s="64"/>
      <c r="Q12" s="64"/>
      <c r="R12" s="67" t="e" cm="1">
        <f t="array" aca="1" ref="R12" ca="1">AVERAGE(IFERROR(R6:R7, ""))</f>
        <v>#DIV/0!</v>
      </c>
      <c r="S12" s="67" t="e" cm="1">
        <f t="array" aca="1" ref="S12" ca="1">AVERAGE(IFERROR(S6:S7, ""))</f>
        <v>#DIV/0!</v>
      </c>
      <c r="T12" s="67" t="e" cm="1">
        <f t="array" aca="1" ref="T12" ca="1">AVERAGE(IFERROR(T6:T7, ""))</f>
        <v>#DIV/0!</v>
      </c>
      <c r="U12" s="68" t="e">
        <f t="shared" ref="U12:Z12" ca="1" si="2">AVERAGE(U5:U7)</f>
        <v>#NAME?</v>
      </c>
      <c r="V12" s="68" t="e">
        <f t="shared" ca="1" si="2"/>
        <v>#NAME?</v>
      </c>
      <c r="W12" s="68" t="e">
        <f t="shared" ca="1" si="2"/>
        <v>#NAME?</v>
      </c>
      <c r="X12" s="69" t="e">
        <f t="shared" ca="1" si="2"/>
        <v>#DIV/0!</v>
      </c>
      <c r="Y12" s="68" t="e">
        <f t="shared" ca="1" si="2"/>
        <v>#DIV/0!</v>
      </c>
      <c r="Z12" s="70" t="e">
        <f t="shared" ca="1" si="2"/>
        <v>#DIV/0!</v>
      </c>
      <c r="AA12" s="71"/>
      <c r="AB12" s="71"/>
      <c r="AC12" s="71"/>
    </row>
    <row r="13" spans="1:30" ht="16.8" x14ac:dyDescent="0.25">
      <c r="D13" s="31" t="s">
        <v>53</v>
      </c>
      <c r="E13" s="32"/>
      <c r="F13" s="72"/>
      <c r="G13" s="35"/>
      <c r="H13" s="35"/>
      <c r="I13" s="36"/>
      <c r="J13" s="35"/>
      <c r="K13" s="35"/>
      <c r="L13" s="35"/>
      <c r="M13" s="34"/>
      <c r="N13" s="35"/>
      <c r="O13" s="36"/>
      <c r="P13" s="35"/>
      <c r="Q13" s="35"/>
      <c r="R13" s="35"/>
      <c r="S13" s="35"/>
      <c r="T13" s="36"/>
      <c r="U13" s="35"/>
      <c r="V13" s="35"/>
      <c r="W13" s="35"/>
      <c r="X13" s="35"/>
      <c r="Y13" s="35"/>
      <c r="Z13" s="35"/>
      <c r="AA13" s="35"/>
      <c r="AB13" s="35"/>
      <c r="AC13" s="35"/>
    </row>
    <row r="14" spans="1:30" ht="13.8" x14ac:dyDescent="0.25">
      <c r="A14" s="37" t="e">
        <f ca="1">_xll.SNL.Clients.Office.Excel.Functions.SPG($E14, A$3)</f>
        <v>#NAME?</v>
      </c>
      <c r="B14" s="38" t="e">
        <f ca="1">_xll.SNL.Clients.Office.Excel.Functions.SPG($E14, "IQ_TEV", "Options: Curr=USD")</f>
        <v>#NAME?</v>
      </c>
      <c r="C14" s="38" t="e">
        <f ca="1">_xll.SNL.Clients.Office.Excel.Functions.SPG($E14, "SP_MARKETCAP", "Options: Curr=USD")</f>
        <v>#NAME?</v>
      </c>
      <c r="D14" s="39" t="s">
        <v>54</v>
      </c>
      <c r="E14" s="40" t="s">
        <v>55</v>
      </c>
      <c r="F14" s="41" t="str" cm="1">
        <f t="array" aca="1" ref="F14" ca="1">IFERROR(_xll.SNL.Clients.Office.Excel.Functions.SPG($E14, $F$3)/100,"NA")</f>
        <v>NA</v>
      </c>
      <c r="G14" s="42" t="e" cm="1">
        <f t="array" aca="1" ref="G14" ca="1">_xll.SNL.Clients.Office.Excel.Functions.SPG($E14, "SP_PCFPS_FWD",G$2)</f>
        <v>#NAME?</v>
      </c>
      <c r="H14" s="43" t="e" cm="1">
        <f t="array" aca="1" ref="H14" ca="1">_xll.SNL.Clients.Office.Excel.Functions.SPG($E14, "SP_PCFPS_FWD",H$2)</f>
        <v>#NAME?</v>
      </c>
      <c r="I14" s="44" t="e" cm="1">
        <f t="array" aca="1" ref="I14" ca="1">_xll.SNL.Clients.Office.Excel.Functions.SPG($E14, "SP_PCFPS_FWD",I$2)</f>
        <v>#NAME?</v>
      </c>
      <c r="J14" s="45" t="str">
        <f ca="1">IFERROR(_xll.SNL.Clients.Office.Excel.Functions.SPG($E14, "SP_FCF_EST",J$2, "Options: Curr=USD")/1000/C14,"NA")</f>
        <v>NA</v>
      </c>
      <c r="K14" s="45" t="str">
        <f ca="1">IFERROR(_xll.SNL.Clients.Office.Excel.Functions.SPG($E14, "SP_FCF_EST",K$2, "Options: Curr=USD")/1000/C14,"NA")</f>
        <v>NA</v>
      </c>
      <c r="L14" s="45" t="str">
        <f ca="1">IFERROR(_xll.SNL.Clients.Office.Excel.Functions.SPG($E14, "SP_FCF_EST",L$2, "Options: Curr=USD")/1000/D14,"NA")</f>
        <v>NA</v>
      </c>
      <c r="M14" s="42" t="e" cm="1">
        <f t="array" aca="1" ref="M14" ca="1">_xll.SNL.Clients.Office.Excel.Functions.SPG($E14, "SP_PE_FWD",M$2)</f>
        <v>#NAME?</v>
      </c>
      <c r="N14" s="43" t="e" cm="1">
        <f t="array" aca="1" ref="N14" ca="1">_xll.SNL.Clients.Office.Excel.Functions.SPG($E14, "SP_PE_FWD",N$2)</f>
        <v>#NAME?</v>
      </c>
      <c r="O14" s="44" t="e" cm="1">
        <f t="array" aca="1" ref="O14" ca="1">_xll.SNL.Clients.Office.Excel.Functions.SPG($E14, "SP_PE_FWD",O$2)</f>
        <v>#NAME?</v>
      </c>
      <c r="P14" s="46" t="e" cm="1">
        <f t="array" aca="1" ref="P14" ca="1">IF((_xll.SNL.Clients.Office.Excel.Functions.SPG($E14,$P$3,P$4,"Options: Curr=USD") / _xll.SNL.Clients.Office.Excel.Functions.SPG($E14,"SP_EBITDA_EST",P$2,"Options: Curr=USD")) &lt; 0, "NM", (_xll.SNL.Clients.Office.Excel.Functions.SPG($E14,$P$3,P$4,"Options: Curr=USD") / _xll.SNL.Clients.Office.Excel.Functions.SPG($E14,"SP_EBITDA_EST",P$2,"Options: Curr=USD")))</f>
        <v>#NAME?</v>
      </c>
      <c r="Q14" s="47" t="e" cm="1">
        <f t="array" aca="1" ref="Q14" ca="1">_xll.SNL.Clients.Office.Excel.Functions.SPG($E14, $Q$3,Q$4)</f>
        <v>#NAME?</v>
      </c>
      <c r="R14" s="43" t="e" cm="1">
        <f t="array" aca="1" ref="R14" ca="1">_xll.SNL.Clients.Office.Excel.Functions.SPG($E14, $R$3,R$2)</f>
        <v>#NAME?</v>
      </c>
      <c r="S14" s="43" t="e" cm="1">
        <f t="array" aca="1" ref="S14" ca="1">_xll.SNL.Clients.Office.Excel.Functions.SPG($E14, $R$3,S$2)</f>
        <v>#NAME?</v>
      </c>
      <c r="T14" s="44" t="e" cm="1">
        <f t="array" aca="1" ref="T14" ca="1">_xll.SNL.Clients.Office.Excel.Functions.SPG($E14, $R$3,T$2)</f>
        <v>#NAME?</v>
      </c>
      <c r="U14" s="50" t="e">
        <f ca="1" xml:space="preserve"> IF(ISNUMBER(SEARCH("na",_xll.SNL.Clients.Office.Excel.Functions.SPG($E14, $U$4, U$2))), 0,_xll.SNL.Clients.Office.Excel.Functions.SPG($E14, $U$4, U$2))</f>
        <v>#NAME?</v>
      </c>
      <c r="V14" s="50" t="e">
        <f ca="1" xml:space="preserve"> IF(ISNUMBER(SEARCH("na",_xll.SNL.Clients.Office.Excel.Functions.SPG($E14, $U$4, V$2))), 0,_xll.SNL.Clients.Office.Excel.Functions.SPG($E14, $U$4, V$2))</f>
        <v>#NAME?</v>
      </c>
      <c r="W14" s="50" t="e">
        <f ca="1" xml:space="preserve"> IF(ISNUMBER(SEARCH("na",_xll.SNL.Clients.Office.Excel.Functions.SPG($E14, $U$4, W$2))), 0,_xll.SNL.Clients.Office.Excel.Functions.SPG($E14, $U$4, W$2))</f>
        <v>#NAME?</v>
      </c>
      <c r="X14" s="51" t="str">
        <f t="shared" ref="X14:Z26" ca="1" si="3">IFERROR($B14/U14,"NA")</f>
        <v>NA</v>
      </c>
      <c r="Y14" s="52" t="str">
        <f t="shared" ca="1" si="3"/>
        <v>NA</v>
      </c>
      <c r="Z14" s="58" t="str">
        <f t="shared" ca="1" si="3"/>
        <v>NA</v>
      </c>
      <c r="AA14" s="50">
        <f ca="1">IFERROR(_xll.SNL.Clients.Office.Excel.Functions.SPG($E14, $AA$3, AA$2,$AA$4)/1000,0)</f>
        <v>0</v>
      </c>
      <c r="AB14" s="50">
        <f ca="1">IFERROR(_xll.SNL.Clients.Office.Excel.Functions.SPG($E14, $AB$3, AB$2,$AA$4)/1000,0)</f>
        <v>0</v>
      </c>
      <c r="AC14" s="50">
        <f ca="1">IFERROR(_xll.SNL.Clients.Office.Excel.Functions.SPG($E14, $AC$3, AC$2,$AA$4)/1000,0)</f>
        <v>0</v>
      </c>
    </row>
    <row r="15" spans="1:30" ht="13.8" x14ac:dyDescent="0.25">
      <c r="A15" s="37" t="e">
        <f ca="1">_xll.SNL.Clients.Office.Excel.Functions.SPG($E15, A$3)</f>
        <v>#NAME?</v>
      </c>
      <c r="B15" s="38" t="e">
        <f ca="1">_xll.SNL.Clients.Office.Excel.Functions.SPG($E15, "IQ_TEV", "Options: Curr=USD")</f>
        <v>#NAME?</v>
      </c>
      <c r="C15" s="38" t="e">
        <f ca="1">_xll.SNL.Clients.Office.Excel.Functions.SPG($E15, "SP_MARKETCAP", "Options: Curr=USD")</f>
        <v>#NAME?</v>
      </c>
      <c r="D15" s="39" t="s">
        <v>56</v>
      </c>
      <c r="E15" s="40" t="s">
        <v>57</v>
      </c>
      <c r="F15" s="41" t="str" cm="1">
        <f t="array" aca="1" ref="F15" ca="1">IFERROR(_xll.SNL.Clients.Office.Excel.Functions.SPG($E15, $F$3)/100,"NA")</f>
        <v>NA</v>
      </c>
      <c r="G15" s="42" t="e" cm="1">
        <f t="array" aca="1" ref="G15" ca="1">_xll.SNL.Clients.Office.Excel.Functions.SPG($E15, "SP_PCFPS_FWD",G$2)</f>
        <v>#NAME?</v>
      </c>
      <c r="H15" s="43" t="e" cm="1">
        <f t="array" aca="1" ref="H15" ca="1">_xll.SNL.Clients.Office.Excel.Functions.SPG($E15, "SP_PCFPS_FWD",H$2)</f>
        <v>#NAME?</v>
      </c>
      <c r="I15" s="44" t="e" cm="1">
        <f t="array" aca="1" ref="I15" ca="1">_xll.SNL.Clients.Office.Excel.Functions.SPG($E15, "SP_PCFPS_FWD",I$2)</f>
        <v>#NAME?</v>
      </c>
      <c r="J15" s="45" t="str">
        <f ca="1">IFERROR(_xll.SNL.Clients.Office.Excel.Functions.SPG($E15, "SP_FCF_EST",J$2, "Options: Curr=USD")/1000/C15,"NA")</f>
        <v>NA</v>
      </c>
      <c r="K15" s="45" t="str">
        <f ca="1">IFERROR(_xll.SNL.Clients.Office.Excel.Functions.SPG($E15, "SP_FCF_EST",K$2, "Options: Curr=USD")/1000/C15,"NA")</f>
        <v>NA</v>
      </c>
      <c r="L15" s="45" t="str">
        <f ca="1">IFERROR(_xll.SNL.Clients.Office.Excel.Functions.SPG($E15, "SP_FCF_EST",L$2, "Options: Curr=USD")/1000/D15,"NA")</f>
        <v>NA</v>
      </c>
      <c r="M15" s="42" t="e" cm="1">
        <f t="array" aca="1" ref="M15" ca="1">_xll.SNL.Clients.Office.Excel.Functions.SPG($E15, "SP_PE_FWD",M$2)</f>
        <v>#NAME?</v>
      </c>
      <c r="N15" s="43" t="e" cm="1">
        <f t="array" aca="1" ref="N15" ca="1">_xll.SNL.Clients.Office.Excel.Functions.SPG($E15, "SP_PE_FWD",N$2)</f>
        <v>#NAME?</v>
      </c>
      <c r="O15" s="44" t="e" cm="1">
        <f t="array" aca="1" ref="O15" ca="1">_xll.SNL.Clients.Office.Excel.Functions.SPG($E15, "SP_PE_FWD",O$2)</f>
        <v>#NAME?</v>
      </c>
      <c r="P15" s="54" t="e" cm="1">
        <f t="array" aca="1" ref="P15" ca="1">IF((_xll.SNL.Clients.Office.Excel.Functions.SPG($E15,$P$3,P$4,"Options: Curr=USD") / _xll.SNL.Clients.Office.Excel.Functions.SPG($E15,"SP_EBITDA_EST",P$2,"Options: Curr=USD")) &lt; 0, "NM", (_xll.SNL.Clients.Office.Excel.Functions.SPG($E15,$P$3,P$4,"Options: Curr=USD") / _xll.SNL.Clients.Office.Excel.Functions.SPG($E15,"SP_EBITDA_EST",P$2,"Options: Curr=USD")))</f>
        <v>#NAME?</v>
      </c>
      <c r="Q15" s="55" t="e" cm="1">
        <f t="array" aca="1" ref="Q15" ca="1">_xll.SNL.Clients.Office.Excel.Functions.SPG($E15, $Q$3,Q$4)</f>
        <v>#NAME?</v>
      </c>
      <c r="R15" s="43" t="e" cm="1">
        <f t="array" aca="1" ref="R15" ca="1">_xll.SNL.Clients.Office.Excel.Functions.SPG($E15, $R$3,R$2)</f>
        <v>#NAME?</v>
      </c>
      <c r="S15" s="43" t="e" cm="1">
        <f t="array" aca="1" ref="S15" ca="1">_xll.SNL.Clients.Office.Excel.Functions.SPG($E15, $R$3,S$2)</f>
        <v>#NAME?</v>
      </c>
      <c r="T15" s="44" t="e" cm="1">
        <f t="array" aca="1" ref="T15" ca="1">_xll.SNL.Clients.Office.Excel.Functions.SPG($E15, $R$3,T$2)</f>
        <v>#NAME?</v>
      </c>
      <c r="U15" s="50" t="e">
        <f ca="1" xml:space="preserve"> IF(ISNUMBER(SEARCH("na",_xll.SNL.Clients.Office.Excel.Functions.SPG($E15, $U$4, U$2))), 0,_xll.SNL.Clients.Office.Excel.Functions.SPG($E15, $U$4, U$2))</f>
        <v>#NAME?</v>
      </c>
      <c r="V15" s="50" t="e">
        <f ca="1" xml:space="preserve"> IF(ISNUMBER(SEARCH("na",_xll.SNL.Clients.Office.Excel.Functions.SPG($E15, $U$4, V$2))), 0,_xll.SNL.Clients.Office.Excel.Functions.SPG($E15, $U$4, V$2))</f>
        <v>#NAME?</v>
      </c>
      <c r="W15" s="50" t="e">
        <f ca="1" xml:space="preserve"> IF(ISNUMBER(SEARCH("na",_xll.SNL.Clients.Office.Excel.Functions.SPG($E15, $U$4, W$2))), 0,_xll.SNL.Clients.Office.Excel.Functions.SPG($E15, $U$4, W$2))</f>
        <v>#NAME?</v>
      </c>
      <c r="X15" s="56" t="str">
        <f t="shared" ca="1" si="3"/>
        <v>NA</v>
      </c>
      <c r="Y15" s="57" t="str">
        <f t="shared" ca="1" si="3"/>
        <v>NA</v>
      </c>
      <c r="Z15" s="58" t="str">
        <f t="shared" ca="1" si="3"/>
        <v>NA</v>
      </c>
      <c r="AA15" s="50">
        <f ca="1">IFERROR(_xll.SNL.Clients.Office.Excel.Functions.SPG($E15, $AA$3, AA$2,$AA$4)/1000,0)</f>
        <v>0</v>
      </c>
      <c r="AB15" s="50">
        <f ca="1">IFERROR(_xll.SNL.Clients.Office.Excel.Functions.SPG($E15, $AB$3, AB$2,$AA$4)/1000,0)</f>
        <v>0</v>
      </c>
      <c r="AC15" s="50">
        <f ca="1">IFERROR(_xll.SNL.Clients.Office.Excel.Functions.SPG($E15, $AC$3, AC$2,$AA$4)/1000,0)</f>
        <v>0</v>
      </c>
    </row>
    <row r="16" spans="1:30" ht="13.8" x14ac:dyDescent="0.25">
      <c r="A16" s="37" t="e">
        <f ca="1">_xll.SNL.Clients.Office.Excel.Functions.SPG($E16, A$3)</f>
        <v>#NAME?</v>
      </c>
      <c r="B16" s="38" t="e">
        <f ca="1">_xll.SNL.Clients.Office.Excel.Functions.SPG($E16, "IQ_TEV", "Options: Curr=USD")</f>
        <v>#NAME?</v>
      </c>
      <c r="C16" s="38" t="e">
        <f ca="1">_xll.SNL.Clients.Office.Excel.Functions.SPG($E16, "SP_MARKETCAP", "Options: Curr=USD")</f>
        <v>#NAME?</v>
      </c>
      <c r="D16" s="39" t="s">
        <v>58</v>
      </c>
      <c r="E16" s="40" t="s">
        <v>59</v>
      </c>
      <c r="F16" s="41" t="str" cm="1">
        <f t="array" aca="1" ref="F16" ca="1">IFERROR(_xll.SNL.Clients.Office.Excel.Functions.SPG($E16, $F$3)/100,"NA")</f>
        <v>NA</v>
      </c>
      <c r="G16" s="42" t="e" cm="1">
        <f t="array" aca="1" ref="G16" ca="1">_xll.SNL.Clients.Office.Excel.Functions.SPG($E16, "SP_PCFPS_FWD",G$2)</f>
        <v>#NAME?</v>
      </c>
      <c r="H16" s="43" t="e" cm="1">
        <f t="array" aca="1" ref="H16" ca="1">_xll.SNL.Clients.Office.Excel.Functions.SPG($E16, "SP_PCFPS_FWD",H$2)</f>
        <v>#NAME?</v>
      </c>
      <c r="I16" s="44" t="e" cm="1">
        <f t="array" aca="1" ref="I16" ca="1">_xll.SNL.Clients.Office.Excel.Functions.SPG($E16, "SP_PCFPS_FWD",I$2)</f>
        <v>#NAME?</v>
      </c>
      <c r="J16" s="45" t="str">
        <f ca="1">IFERROR(_xll.SNL.Clients.Office.Excel.Functions.SPG($E16, "SP_FCF_EST",J$2, "Options: Curr=USD")/1000/C16,"NA")</f>
        <v>NA</v>
      </c>
      <c r="K16" s="45" t="str">
        <f ca="1">IFERROR(_xll.SNL.Clients.Office.Excel.Functions.SPG($E16, "SP_FCF_EST",K$2, "Options: Curr=USD")/1000/C16,"NA")</f>
        <v>NA</v>
      </c>
      <c r="L16" s="45" t="str">
        <f ca="1">IFERROR(_xll.SNL.Clients.Office.Excel.Functions.SPG($E16, "SP_FCF_EST",L$2, "Options: Curr=USD")/1000/D16,"NA")</f>
        <v>NA</v>
      </c>
      <c r="M16" s="42" t="e" cm="1">
        <f t="array" aca="1" ref="M16" ca="1">_xll.SNL.Clients.Office.Excel.Functions.SPG($E16, "SP_PE_FWD",M$2)</f>
        <v>#NAME?</v>
      </c>
      <c r="N16" s="43" t="e" cm="1">
        <f t="array" aca="1" ref="N16" ca="1">_xll.SNL.Clients.Office.Excel.Functions.SPG($E16, "SP_PE_FWD",N$2)</f>
        <v>#NAME?</v>
      </c>
      <c r="O16" s="44" t="e" cm="1">
        <f t="array" aca="1" ref="O16" ca="1">_xll.SNL.Clients.Office.Excel.Functions.SPG($E16, "SP_PE_FWD",O$2)</f>
        <v>#NAME?</v>
      </c>
      <c r="P16" s="54" t="e" cm="1">
        <f t="array" aca="1" ref="P16" ca="1">IF((_xll.SNL.Clients.Office.Excel.Functions.SPG($E16,$P$3,P$4,"Options: Curr=USD") / _xll.SNL.Clients.Office.Excel.Functions.SPG($E16,"SP_EBITDA_EST",P$2,"Options: Curr=USD")) &lt; 0, "NM", (_xll.SNL.Clients.Office.Excel.Functions.SPG($E16,$P$3,P$4,"Options: Curr=USD") / _xll.SNL.Clients.Office.Excel.Functions.SPG($E16,"SP_EBITDA_EST",P$2,"Options: Curr=USD")))</f>
        <v>#NAME?</v>
      </c>
      <c r="Q16" s="55" t="e" cm="1">
        <f t="array" aca="1" ref="Q16" ca="1">_xll.SNL.Clients.Office.Excel.Functions.SPG($E16, $Q$3,Q$4)</f>
        <v>#NAME?</v>
      </c>
      <c r="R16" s="43" t="e" cm="1">
        <f t="array" aca="1" ref="R16" ca="1">_xll.SNL.Clients.Office.Excel.Functions.SPG($E16, $R$3,R$2)</f>
        <v>#NAME?</v>
      </c>
      <c r="S16" s="43" t="e" cm="1">
        <f t="array" aca="1" ref="S16" ca="1">_xll.SNL.Clients.Office.Excel.Functions.SPG($E16, $R$3,S$2)</f>
        <v>#NAME?</v>
      </c>
      <c r="T16" s="44" t="e" cm="1">
        <f t="array" aca="1" ref="T16" ca="1">_xll.SNL.Clients.Office.Excel.Functions.SPG($E16, $R$3,T$2)</f>
        <v>#NAME?</v>
      </c>
      <c r="U16" s="50" t="e">
        <f ca="1" xml:space="preserve"> IF(ISNUMBER(SEARCH("na",_xll.SNL.Clients.Office.Excel.Functions.SPG($E16, $U$4, U$2))), 0,_xll.SNL.Clients.Office.Excel.Functions.SPG($E16, $U$4, U$2))</f>
        <v>#NAME?</v>
      </c>
      <c r="V16" s="50" t="e">
        <f ca="1" xml:space="preserve"> IF(ISNUMBER(SEARCH("na",_xll.SNL.Clients.Office.Excel.Functions.SPG($E16, $U$4, V$2))), 0,_xll.SNL.Clients.Office.Excel.Functions.SPG($E16, $U$4, V$2))</f>
        <v>#NAME?</v>
      </c>
      <c r="W16" s="50" t="e">
        <f ca="1" xml:space="preserve"> IF(ISNUMBER(SEARCH("na",_xll.SNL.Clients.Office.Excel.Functions.SPG($E16, $U$4, W$2))), 0,_xll.SNL.Clients.Office.Excel.Functions.SPG($E16, $U$4, W$2))</f>
        <v>#NAME?</v>
      </c>
      <c r="X16" s="56" t="str">
        <f t="shared" ca="1" si="3"/>
        <v>NA</v>
      </c>
      <c r="Y16" s="57" t="str">
        <f t="shared" ca="1" si="3"/>
        <v>NA</v>
      </c>
      <c r="Z16" s="58" t="str">
        <f t="shared" ca="1" si="3"/>
        <v>NA</v>
      </c>
      <c r="AA16" s="50">
        <f ca="1">IFERROR(_xll.SNL.Clients.Office.Excel.Functions.SPG($E16, $AA$3, AA$2,$AA$4)/1000,0)</f>
        <v>0</v>
      </c>
      <c r="AB16" s="50">
        <f ca="1">IFERROR(_xll.SNL.Clients.Office.Excel.Functions.SPG($E16, $AB$3, AB$2,$AA$4)/1000,0)</f>
        <v>0</v>
      </c>
      <c r="AC16" s="50">
        <f ca="1">IFERROR(_xll.SNL.Clients.Office.Excel.Functions.SPG($E16, $AC$3, AC$2,$AA$4)/1000,0)</f>
        <v>0</v>
      </c>
    </row>
    <row r="17" spans="1:29" ht="13.8" x14ac:dyDescent="0.25">
      <c r="A17" s="37" t="e">
        <f ca="1">_xll.SNL.Clients.Office.Excel.Functions.SPG($E17, A$3)</f>
        <v>#NAME?</v>
      </c>
      <c r="B17" s="38" t="e">
        <f ca="1">_xll.SNL.Clients.Office.Excel.Functions.SPG($E17, "IQ_TEV", "Options: Curr=USD")</f>
        <v>#NAME?</v>
      </c>
      <c r="C17" s="38" t="e">
        <f ca="1">_xll.SNL.Clients.Office.Excel.Functions.SPG($E17, "SP_MARKETCAP", "Options: Curr=USD")</f>
        <v>#NAME?</v>
      </c>
      <c r="D17" s="39" t="s">
        <v>60</v>
      </c>
      <c r="E17" s="40" t="s">
        <v>61</v>
      </c>
      <c r="F17" s="41" t="str" cm="1">
        <f t="array" aca="1" ref="F17" ca="1">IFERROR(_xll.SNL.Clients.Office.Excel.Functions.SPG($E17, $F$3)/100,"NA")</f>
        <v>NA</v>
      </c>
      <c r="G17" s="42" t="e" cm="1">
        <f t="array" aca="1" ref="G17" ca="1">_xll.SNL.Clients.Office.Excel.Functions.SPG($E17, "SP_PCFPS_FWD",G$2)</f>
        <v>#NAME?</v>
      </c>
      <c r="H17" s="43" t="e" cm="1">
        <f t="array" aca="1" ref="H17" ca="1">_xll.SNL.Clients.Office.Excel.Functions.SPG($E17, "SP_PCFPS_FWD",H$2)</f>
        <v>#NAME?</v>
      </c>
      <c r="I17" s="44" t="e" cm="1">
        <f t="array" aca="1" ref="I17" ca="1">_xll.SNL.Clients.Office.Excel.Functions.SPG($E17, "SP_PCFPS_FWD",I$2)</f>
        <v>#NAME?</v>
      </c>
      <c r="J17" s="45" t="str">
        <f ca="1">IFERROR(_xll.SNL.Clients.Office.Excel.Functions.SPG($E17, "SP_FCF_EST",J$2, "Options: Curr=USD")/1000/C17,"NA")</f>
        <v>NA</v>
      </c>
      <c r="K17" s="45" t="str">
        <f ca="1">IFERROR(_xll.SNL.Clients.Office.Excel.Functions.SPG($E17, "SP_FCF_EST",K$2, "Options: Curr=USD")/1000/C17,"NA")</f>
        <v>NA</v>
      </c>
      <c r="L17" s="45" t="str">
        <f ca="1">IFERROR(_xll.SNL.Clients.Office.Excel.Functions.SPG($E17, "SP_FCF_EST",L$2, "Options: Curr=USD")/1000/D17,"NA")</f>
        <v>NA</v>
      </c>
      <c r="M17" s="42" t="e" cm="1">
        <f t="array" aca="1" ref="M17" ca="1">_xll.SNL.Clients.Office.Excel.Functions.SPG($E17, "SP_PE_FWD",M$2)</f>
        <v>#NAME?</v>
      </c>
      <c r="N17" s="43" t="e" cm="1">
        <f t="array" aca="1" ref="N17" ca="1">_xll.SNL.Clients.Office.Excel.Functions.SPG($E17, "SP_PE_FWD",N$2)</f>
        <v>#NAME?</v>
      </c>
      <c r="O17" s="44" t="e" cm="1">
        <f t="array" aca="1" ref="O17" ca="1">_xll.SNL.Clients.Office.Excel.Functions.SPG($E17, "SP_PE_FWD",O$2)</f>
        <v>#NAME?</v>
      </c>
      <c r="P17" s="54" t="e" cm="1">
        <f t="array" aca="1" ref="P17" ca="1">IF((_xll.SNL.Clients.Office.Excel.Functions.SPG($E17,$P$3,P$4,"Options: Curr=USD") / _xll.SNL.Clients.Office.Excel.Functions.SPG($E17,"SP_EBITDA_EST",P$2,"Options: Curr=USD")) &lt; 0, "NM", (_xll.SNL.Clients.Office.Excel.Functions.SPG($E17,$P$3,P$4,"Options: Curr=USD") / _xll.SNL.Clients.Office.Excel.Functions.SPG($E17,"SP_EBITDA_EST",P$2,"Options: Curr=USD")))</f>
        <v>#NAME?</v>
      </c>
      <c r="Q17" s="55" t="e" cm="1">
        <f t="array" aca="1" ref="Q17" ca="1">_xll.SNL.Clients.Office.Excel.Functions.SPG($E17, $Q$3,Q$4)</f>
        <v>#NAME?</v>
      </c>
      <c r="R17" s="43" t="e" cm="1">
        <f t="array" aca="1" ref="R17" ca="1">_xll.SNL.Clients.Office.Excel.Functions.SPG($E17, $R$3,R$2)</f>
        <v>#NAME?</v>
      </c>
      <c r="S17" s="43" t="e" cm="1">
        <f t="array" aca="1" ref="S17" ca="1">_xll.SNL.Clients.Office.Excel.Functions.SPG($E17, $R$3,S$2)</f>
        <v>#NAME?</v>
      </c>
      <c r="T17" s="44" t="e" cm="1">
        <f t="array" aca="1" ref="T17" ca="1">_xll.SNL.Clients.Office.Excel.Functions.SPG($E17, $R$3,T$2)</f>
        <v>#NAME?</v>
      </c>
      <c r="U17" s="50" t="e">
        <f ca="1" xml:space="preserve"> IF(ISNUMBER(SEARCH("na",_xll.SNL.Clients.Office.Excel.Functions.SPG($E17, $U$4, U$2))), 0,_xll.SNL.Clients.Office.Excel.Functions.SPG($E17, $U$4, U$2))</f>
        <v>#NAME?</v>
      </c>
      <c r="V17" s="50" t="e">
        <f ca="1" xml:space="preserve"> IF(ISNUMBER(SEARCH("na",_xll.SNL.Clients.Office.Excel.Functions.SPG($E17, $U$4, V$2))), 0,_xll.SNL.Clients.Office.Excel.Functions.SPG($E17, $U$4, V$2))</f>
        <v>#NAME?</v>
      </c>
      <c r="W17" s="50" t="e">
        <f ca="1" xml:space="preserve"> IF(ISNUMBER(SEARCH("na",_xll.SNL.Clients.Office.Excel.Functions.SPG($E17, $U$4, W$2))), 0,_xll.SNL.Clients.Office.Excel.Functions.SPG($E17, $U$4, W$2))</f>
        <v>#NAME?</v>
      </c>
      <c r="X17" s="56" t="str">
        <f t="shared" ca="1" si="3"/>
        <v>NA</v>
      </c>
      <c r="Y17" s="57" t="str">
        <f t="shared" ca="1" si="3"/>
        <v>NA</v>
      </c>
      <c r="Z17" s="58" t="str">
        <f t="shared" ca="1" si="3"/>
        <v>NA</v>
      </c>
      <c r="AA17" s="50">
        <f ca="1">IFERROR(_xll.SNL.Clients.Office.Excel.Functions.SPG($E17, $AA$3, AA$2,$AA$4)/1000,0)</f>
        <v>0</v>
      </c>
      <c r="AB17" s="50">
        <f ca="1">IFERROR(_xll.SNL.Clients.Office.Excel.Functions.SPG($E17, $AB$3, AB$2,$AA$4)/1000,0)</f>
        <v>0</v>
      </c>
      <c r="AC17" s="50">
        <f ca="1">IFERROR(_xll.SNL.Clients.Office.Excel.Functions.SPG($E17, $AC$3, AC$2,$AA$4)/1000,0)</f>
        <v>0</v>
      </c>
    </row>
    <row r="18" spans="1:29" ht="13.8" x14ac:dyDescent="0.25">
      <c r="A18" s="37" t="e">
        <f ca="1">_xll.SNL.Clients.Office.Excel.Functions.SPG($E18, A$3)</f>
        <v>#NAME?</v>
      </c>
      <c r="B18" s="38" t="e">
        <f ca="1">_xll.SNL.Clients.Office.Excel.Functions.SPG($E18, "IQ_TEV", "Options: Curr=USD")</f>
        <v>#NAME?</v>
      </c>
      <c r="C18" s="38" t="e">
        <f ca="1">_xll.SNL.Clients.Office.Excel.Functions.SPG($E18, "SP_MARKETCAP", "Options: Curr=USD")</f>
        <v>#NAME?</v>
      </c>
      <c r="D18" s="39" t="s">
        <v>62</v>
      </c>
      <c r="E18" s="40" t="s">
        <v>63</v>
      </c>
      <c r="F18" s="41" t="str" cm="1">
        <f t="array" aca="1" ref="F18" ca="1">IFERROR(_xll.SNL.Clients.Office.Excel.Functions.SPG($E18, $F$3)/100,"NA")</f>
        <v>NA</v>
      </c>
      <c r="G18" s="42" t="e" cm="1">
        <f t="array" aca="1" ref="G18" ca="1">_xll.SNL.Clients.Office.Excel.Functions.SPG($E18, "SP_PCFPS_FWD",G$2)</f>
        <v>#NAME?</v>
      </c>
      <c r="H18" s="43" t="e" cm="1">
        <f t="array" aca="1" ref="H18" ca="1">_xll.SNL.Clients.Office.Excel.Functions.SPG($E18, "SP_PCFPS_FWD",H$2)</f>
        <v>#NAME?</v>
      </c>
      <c r="I18" s="44" t="e" cm="1">
        <f t="array" aca="1" ref="I18" ca="1">_xll.SNL.Clients.Office.Excel.Functions.SPG($E18, "SP_PCFPS_FWD",I$2)</f>
        <v>#NAME?</v>
      </c>
      <c r="J18" s="45" t="str">
        <f ca="1">IFERROR(_xll.SNL.Clients.Office.Excel.Functions.SPG($E18, "SP_FCF_EST",J$2, "Options: Curr=USD")/1000/C18,"NA")</f>
        <v>NA</v>
      </c>
      <c r="K18" s="45" t="str">
        <f ca="1">IFERROR(_xll.SNL.Clients.Office.Excel.Functions.SPG($E18, "SP_FCF_EST",K$2, "Options: Curr=USD")/1000/C18,"NA")</f>
        <v>NA</v>
      </c>
      <c r="L18" s="45" t="str">
        <f ca="1">IFERROR(_xll.SNL.Clients.Office.Excel.Functions.SPG($E18, "SP_FCF_EST",L$2, "Options: Curr=USD")/1000/D18,"NA")</f>
        <v>NA</v>
      </c>
      <c r="M18" s="42" t="e" cm="1">
        <f t="array" aca="1" ref="M18" ca="1">_xll.SNL.Clients.Office.Excel.Functions.SPG($E18, "SP_PE_FWD",M$2)</f>
        <v>#NAME?</v>
      </c>
      <c r="N18" s="43" t="e" cm="1">
        <f t="array" aca="1" ref="N18" ca="1">_xll.SNL.Clients.Office.Excel.Functions.SPG($E18, "SP_PE_FWD",N$2)</f>
        <v>#NAME?</v>
      </c>
      <c r="O18" s="44" t="e" cm="1">
        <f t="array" aca="1" ref="O18" ca="1">_xll.SNL.Clients.Office.Excel.Functions.SPG($E18, "SP_PE_FWD",O$2)</f>
        <v>#NAME?</v>
      </c>
      <c r="P18" s="54" t="e" cm="1">
        <f t="array" aca="1" ref="P18" ca="1">IF((_xll.SNL.Clients.Office.Excel.Functions.SPG($E18,$P$3,P$4,"Options: Curr=USD") / _xll.SNL.Clients.Office.Excel.Functions.SPG($E18,"SP_EBITDA_EST",P$2,"Options: Curr=USD")) &lt; 0, "NM", (_xll.SNL.Clients.Office.Excel.Functions.SPG($E18,$P$3,P$4,"Options: Curr=USD") / _xll.SNL.Clients.Office.Excel.Functions.SPG($E18,"SP_EBITDA_EST",P$2,"Options: Curr=USD")))</f>
        <v>#NAME?</v>
      </c>
      <c r="Q18" s="55" t="e" cm="1">
        <f t="array" aca="1" ref="Q18" ca="1">_xll.SNL.Clients.Office.Excel.Functions.SPG($E18, $Q$3,Q$4)</f>
        <v>#NAME?</v>
      </c>
      <c r="R18" s="43" t="e" cm="1">
        <f t="array" aca="1" ref="R18" ca="1">_xll.SNL.Clients.Office.Excel.Functions.SPG($E18, $R$3,R$2)</f>
        <v>#NAME?</v>
      </c>
      <c r="S18" s="43" t="e" cm="1">
        <f t="array" aca="1" ref="S18" ca="1">_xll.SNL.Clients.Office.Excel.Functions.SPG($E18, $R$3,S$2)</f>
        <v>#NAME?</v>
      </c>
      <c r="T18" s="44" t="e" cm="1">
        <f t="array" aca="1" ref="T18" ca="1">_xll.SNL.Clients.Office.Excel.Functions.SPG($E18, $R$3,T$2)</f>
        <v>#NAME?</v>
      </c>
      <c r="U18" s="50" t="e">
        <f ca="1" xml:space="preserve"> IF(ISNUMBER(SEARCH("na",_xll.SNL.Clients.Office.Excel.Functions.SPG($E18, $U$4, U$2))), 0,_xll.SNL.Clients.Office.Excel.Functions.SPG($E18, $U$4, U$2))</f>
        <v>#NAME?</v>
      </c>
      <c r="V18" s="50" t="e">
        <f ca="1" xml:space="preserve"> IF(ISNUMBER(SEARCH("na",_xll.SNL.Clients.Office.Excel.Functions.SPG($E18, $U$4, V$2))), 0,_xll.SNL.Clients.Office.Excel.Functions.SPG($E18, $U$4, V$2))</f>
        <v>#NAME?</v>
      </c>
      <c r="W18" s="50" t="e">
        <f ca="1" xml:space="preserve"> IF(ISNUMBER(SEARCH("na",_xll.SNL.Clients.Office.Excel.Functions.SPG($E18, $U$4, W$2))), 0,_xll.SNL.Clients.Office.Excel.Functions.SPG($E18, $U$4, W$2))</f>
        <v>#NAME?</v>
      </c>
      <c r="X18" s="56" t="str">
        <f t="shared" ca="1" si="3"/>
        <v>NA</v>
      </c>
      <c r="Y18" s="57" t="str">
        <f t="shared" ca="1" si="3"/>
        <v>NA</v>
      </c>
      <c r="Z18" s="58" t="str">
        <f t="shared" ca="1" si="3"/>
        <v>NA</v>
      </c>
      <c r="AA18" s="50">
        <f ca="1">IFERROR(_xll.SNL.Clients.Office.Excel.Functions.SPG($E18, $AA$3, AA$2,$AA$4)/1000,0)</f>
        <v>0</v>
      </c>
      <c r="AB18" s="50">
        <f ca="1">IFERROR(_xll.SNL.Clients.Office.Excel.Functions.SPG($E18, $AB$3, AB$2,$AA$4)/1000,0)</f>
        <v>0</v>
      </c>
      <c r="AC18" s="50">
        <f ca="1">IFERROR(_xll.SNL.Clients.Office.Excel.Functions.SPG($E18, $AC$3, AC$2,$AA$4)/1000,0)</f>
        <v>0</v>
      </c>
    </row>
    <row r="19" spans="1:29" ht="13.8" x14ac:dyDescent="0.25">
      <c r="A19" s="37" t="e">
        <f ca="1">_xll.SNL.Clients.Office.Excel.Functions.SPG($E19, A$3)</f>
        <v>#NAME?</v>
      </c>
      <c r="B19" s="38" t="e">
        <f ca="1">_xll.SNL.Clients.Office.Excel.Functions.SPG($E19, "IQ_TEV", "Options: Curr=USD")</f>
        <v>#NAME?</v>
      </c>
      <c r="C19" s="38" t="e">
        <f ca="1">_xll.SNL.Clients.Office.Excel.Functions.SPG($E19, "SP_MARKETCAP", "Options: Curr=USD")</f>
        <v>#NAME?</v>
      </c>
      <c r="D19" s="39" t="s">
        <v>64</v>
      </c>
      <c r="E19" s="40" t="s">
        <v>65</v>
      </c>
      <c r="F19" s="41" t="str" cm="1">
        <f t="array" aca="1" ref="F19" ca="1">IFERROR(_xll.SNL.Clients.Office.Excel.Functions.SPG($E19, $F$3)/100,"NA")</f>
        <v>NA</v>
      </c>
      <c r="G19" s="42" t="e" cm="1">
        <f t="array" aca="1" ref="G19" ca="1">_xll.SNL.Clients.Office.Excel.Functions.SPG($E19, "SP_PCFPS_FWD",G$2)</f>
        <v>#NAME?</v>
      </c>
      <c r="H19" s="43" t="e" cm="1">
        <f t="array" aca="1" ref="H19" ca="1">_xll.SNL.Clients.Office.Excel.Functions.SPG($E19, "SP_PCFPS_FWD",H$2)</f>
        <v>#NAME?</v>
      </c>
      <c r="I19" s="44" t="e" cm="1">
        <f t="array" aca="1" ref="I19" ca="1">_xll.SNL.Clients.Office.Excel.Functions.SPG($E19, "SP_PCFPS_FWD",I$2)</f>
        <v>#NAME?</v>
      </c>
      <c r="J19" s="45" t="str">
        <f ca="1">IFERROR(_xll.SNL.Clients.Office.Excel.Functions.SPG($E19, "SP_FCF_EST",J$2, "Options: Curr=USD")/1000/C19,"NA")</f>
        <v>NA</v>
      </c>
      <c r="K19" s="45" t="str">
        <f ca="1">IFERROR(_xll.SNL.Clients.Office.Excel.Functions.SPG($E19, "SP_FCF_EST",K$2, "Options: Curr=USD")/1000/C19,"NA")</f>
        <v>NA</v>
      </c>
      <c r="L19" s="45" t="str">
        <f ca="1">IFERROR(_xll.SNL.Clients.Office.Excel.Functions.SPG($E19, "SP_FCF_EST",L$2, "Options: Curr=USD")/1000/D19,"NA")</f>
        <v>NA</v>
      </c>
      <c r="M19" s="42" t="e" cm="1">
        <f t="array" aca="1" ref="M19" ca="1">_xll.SNL.Clients.Office.Excel.Functions.SPG($E19, "SP_PE_FWD",M$2)</f>
        <v>#NAME?</v>
      </c>
      <c r="N19" s="43" t="e" cm="1">
        <f t="array" aca="1" ref="N19" ca="1">_xll.SNL.Clients.Office.Excel.Functions.SPG($E19, "SP_PE_FWD",N$2)</f>
        <v>#NAME?</v>
      </c>
      <c r="O19" s="44" t="e" cm="1">
        <f t="array" aca="1" ref="O19" ca="1">_xll.SNL.Clients.Office.Excel.Functions.SPG($E19, "SP_PE_FWD",O$2)</f>
        <v>#NAME?</v>
      </c>
      <c r="P19" s="54" t="e" cm="1">
        <f t="array" aca="1" ref="P19" ca="1">IF((_xll.SNL.Clients.Office.Excel.Functions.SPG($E19,$P$3,P$4,"Options: Curr=USD") / _xll.SNL.Clients.Office.Excel.Functions.SPG($E19,"SP_EBITDA_EST",P$2,"Options: Curr=USD")) &lt; 0, "NM", (_xll.SNL.Clients.Office.Excel.Functions.SPG($E19,$P$3,P$4,"Options: Curr=USD") / _xll.SNL.Clients.Office.Excel.Functions.SPG($E19,"SP_EBITDA_EST",P$2,"Options: Curr=USD")))</f>
        <v>#NAME?</v>
      </c>
      <c r="Q19" s="55" t="e" cm="1">
        <f t="array" aca="1" ref="Q19" ca="1">_xll.SNL.Clients.Office.Excel.Functions.SPG($E19, $Q$3,Q$4)</f>
        <v>#NAME?</v>
      </c>
      <c r="R19" s="43" t="e" cm="1">
        <f t="array" aca="1" ref="R19" ca="1">_xll.SNL.Clients.Office.Excel.Functions.SPG($E19, $R$3,R$2)</f>
        <v>#NAME?</v>
      </c>
      <c r="S19" s="43" t="e" cm="1">
        <f t="array" aca="1" ref="S19" ca="1">_xll.SNL.Clients.Office.Excel.Functions.SPG($E19, $R$3,S$2)</f>
        <v>#NAME?</v>
      </c>
      <c r="T19" s="44" t="e" cm="1">
        <f t="array" aca="1" ref="T19" ca="1">_xll.SNL.Clients.Office.Excel.Functions.SPG($E19, $R$3,T$2)</f>
        <v>#NAME?</v>
      </c>
      <c r="U19" s="50" t="e">
        <f ca="1" xml:space="preserve"> IF(ISNUMBER(SEARCH("na",_xll.SNL.Clients.Office.Excel.Functions.SPG($E19, $U$4, U$2))), 0,_xll.SNL.Clients.Office.Excel.Functions.SPG($E19, $U$4, U$2))</f>
        <v>#NAME?</v>
      </c>
      <c r="V19" s="50" t="e">
        <f ca="1" xml:space="preserve"> IF(ISNUMBER(SEARCH("na",_xll.SNL.Clients.Office.Excel.Functions.SPG($E19, $U$4, V$2))), 0,_xll.SNL.Clients.Office.Excel.Functions.SPG($E19, $U$4, V$2))</f>
        <v>#NAME?</v>
      </c>
      <c r="W19" s="50" t="e">
        <f ca="1" xml:space="preserve"> IF(ISNUMBER(SEARCH("na",_xll.SNL.Clients.Office.Excel.Functions.SPG($E19, $U$4, W$2))), 0,_xll.SNL.Clients.Office.Excel.Functions.SPG($E19, $U$4, W$2))</f>
        <v>#NAME?</v>
      </c>
      <c r="X19" s="56" t="str">
        <f t="shared" ca="1" si="3"/>
        <v>NA</v>
      </c>
      <c r="Y19" s="57" t="str">
        <f t="shared" ca="1" si="3"/>
        <v>NA</v>
      </c>
      <c r="Z19" s="58" t="str">
        <f t="shared" ca="1" si="3"/>
        <v>NA</v>
      </c>
      <c r="AA19" s="50">
        <f ca="1">IFERROR(_xll.SNL.Clients.Office.Excel.Functions.SPG($E19, $AA$3, AA$2,$AA$4)/1000,0)</f>
        <v>0</v>
      </c>
      <c r="AB19" s="50">
        <f ca="1">IFERROR(_xll.SNL.Clients.Office.Excel.Functions.SPG($E19, $AB$3, AB$2,$AA$4)/1000,0)</f>
        <v>0</v>
      </c>
      <c r="AC19" s="50">
        <f ca="1">IFERROR(_xll.SNL.Clients.Office.Excel.Functions.SPG($E19, $AC$3, AC$2,$AA$4)/1000,0)</f>
        <v>0</v>
      </c>
    </row>
    <row r="20" spans="1:29" ht="13.8" x14ac:dyDescent="0.25">
      <c r="A20" s="37" t="e">
        <f ca="1">_xll.SNL.Clients.Office.Excel.Functions.SPG($E20, A$3)</f>
        <v>#NAME?</v>
      </c>
      <c r="B20" s="38" t="e">
        <f ca="1">_xll.SNL.Clients.Office.Excel.Functions.SPG($E20, "IQ_TEV", "Options: Curr=USD")</f>
        <v>#NAME?</v>
      </c>
      <c r="C20" s="38" t="e">
        <f ca="1">_xll.SNL.Clients.Office.Excel.Functions.SPG($E20, "SP_MARKETCAP", "Options: Curr=USD")</f>
        <v>#NAME?</v>
      </c>
      <c r="D20" s="39" t="s">
        <v>66</v>
      </c>
      <c r="E20" s="40" t="s">
        <v>67</v>
      </c>
      <c r="F20" s="41" t="str" cm="1">
        <f t="array" aca="1" ref="F20" ca="1">IFERROR(_xll.SNL.Clients.Office.Excel.Functions.SPG($E20, $F$3)/100,"NA")</f>
        <v>NA</v>
      </c>
      <c r="G20" s="42" t="e" cm="1">
        <f t="array" aca="1" ref="G20" ca="1">_xll.SNL.Clients.Office.Excel.Functions.SPG($E20, "SP_PCFPS_FWD",G$2)</f>
        <v>#NAME?</v>
      </c>
      <c r="H20" s="43" t="e" cm="1">
        <f t="array" aca="1" ref="H20" ca="1">_xll.SNL.Clients.Office.Excel.Functions.SPG($E20, "SP_PCFPS_FWD",H$2)</f>
        <v>#NAME?</v>
      </c>
      <c r="I20" s="44" t="e" cm="1">
        <f t="array" aca="1" ref="I20" ca="1">_xll.SNL.Clients.Office.Excel.Functions.SPG($E20, "SP_PCFPS_FWD",I$2)</f>
        <v>#NAME?</v>
      </c>
      <c r="J20" s="45" t="str">
        <f ca="1">IFERROR(_xll.SNL.Clients.Office.Excel.Functions.SPG($E20, "SP_FCF_EST",J$2, "Options: Curr=USD")/1000/C20,"NA")</f>
        <v>NA</v>
      </c>
      <c r="K20" s="45" t="str">
        <f ca="1">IFERROR(_xll.SNL.Clients.Office.Excel.Functions.SPG($E20, "SP_FCF_EST",K$2, "Options: Curr=USD")/1000/C20,"NA")</f>
        <v>NA</v>
      </c>
      <c r="L20" s="45" t="str">
        <f ca="1">IFERROR(_xll.SNL.Clients.Office.Excel.Functions.SPG($E20, "SP_FCF_EST",L$2, "Options: Curr=USD")/1000/D20,"NA")</f>
        <v>NA</v>
      </c>
      <c r="M20" s="42" t="e" cm="1">
        <f t="array" aca="1" ref="M20" ca="1">_xll.SNL.Clients.Office.Excel.Functions.SPG($E20, "SP_PE_FWD",M$2)</f>
        <v>#NAME?</v>
      </c>
      <c r="N20" s="43" t="e" cm="1">
        <f t="array" aca="1" ref="N20" ca="1">_xll.SNL.Clients.Office.Excel.Functions.SPG($E20, "SP_PE_FWD",N$2)</f>
        <v>#NAME?</v>
      </c>
      <c r="O20" s="44" t="e" cm="1">
        <f t="array" aca="1" ref="O20" ca="1">_xll.SNL.Clients.Office.Excel.Functions.SPG($E20, "SP_PE_FWD",O$2)</f>
        <v>#NAME?</v>
      </c>
      <c r="P20" s="54" t="e" cm="1">
        <f t="array" aca="1" ref="P20" ca="1">IF((_xll.SNL.Clients.Office.Excel.Functions.SPG($E20,$P$3,P$4,"Options: Curr=USD") / _xll.SNL.Clients.Office.Excel.Functions.SPG($E20,"SP_EBITDA_EST",P$2,"Options: Curr=USD")) &lt; 0, "NM", (_xll.SNL.Clients.Office.Excel.Functions.SPG($E20,$P$3,P$4,"Options: Curr=USD") / _xll.SNL.Clients.Office.Excel.Functions.SPG($E20,"SP_EBITDA_EST",P$2,"Options: Curr=USD")))</f>
        <v>#NAME?</v>
      </c>
      <c r="Q20" s="55" t="e" cm="1">
        <f t="array" aca="1" ref="Q20" ca="1">_xll.SNL.Clients.Office.Excel.Functions.SPG($E20, $Q$3,Q$4)</f>
        <v>#NAME?</v>
      </c>
      <c r="R20" s="43" t="e" cm="1">
        <f t="array" aca="1" ref="R20" ca="1">_xll.SNL.Clients.Office.Excel.Functions.SPG($E20, $R$3,R$2)</f>
        <v>#NAME?</v>
      </c>
      <c r="S20" s="43" t="e" cm="1">
        <f t="array" aca="1" ref="S20" ca="1">_xll.SNL.Clients.Office.Excel.Functions.SPG($E20, $R$3,S$2)</f>
        <v>#NAME?</v>
      </c>
      <c r="T20" s="44" t="e" cm="1">
        <f t="array" aca="1" ref="T20" ca="1">_xll.SNL.Clients.Office.Excel.Functions.SPG($E20, $R$3,T$2)</f>
        <v>#NAME?</v>
      </c>
      <c r="U20" s="50" t="e">
        <f ca="1" xml:space="preserve"> IF(ISNUMBER(SEARCH("na",_xll.SNL.Clients.Office.Excel.Functions.SPG($E20, $U$4, U$2))), 0,_xll.SNL.Clients.Office.Excel.Functions.SPG($E20, $U$4, U$2))</f>
        <v>#NAME?</v>
      </c>
      <c r="V20" s="50" t="e">
        <f ca="1" xml:space="preserve"> IF(ISNUMBER(SEARCH("na",_xll.SNL.Clients.Office.Excel.Functions.SPG($E20, $U$4, V$2))), 0,_xll.SNL.Clients.Office.Excel.Functions.SPG($E20, $U$4, V$2))</f>
        <v>#NAME?</v>
      </c>
      <c r="W20" s="50" t="e">
        <f ca="1" xml:space="preserve"> IF(ISNUMBER(SEARCH("na",_xll.SNL.Clients.Office.Excel.Functions.SPG($E20, $U$4, W$2))), 0,_xll.SNL.Clients.Office.Excel.Functions.SPG($E20, $U$4, W$2))</f>
        <v>#NAME?</v>
      </c>
      <c r="X20" s="56" t="str">
        <f t="shared" ca="1" si="3"/>
        <v>NA</v>
      </c>
      <c r="Y20" s="57" t="str">
        <f t="shared" ca="1" si="3"/>
        <v>NA</v>
      </c>
      <c r="Z20" s="58" t="str">
        <f t="shared" ca="1" si="3"/>
        <v>NA</v>
      </c>
      <c r="AA20" s="50"/>
      <c r="AB20" s="50"/>
      <c r="AC20" s="50"/>
    </row>
    <row r="21" spans="1:29" ht="13.8" x14ac:dyDescent="0.25">
      <c r="A21" s="37" t="e">
        <f ca="1">_xll.SNL.Clients.Office.Excel.Functions.SPG($E21, A$3)</f>
        <v>#NAME?</v>
      </c>
      <c r="B21" s="38" t="e">
        <f ca="1">_xll.SNL.Clients.Office.Excel.Functions.SPG($E21, "IQ_TEV", "Options: Curr=USD")</f>
        <v>#NAME?</v>
      </c>
      <c r="C21" s="38" t="e">
        <f ca="1">_xll.SNL.Clients.Office.Excel.Functions.SPG($E21, "SP_MARKETCAP", "Options: Curr=USD")</f>
        <v>#NAME?</v>
      </c>
      <c r="D21" s="39" t="s">
        <v>68</v>
      </c>
      <c r="E21" s="40" t="s">
        <v>69</v>
      </c>
      <c r="F21" s="41" t="str" cm="1">
        <f t="array" aca="1" ref="F21" ca="1">IFERROR(_xll.SNL.Clients.Office.Excel.Functions.SPG($E21, $F$3)/100,"NA")</f>
        <v>NA</v>
      </c>
      <c r="G21" s="42" t="e" cm="1">
        <f t="array" aca="1" ref="G21" ca="1">_xll.SNL.Clients.Office.Excel.Functions.SPG($E21, "SP_PCFPS_FWD",G$2)</f>
        <v>#NAME?</v>
      </c>
      <c r="H21" s="43" t="e" cm="1">
        <f t="array" aca="1" ref="H21" ca="1">_xll.SNL.Clients.Office.Excel.Functions.SPG($E21, "SP_PCFPS_FWD",H$2)</f>
        <v>#NAME?</v>
      </c>
      <c r="I21" s="44" t="e" cm="1">
        <f t="array" aca="1" ref="I21" ca="1">_xll.SNL.Clients.Office.Excel.Functions.SPG($E21, "SP_PCFPS_FWD",I$2)</f>
        <v>#NAME?</v>
      </c>
      <c r="J21" s="45" t="str">
        <f ca="1">IFERROR(_xll.SNL.Clients.Office.Excel.Functions.SPG($E21, "SP_FCF_EST",J$2, "Options: Curr=USD")/1000/C21,"NA")</f>
        <v>NA</v>
      </c>
      <c r="K21" s="45" t="str">
        <f ca="1">IFERROR(_xll.SNL.Clients.Office.Excel.Functions.SPG($E21, "SP_FCF_EST",K$2, "Options: Curr=USD")/1000/C21,"NA")</f>
        <v>NA</v>
      </c>
      <c r="L21" s="45" t="str">
        <f ca="1">IFERROR(_xll.SNL.Clients.Office.Excel.Functions.SPG($E21, "SP_FCF_EST",L$2, "Options: Curr=USD")/1000/D21,"NA")</f>
        <v>NA</v>
      </c>
      <c r="M21" s="42" t="e" cm="1">
        <f t="array" aca="1" ref="M21" ca="1">_xll.SNL.Clients.Office.Excel.Functions.SPG($E21, "SP_PE_FWD",M$2)</f>
        <v>#NAME?</v>
      </c>
      <c r="N21" s="43" t="e" cm="1">
        <f t="array" aca="1" ref="N21" ca="1">_xll.SNL.Clients.Office.Excel.Functions.SPG($E21, "SP_PE_FWD",N$2)</f>
        <v>#NAME?</v>
      </c>
      <c r="O21" s="44" t="e" cm="1">
        <f t="array" aca="1" ref="O21" ca="1">_xll.SNL.Clients.Office.Excel.Functions.SPG($E21, "SP_PE_FWD",O$2)</f>
        <v>#NAME?</v>
      </c>
      <c r="P21" s="54" t="e" cm="1">
        <f t="array" aca="1" ref="P21" ca="1">IF((_xll.SNL.Clients.Office.Excel.Functions.SPG($E21,$P$3,P$4,"Options: Curr=USD") / _xll.SNL.Clients.Office.Excel.Functions.SPG($E21,"SP_EBITDA_EST",P$2,"Options: Curr=USD")) &lt; 0, "NM", (_xll.SNL.Clients.Office.Excel.Functions.SPG($E21,$P$3,P$4,"Options: Curr=USD") / _xll.SNL.Clients.Office.Excel.Functions.SPG($E21,"SP_EBITDA_EST",P$2,"Options: Curr=USD")))</f>
        <v>#NAME?</v>
      </c>
      <c r="Q21" s="55" t="e" cm="1">
        <f t="array" aca="1" ref="Q21" ca="1">_xll.SNL.Clients.Office.Excel.Functions.SPG($E21, $Q$3,Q$4)</f>
        <v>#NAME?</v>
      </c>
      <c r="R21" s="43" t="e" cm="1">
        <f t="array" aca="1" ref="R21" ca="1">_xll.SNL.Clients.Office.Excel.Functions.SPG($E21, $R$3,R$2)</f>
        <v>#NAME?</v>
      </c>
      <c r="S21" s="43" t="e" cm="1">
        <f t="array" aca="1" ref="S21" ca="1">_xll.SNL.Clients.Office.Excel.Functions.SPG($E21, $R$3,S$2)</f>
        <v>#NAME?</v>
      </c>
      <c r="T21" s="44" t="e" cm="1">
        <f t="array" aca="1" ref="T21" ca="1">_xll.SNL.Clients.Office.Excel.Functions.SPG($E21, $R$3,T$2)</f>
        <v>#NAME?</v>
      </c>
      <c r="U21" s="50" t="e">
        <f ca="1" xml:space="preserve"> IF(ISNUMBER(SEARCH("na",_xll.SNL.Clients.Office.Excel.Functions.SPG($E21, $U$4, U$2))), 0,_xll.SNL.Clients.Office.Excel.Functions.SPG($E21, $U$4, U$2))</f>
        <v>#NAME?</v>
      </c>
      <c r="V21" s="50" t="e">
        <f ca="1" xml:space="preserve"> IF(ISNUMBER(SEARCH("na",_xll.SNL.Clients.Office.Excel.Functions.SPG($E21, $U$4, V$2))), 0,_xll.SNL.Clients.Office.Excel.Functions.SPG($E21, $U$4, V$2))</f>
        <v>#NAME?</v>
      </c>
      <c r="W21" s="50" t="e">
        <f ca="1" xml:space="preserve"> IF(ISNUMBER(SEARCH("na",_xll.SNL.Clients.Office.Excel.Functions.SPG($E21, $U$4, W$2))), 0,_xll.SNL.Clients.Office.Excel.Functions.SPG($E21, $U$4, W$2))</f>
        <v>#NAME?</v>
      </c>
      <c r="X21" s="56" t="str">
        <f t="shared" ca="1" si="3"/>
        <v>NA</v>
      </c>
      <c r="Y21" s="57" t="str">
        <f t="shared" ca="1" si="3"/>
        <v>NA</v>
      </c>
      <c r="Z21" s="58" t="str">
        <f t="shared" ca="1" si="3"/>
        <v>NA</v>
      </c>
      <c r="AA21" s="50"/>
      <c r="AB21" s="50"/>
      <c r="AC21" s="50"/>
    </row>
    <row r="22" spans="1:29" ht="13.8" x14ac:dyDescent="0.25">
      <c r="A22" s="37" t="e">
        <f ca="1">_xll.SNL.Clients.Office.Excel.Functions.SPG($E22, A$3)</f>
        <v>#NAME?</v>
      </c>
      <c r="B22" s="38" t="e">
        <f ca="1">_xll.SNL.Clients.Office.Excel.Functions.SPG($E22, "IQ_TEV", "Options: Curr=USD")</f>
        <v>#NAME?</v>
      </c>
      <c r="C22" s="38" t="e">
        <f ca="1">_xll.SNL.Clients.Office.Excel.Functions.SPG($E22, "SP_MARKETCAP", "Options: Curr=USD")</f>
        <v>#NAME?</v>
      </c>
      <c r="D22" s="39" t="s">
        <v>70</v>
      </c>
      <c r="E22" s="40" t="s">
        <v>71</v>
      </c>
      <c r="F22" s="41" t="str" cm="1">
        <f t="array" aca="1" ref="F22" ca="1">IFERROR(_xll.SNL.Clients.Office.Excel.Functions.SPG($E22, $F$3)/100,"NA")</f>
        <v>NA</v>
      </c>
      <c r="G22" s="42" t="e" cm="1">
        <f t="array" aca="1" ref="G22" ca="1">_xll.SNL.Clients.Office.Excel.Functions.SPG($E22, "SP_PCFPS_FWD",G$2)</f>
        <v>#NAME?</v>
      </c>
      <c r="H22" s="43" t="e" cm="1">
        <f t="array" aca="1" ref="H22" ca="1">_xll.SNL.Clients.Office.Excel.Functions.SPG($E22, "SP_PCFPS_FWD",H$2)</f>
        <v>#NAME?</v>
      </c>
      <c r="I22" s="44" t="e" cm="1">
        <f t="array" aca="1" ref="I22" ca="1">_xll.SNL.Clients.Office.Excel.Functions.SPG($E22, "SP_PCFPS_FWD",I$2)</f>
        <v>#NAME?</v>
      </c>
      <c r="J22" s="45" t="str">
        <f ca="1">IFERROR(_xll.SNL.Clients.Office.Excel.Functions.SPG($E22, "SP_FCF_EST",J$2, "Options: Curr=USD")/1000/C22,"NA")</f>
        <v>NA</v>
      </c>
      <c r="K22" s="45" t="str">
        <f ca="1">IFERROR(_xll.SNL.Clients.Office.Excel.Functions.SPG($E22, "SP_FCF_EST",K$2, "Options: Curr=USD")/1000/C22,"NA")</f>
        <v>NA</v>
      </c>
      <c r="L22" s="45" t="str">
        <f ca="1">IFERROR(_xll.SNL.Clients.Office.Excel.Functions.SPG($E22, "SP_FCF_EST",L$2, "Options: Curr=USD")/1000/D22,"NA")</f>
        <v>NA</v>
      </c>
      <c r="M22" s="42" t="e" cm="1">
        <f t="array" aca="1" ref="M22" ca="1">_xll.SNL.Clients.Office.Excel.Functions.SPG($E22, "SP_PE_FWD",M$2)</f>
        <v>#NAME?</v>
      </c>
      <c r="N22" s="43" t="e" cm="1">
        <f t="array" aca="1" ref="N22" ca="1">_xll.SNL.Clients.Office.Excel.Functions.SPG($E22, "SP_PE_FWD",N$2)</f>
        <v>#NAME?</v>
      </c>
      <c r="O22" s="44" t="e" cm="1">
        <f t="array" aca="1" ref="O22" ca="1">_xll.SNL.Clients.Office.Excel.Functions.SPG($E22, "SP_PE_FWD",O$2)</f>
        <v>#NAME?</v>
      </c>
      <c r="P22" s="54" t="e" cm="1">
        <f t="array" aca="1" ref="P22" ca="1">IF((_xll.SNL.Clients.Office.Excel.Functions.SPG($E22,$P$3,P$4,"Options: Curr=USD") / _xll.SNL.Clients.Office.Excel.Functions.SPG($E22,"SP_EBITDA_EST",P$2,"Options: Curr=USD")) &lt; 0, "NM", (_xll.SNL.Clients.Office.Excel.Functions.SPG($E22,$P$3,P$4,"Options: Curr=USD") / _xll.SNL.Clients.Office.Excel.Functions.SPG($E22,"SP_EBITDA_EST",P$2,"Options: Curr=USD")))</f>
        <v>#NAME?</v>
      </c>
      <c r="Q22" s="55" t="e" cm="1">
        <f t="array" aca="1" ref="Q22" ca="1">_xll.SNL.Clients.Office.Excel.Functions.SPG($E22, $Q$3,Q$4)</f>
        <v>#NAME?</v>
      </c>
      <c r="R22" s="43" t="e" cm="1">
        <f t="array" aca="1" ref="R22" ca="1">_xll.SNL.Clients.Office.Excel.Functions.SPG($E22, $R$3,R$2)</f>
        <v>#NAME?</v>
      </c>
      <c r="S22" s="43" t="e" cm="1">
        <f t="array" aca="1" ref="S22" ca="1">_xll.SNL.Clients.Office.Excel.Functions.SPG($E22, $R$3,S$2)</f>
        <v>#NAME?</v>
      </c>
      <c r="T22" s="44" t="e" cm="1">
        <f t="array" aca="1" ref="T22" ca="1">_xll.SNL.Clients.Office.Excel.Functions.SPG($E22, $R$3,T$2)</f>
        <v>#NAME?</v>
      </c>
      <c r="U22" s="50" t="e">
        <f ca="1" xml:space="preserve"> IF(ISNUMBER(SEARCH("na",_xll.SNL.Clients.Office.Excel.Functions.SPG($E22, $U$4, U$2))), 0,_xll.SNL.Clients.Office.Excel.Functions.SPG($E22, $U$4, U$2))</f>
        <v>#NAME?</v>
      </c>
      <c r="V22" s="50" t="e">
        <f ca="1" xml:space="preserve"> IF(ISNUMBER(SEARCH("na",_xll.SNL.Clients.Office.Excel.Functions.SPG($E22, $U$4, V$2))), 0,_xll.SNL.Clients.Office.Excel.Functions.SPG($E22, $U$4, V$2))</f>
        <v>#NAME?</v>
      </c>
      <c r="W22" s="50" t="e">
        <f ca="1" xml:space="preserve"> IF(ISNUMBER(SEARCH("na",_xll.SNL.Clients.Office.Excel.Functions.SPG($E22, $U$4, W$2))), 0,_xll.SNL.Clients.Office.Excel.Functions.SPG($E22, $U$4, W$2))</f>
        <v>#NAME?</v>
      </c>
      <c r="X22" s="56" t="str">
        <f t="shared" ca="1" si="3"/>
        <v>NA</v>
      </c>
      <c r="Y22" s="57" t="str">
        <f t="shared" ca="1" si="3"/>
        <v>NA</v>
      </c>
      <c r="Z22" s="58" t="str">
        <f t="shared" ca="1" si="3"/>
        <v>NA</v>
      </c>
      <c r="AA22" s="50"/>
      <c r="AB22" s="50"/>
      <c r="AC22" s="50"/>
    </row>
    <row r="23" spans="1:29" ht="13.8" x14ac:dyDescent="0.25">
      <c r="A23" s="37" t="e">
        <f ca="1">_xll.SNL.Clients.Office.Excel.Functions.SPG($E23, A$3)</f>
        <v>#NAME?</v>
      </c>
      <c r="B23" s="38" t="e">
        <f ca="1">_xll.SNL.Clients.Office.Excel.Functions.SPG($E23, "IQ_TEV", "Options: Curr=USD")</f>
        <v>#NAME?</v>
      </c>
      <c r="C23" s="38" t="e">
        <f ca="1">_xll.SNL.Clients.Office.Excel.Functions.SPG($E23, "SP_MARKETCAP", "Options: Curr=USD")</f>
        <v>#NAME?</v>
      </c>
      <c r="D23" s="39" t="s">
        <v>72</v>
      </c>
      <c r="E23" s="40" t="s">
        <v>73</v>
      </c>
      <c r="F23" s="41" t="str" cm="1">
        <f t="array" aca="1" ref="F23" ca="1">IFERROR(_xll.SNL.Clients.Office.Excel.Functions.SPG($E23, $F$3)/100,"NA")</f>
        <v>NA</v>
      </c>
      <c r="G23" s="42" t="e" cm="1">
        <f t="array" aca="1" ref="G23" ca="1">_xll.SNL.Clients.Office.Excel.Functions.SPG($E23, "SP_PCFPS_FWD",G$2)</f>
        <v>#NAME?</v>
      </c>
      <c r="H23" s="43" t="e" cm="1">
        <f t="array" aca="1" ref="H23" ca="1">_xll.SNL.Clients.Office.Excel.Functions.SPG($E23, "SP_PCFPS_FWD",H$2)</f>
        <v>#NAME?</v>
      </c>
      <c r="I23" s="44" t="e" cm="1">
        <f t="array" aca="1" ref="I23" ca="1">_xll.SNL.Clients.Office.Excel.Functions.SPG($E23, "SP_PCFPS_FWD",I$2)</f>
        <v>#NAME?</v>
      </c>
      <c r="J23" s="45" t="str">
        <f ca="1">IFERROR(_xll.SNL.Clients.Office.Excel.Functions.SPG($E23, "SP_FCF_EST",J$2, "Options: Curr=USD")/1000/C23,"NA")</f>
        <v>NA</v>
      </c>
      <c r="K23" s="45" t="str">
        <f ca="1">IFERROR(_xll.SNL.Clients.Office.Excel.Functions.SPG($E23, "SP_FCF_EST",K$2, "Options: Curr=USD")/1000/C23,"NA")</f>
        <v>NA</v>
      </c>
      <c r="L23" s="45" t="str">
        <f ca="1">IFERROR(_xll.SNL.Clients.Office.Excel.Functions.SPG($E23, "SP_FCF_EST",L$2, "Options: Curr=USD")/1000/D23,"NA")</f>
        <v>NA</v>
      </c>
      <c r="M23" s="42" t="e" cm="1">
        <f t="array" aca="1" ref="M23" ca="1">_xll.SNL.Clients.Office.Excel.Functions.SPG($E23, "SP_PE_FWD",M$2)</f>
        <v>#NAME?</v>
      </c>
      <c r="N23" s="43" t="e" cm="1">
        <f t="array" aca="1" ref="N23" ca="1">_xll.SNL.Clients.Office.Excel.Functions.SPG($E23, "SP_PE_FWD",N$2)</f>
        <v>#NAME?</v>
      </c>
      <c r="O23" s="44" t="e" cm="1">
        <f t="array" aca="1" ref="O23" ca="1">_xll.SNL.Clients.Office.Excel.Functions.SPG($E23, "SP_PE_FWD",O$2)</f>
        <v>#NAME?</v>
      </c>
      <c r="P23" s="54" t="e" cm="1">
        <f t="array" aca="1" ref="P23" ca="1">IF((_xll.SNL.Clients.Office.Excel.Functions.SPG($E23,$P$3,P$4,"Options: Curr=USD") / _xll.SNL.Clients.Office.Excel.Functions.SPG($E23,"SP_EBITDA_EST",P$2,"Options: Curr=USD")) &lt; 0, "NM", (_xll.SNL.Clients.Office.Excel.Functions.SPG($E23,$P$3,P$4,"Options: Curr=USD") / _xll.SNL.Clients.Office.Excel.Functions.SPG($E23,"SP_EBITDA_EST",P$2,"Options: Curr=USD")))</f>
        <v>#NAME?</v>
      </c>
      <c r="Q23" s="55" t="e" cm="1">
        <f t="array" aca="1" ref="Q23" ca="1">_xll.SNL.Clients.Office.Excel.Functions.SPG($E23, $Q$3,Q$4)</f>
        <v>#NAME?</v>
      </c>
      <c r="R23" s="43" t="e" cm="1">
        <f t="array" aca="1" ref="R23" ca="1">_xll.SNL.Clients.Office.Excel.Functions.SPG($E23, $R$3,R$2)</f>
        <v>#NAME?</v>
      </c>
      <c r="S23" s="43" t="e" cm="1">
        <f t="array" aca="1" ref="S23" ca="1">_xll.SNL.Clients.Office.Excel.Functions.SPG($E23, $R$3,S$2)</f>
        <v>#NAME?</v>
      </c>
      <c r="T23" s="44" t="e" cm="1">
        <f t="array" aca="1" ref="T23" ca="1">_xll.SNL.Clients.Office.Excel.Functions.SPG($E23, $R$3,T$2)</f>
        <v>#NAME?</v>
      </c>
      <c r="U23" s="50" t="e">
        <f ca="1" xml:space="preserve"> IF(ISNUMBER(SEARCH("na",_xll.SNL.Clients.Office.Excel.Functions.SPG($E23, $U$4, U$2))), 0,_xll.SNL.Clients.Office.Excel.Functions.SPG($E23, $U$4, U$2))</f>
        <v>#NAME?</v>
      </c>
      <c r="V23" s="50" t="e">
        <f ca="1" xml:space="preserve"> IF(ISNUMBER(SEARCH("na",_xll.SNL.Clients.Office.Excel.Functions.SPG($E23, $U$4, V$2))), 0,_xll.SNL.Clients.Office.Excel.Functions.SPG($E23, $U$4, V$2))</f>
        <v>#NAME?</v>
      </c>
      <c r="W23" s="50" t="e">
        <f ca="1" xml:space="preserve"> IF(ISNUMBER(SEARCH("na",_xll.SNL.Clients.Office.Excel.Functions.SPG($E23, $U$4, W$2))), 0,_xll.SNL.Clients.Office.Excel.Functions.SPG($E23, $U$4, W$2))</f>
        <v>#NAME?</v>
      </c>
      <c r="X23" s="56" t="str">
        <f t="shared" ca="1" si="3"/>
        <v>NA</v>
      </c>
      <c r="Y23" s="57" t="str">
        <f t="shared" ca="1" si="3"/>
        <v>NA</v>
      </c>
      <c r="Z23" s="58" t="str">
        <f t="shared" ca="1" si="3"/>
        <v>NA</v>
      </c>
      <c r="AA23" s="50"/>
      <c r="AB23" s="50"/>
      <c r="AC23" s="50"/>
    </row>
    <row r="24" spans="1:29" ht="13.8" x14ac:dyDescent="0.25">
      <c r="A24" s="37" t="e">
        <f ca="1">_xll.SNL.Clients.Office.Excel.Functions.SPG($E24, A$3)</f>
        <v>#NAME?</v>
      </c>
      <c r="B24" s="38" t="e">
        <f ca="1">_xll.SNL.Clients.Office.Excel.Functions.SPG($E24, "IQ_TEV", "Options: Curr=USD")</f>
        <v>#NAME?</v>
      </c>
      <c r="C24" s="38" t="e">
        <f ca="1">_xll.SNL.Clients.Office.Excel.Functions.SPG($E24, "SP_MARKETCAP", "Options: Curr=USD")</f>
        <v>#NAME?</v>
      </c>
      <c r="D24" s="39" t="s">
        <v>74</v>
      </c>
      <c r="E24" s="40" t="s">
        <v>75</v>
      </c>
      <c r="F24" s="41" t="str" cm="1">
        <f t="array" aca="1" ref="F24" ca="1">IFERROR(_xll.SNL.Clients.Office.Excel.Functions.SPG($E24, $F$3)/100,"NA")</f>
        <v>NA</v>
      </c>
      <c r="G24" s="42" t="e" cm="1">
        <f t="array" aca="1" ref="G24" ca="1">_xll.SNL.Clients.Office.Excel.Functions.SPG($E24, "SP_PCFPS_FWD",G$2)</f>
        <v>#NAME?</v>
      </c>
      <c r="H24" s="43" t="e" cm="1">
        <f t="array" aca="1" ref="H24" ca="1">_xll.SNL.Clients.Office.Excel.Functions.SPG($E24, "SP_PCFPS_FWD",H$2)</f>
        <v>#NAME?</v>
      </c>
      <c r="I24" s="44" t="e" cm="1">
        <f t="array" aca="1" ref="I24" ca="1">_xll.SNL.Clients.Office.Excel.Functions.SPG($E24, "SP_PCFPS_FWD",I$2)</f>
        <v>#NAME?</v>
      </c>
      <c r="J24" s="45" t="str">
        <f ca="1">IFERROR(_xll.SNL.Clients.Office.Excel.Functions.SPG($E24, "SP_FCF_EST",J$2, "Options: Curr=USD")/1000/C24,"NA")</f>
        <v>NA</v>
      </c>
      <c r="K24" s="45" t="str">
        <f ca="1">IFERROR(_xll.SNL.Clients.Office.Excel.Functions.SPG($E24, "SP_FCF_EST",K$2, "Options: Curr=USD")/1000/C24,"NA")</f>
        <v>NA</v>
      </c>
      <c r="L24" s="45" t="str">
        <f ca="1">IFERROR(_xll.SNL.Clients.Office.Excel.Functions.SPG($E24, "SP_FCF_EST",L$2, "Options: Curr=USD")/1000/D24,"NA")</f>
        <v>NA</v>
      </c>
      <c r="M24" s="42" t="e" cm="1">
        <f t="array" aca="1" ref="M24" ca="1">_xll.SNL.Clients.Office.Excel.Functions.SPG($E24, "SP_PE_FWD",M$2)</f>
        <v>#NAME?</v>
      </c>
      <c r="N24" s="43" t="e" cm="1">
        <f t="array" aca="1" ref="N24" ca="1">_xll.SNL.Clients.Office.Excel.Functions.SPG($E24, "SP_PE_FWD",N$2)</f>
        <v>#NAME?</v>
      </c>
      <c r="O24" s="44" t="e" cm="1">
        <f t="array" aca="1" ref="O24" ca="1">_xll.SNL.Clients.Office.Excel.Functions.SPG($E24, "SP_PE_FWD",O$2)</f>
        <v>#NAME?</v>
      </c>
      <c r="P24" s="54" t="e" cm="1">
        <f t="array" aca="1" ref="P24" ca="1">IF((_xll.SNL.Clients.Office.Excel.Functions.SPG($E24,$P$3,P$4,"Options: Curr=USD") / _xll.SNL.Clients.Office.Excel.Functions.SPG($E24,"SP_EBITDA_EST",P$2,"Options: Curr=USD")) &lt; 0, "NM", (_xll.SNL.Clients.Office.Excel.Functions.SPG($E24,$P$3,P$4,"Options: Curr=USD") / _xll.SNL.Clients.Office.Excel.Functions.SPG($E24,"SP_EBITDA_EST",P$2,"Options: Curr=USD")))</f>
        <v>#NAME?</v>
      </c>
      <c r="Q24" s="55" t="e" cm="1">
        <f t="array" aca="1" ref="Q24" ca="1">_xll.SNL.Clients.Office.Excel.Functions.SPG($E24, $Q$3,Q$4)</f>
        <v>#NAME?</v>
      </c>
      <c r="R24" s="43" t="e" cm="1">
        <f t="array" aca="1" ref="R24" ca="1">_xll.SNL.Clients.Office.Excel.Functions.SPG($E24, $R$3,R$2)</f>
        <v>#NAME?</v>
      </c>
      <c r="S24" s="43" t="e" cm="1">
        <f t="array" aca="1" ref="S24" ca="1">_xll.SNL.Clients.Office.Excel.Functions.SPG($E24, $R$3,S$2)</f>
        <v>#NAME?</v>
      </c>
      <c r="T24" s="44" t="e" cm="1">
        <f t="array" aca="1" ref="T24" ca="1">_xll.SNL.Clients.Office.Excel.Functions.SPG($E24, $R$3,T$2)</f>
        <v>#NAME?</v>
      </c>
      <c r="U24" s="50" t="e">
        <f ca="1" xml:space="preserve"> IF(ISNUMBER(SEARCH("na",_xll.SNL.Clients.Office.Excel.Functions.SPG($E24, $U$4, U$2))), 0,_xll.SNL.Clients.Office.Excel.Functions.SPG($E24, $U$4, U$2))</f>
        <v>#NAME?</v>
      </c>
      <c r="V24" s="50" t="e">
        <f ca="1" xml:space="preserve"> IF(ISNUMBER(SEARCH("na",_xll.SNL.Clients.Office.Excel.Functions.SPG($E24, $U$4, V$2))), 0,_xll.SNL.Clients.Office.Excel.Functions.SPG($E24, $U$4, V$2))</f>
        <v>#NAME?</v>
      </c>
      <c r="W24" s="50" t="e">
        <f ca="1" xml:space="preserve"> IF(ISNUMBER(SEARCH("na",_xll.SNL.Clients.Office.Excel.Functions.SPG($E24, $U$4, W$2))), 0,_xll.SNL.Clients.Office.Excel.Functions.SPG($E24, $U$4, W$2))</f>
        <v>#NAME?</v>
      </c>
      <c r="X24" s="56" t="str">
        <f t="shared" ca="1" si="3"/>
        <v>NA</v>
      </c>
      <c r="Y24" s="57" t="str">
        <f t="shared" ca="1" si="3"/>
        <v>NA</v>
      </c>
      <c r="Z24" s="58" t="str">
        <f t="shared" ca="1" si="3"/>
        <v>NA</v>
      </c>
      <c r="AA24" s="50"/>
      <c r="AB24" s="50"/>
      <c r="AC24" s="50"/>
    </row>
    <row r="25" spans="1:29" ht="13.8" x14ac:dyDescent="0.25">
      <c r="A25" s="37" t="e">
        <f ca="1">_xll.SNL.Clients.Office.Excel.Functions.SPG($E25, A$3)</f>
        <v>#NAME?</v>
      </c>
      <c r="B25" s="38" t="e">
        <f ca="1">_xll.SNL.Clients.Office.Excel.Functions.SPG($E25, "IQ_TEV", "Options: Curr=USD")</f>
        <v>#NAME?</v>
      </c>
      <c r="C25" s="38" t="e">
        <f ca="1">_xll.SNL.Clients.Office.Excel.Functions.SPG($E25, "SP_MARKETCAP", "Options: Curr=USD")</f>
        <v>#NAME?</v>
      </c>
      <c r="D25" s="39" t="s">
        <v>76</v>
      </c>
      <c r="E25" s="40" t="s">
        <v>77</v>
      </c>
      <c r="F25" s="41" t="str" cm="1">
        <f t="array" aca="1" ref="F25" ca="1">IFERROR(_xll.SNL.Clients.Office.Excel.Functions.SPG($E25, $F$3)/100,"NA")</f>
        <v>NA</v>
      </c>
      <c r="G25" s="42" t="e" cm="1">
        <f t="array" aca="1" ref="G25" ca="1">_xll.SNL.Clients.Office.Excel.Functions.SPG($E25, "SP_PCFPS_FWD",G$2)</f>
        <v>#NAME?</v>
      </c>
      <c r="H25" s="43" t="e" cm="1">
        <f t="array" aca="1" ref="H25" ca="1">_xll.SNL.Clients.Office.Excel.Functions.SPG($E25, "SP_PCFPS_FWD",H$2)</f>
        <v>#NAME?</v>
      </c>
      <c r="I25" s="44" t="e" cm="1">
        <f t="array" aca="1" ref="I25" ca="1">_xll.SNL.Clients.Office.Excel.Functions.SPG($E25, "SP_PCFPS_FWD",I$2)</f>
        <v>#NAME?</v>
      </c>
      <c r="J25" s="45" t="str">
        <f ca="1">IFERROR(_xll.SNL.Clients.Office.Excel.Functions.SPG($E25, "SP_FCF_EST",J$2, "Options: Curr=USD")/1000/C25,"NA")</f>
        <v>NA</v>
      </c>
      <c r="K25" s="45" t="str">
        <f ca="1">IFERROR(_xll.SNL.Clients.Office.Excel.Functions.SPG($E25, "SP_FCF_EST",K$2, "Options: Curr=USD")/1000/C25,"NA")</f>
        <v>NA</v>
      </c>
      <c r="L25" s="45" t="str">
        <f ca="1">IFERROR(_xll.SNL.Clients.Office.Excel.Functions.SPG($E25, "SP_FCF_EST",L$2, "Options: Curr=USD")/1000/D25,"NA")</f>
        <v>NA</v>
      </c>
      <c r="M25" s="42" t="e" cm="1">
        <f t="array" aca="1" ref="M25" ca="1">_xll.SNL.Clients.Office.Excel.Functions.SPG($E25, "SP_PE_FWD",M$2)</f>
        <v>#NAME?</v>
      </c>
      <c r="N25" s="43" t="e" cm="1">
        <f t="array" aca="1" ref="N25" ca="1">_xll.SNL.Clients.Office.Excel.Functions.SPG($E25, "SP_PE_FWD",N$2)</f>
        <v>#NAME?</v>
      </c>
      <c r="O25" s="44" t="e" cm="1">
        <f t="array" aca="1" ref="O25" ca="1">_xll.SNL.Clients.Office.Excel.Functions.SPG($E25, "SP_PE_FWD",O$2)</f>
        <v>#NAME?</v>
      </c>
      <c r="P25" s="54" t="e" cm="1">
        <f t="array" aca="1" ref="P25" ca="1">IF((_xll.SNL.Clients.Office.Excel.Functions.SPG($E25,$P$3,P$4,"Options: Curr=USD") / _xll.SNL.Clients.Office.Excel.Functions.SPG($E25,"SP_EBITDA_EST",P$2,"Options: Curr=USD")) &lt; 0, "NM", (_xll.SNL.Clients.Office.Excel.Functions.SPG($E25,$P$3,P$4,"Options: Curr=USD") / _xll.SNL.Clients.Office.Excel.Functions.SPG($E25,"SP_EBITDA_EST",P$2,"Options: Curr=USD")))</f>
        <v>#NAME?</v>
      </c>
      <c r="Q25" s="55" t="e" cm="1">
        <f t="array" aca="1" ref="Q25" ca="1">_xll.SNL.Clients.Office.Excel.Functions.SPG($E25, $Q$3,Q$4)</f>
        <v>#NAME?</v>
      </c>
      <c r="R25" s="43" t="e" cm="1">
        <f t="array" aca="1" ref="R25" ca="1">_xll.SNL.Clients.Office.Excel.Functions.SPG($E25, $R$3,R$2)</f>
        <v>#NAME?</v>
      </c>
      <c r="S25" s="43" t="e" cm="1">
        <f t="array" aca="1" ref="S25" ca="1">_xll.SNL.Clients.Office.Excel.Functions.SPG($E25, $R$3,S$2)</f>
        <v>#NAME?</v>
      </c>
      <c r="T25" s="44" t="e" cm="1">
        <f t="array" aca="1" ref="T25" ca="1">_xll.SNL.Clients.Office.Excel.Functions.SPG($E25, $R$3,T$2)</f>
        <v>#NAME?</v>
      </c>
      <c r="U25" s="50" t="e">
        <f ca="1" xml:space="preserve"> IF(ISNUMBER(SEARCH("na",_xll.SNL.Clients.Office.Excel.Functions.SPG($E25, $U$4, U$2))), 0,_xll.SNL.Clients.Office.Excel.Functions.SPG($E25, $U$4, U$2))</f>
        <v>#NAME?</v>
      </c>
      <c r="V25" s="50" t="e">
        <f ca="1" xml:space="preserve"> IF(ISNUMBER(SEARCH("na",_xll.SNL.Clients.Office.Excel.Functions.SPG($E25, $U$4, V$2))), 0,_xll.SNL.Clients.Office.Excel.Functions.SPG($E25, $U$4, V$2))</f>
        <v>#NAME?</v>
      </c>
      <c r="W25" s="50" t="e">
        <f ca="1" xml:space="preserve"> IF(ISNUMBER(SEARCH("na",_xll.SNL.Clients.Office.Excel.Functions.SPG($E25, $U$4, W$2))), 0,_xll.SNL.Clients.Office.Excel.Functions.SPG($E25, $U$4, W$2))</f>
        <v>#NAME?</v>
      </c>
      <c r="X25" s="56" t="str">
        <f t="shared" ca="1" si="3"/>
        <v>NA</v>
      </c>
      <c r="Y25" s="57" t="str">
        <f t="shared" ca="1" si="3"/>
        <v>NA</v>
      </c>
      <c r="Z25" s="58" t="str">
        <f t="shared" ca="1" si="3"/>
        <v>NA</v>
      </c>
      <c r="AA25" s="50">
        <f ca="1">IFERROR(_xll.SNL.Clients.Office.Excel.Functions.SPG($E25, $AA$3, AA$2,$AA$4)/1000,0)</f>
        <v>0</v>
      </c>
      <c r="AB25" s="50">
        <f ca="1">IFERROR(_xll.SNL.Clients.Office.Excel.Functions.SPG($E25, $AB$3, AB$2,$AA$4)/1000,0)</f>
        <v>0</v>
      </c>
      <c r="AC25" s="50">
        <f ca="1">IFERROR(_xll.SNL.Clients.Office.Excel.Functions.SPG($E25, $AC$3, AC$2,$AA$4)/1000,0)</f>
        <v>0</v>
      </c>
    </row>
    <row r="26" spans="1:29" ht="13.8" x14ac:dyDescent="0.25">
      <c r="A26" s="37" t="e">
        <f ca="1">_xll.SNL.Clients.Office.Excel.Functions.SPG($E26, A$3)</f>
        <v>#NAME?</v>
      </c>
      <c r="B26" s="38" t="e">
        <f ca="1">_xll.SNL.Clients.Office.Excel.Functions.SPG($E26, "IQ_TEV", "Options: Curr=USD")</f>
        <v>#NAME?</v>
      </c>
      <c r="C26" s="38" t="e">
        <f ca="1">_xll.SNL.Clients.Office.Excel.Functions.SPG($E26, "SP_MARKETCAP", "Options: Curr=USD")</f>
        <v>#NAME?</v>
      </c>
      <c r="D26" s="39" t="s">
        <v>78</v>
      </c>
      <c r="E26" s="40" t="s">
        <v>79</v>
      </c>
      <c r="F26" s="41" t="str" cm="1">
        <f t="array" aca="1" ref="F26" ca="1">IFERROR(_xll.SNL.Clients.Office.Excel.Functions.SPG($E26, $F$3)/100,"NA")</f>
        <v>NA</v>
      </c>
      <c r="G26" s="42" t="e" cm="1">
        <f t="array" aca="1" ref="G26" ca="1">_xll.SNL.Clients.Office.Excel.Functions.SPG($E26, "SP_PCFPS_FWD",G$2)</f>
        <v>#NAME?</v>
      </c>
      <c r="H26" s="43" t="e" cm="1">
        <f t="array" aca="1" ref="H26" ca="1">_xll.SNL.Clients.Office.Excel.Functions.SPG($E26, "SP_PCFPS_FWD",H$2)</f>
        <v>#NAME?</v>
      </c>
      <c r="I26" s="44" t="e" cm="1">
        <f t="array" aca="1" ref="I26" ca="1">_xll.SNL.Clients.Office.Excel.Functions.SPG($E26, "SP_PCFPS_FWD",I$2)</f>
        <v>#NAME?</v>
      </c>
      <c r="J26" s="45" t="str">
        <f ca="1">IFERROR(_xll.SNL.Clients.Office.Excel.Functions.SPG($E26, "SP_FCF_EST",J$2, "Options: Curr=USD")/1000/C26,"NA")</f>
        <v>NA</v>
      </c>
      <c r="K26" s="45" t="str">
        <f ca="1">IFERROR(_xll.SNL.Clients.Office.Excel.Functions.SPG($E26, "SP_FCF_EST",K$2, "Options: Curr=USD")/1000/C26,"NA")</f>
        <v>NA</v>
      </c>
      <c r="L26" s="45" t="str">
        <f ca="1">IFERROR(_xll.SNL.Clients.Office.Excel.Functions.SPG($E26, "SP_FCF_EST",L$2, "Options: Curr=USD")/1000/D26,"NA")</f>
        <v>NA</v>
      </c>
      <c r="M26" s="42" t="e" cm="1">
        <f t="array" aca="1" ref="M26" ca="1">_xll.SNL.Clients.Office.Excel.Functions.SPG($E26, "SP_PE_FWD",M$2)</f>
        <v>#NAME?</v>
      </c>
      <c r="N26" s="43" t="e" cm="1">
        <f t="array" aca="1" ref="N26" ca="1">_xll.SNL.Clients.Office.Excel.Functions.SPG($E26, "SP_PE_FWD",N$2)</f>
        <v>#NAME?</v>
      </c>
      <c r="O26" s="44" t="e" cm="1">
        <f t="array" aca="1" ref="O26" ca="1">_xll.SNL.Clients.Office.Excel.Functions.SPG($E26, "SP_PE_FWD",O$2)</f>
        <v>#NAME?</v>
      </c>
      <c r="P26" s="54" t="e" cm="1">
        <f t="array" aca="1" ref="P26" ca="1">IF((_xll.SNL.Clients.Office.Excel.Functions.SPG($E26,$P$3,P$4,"Options: Curr=USD") / _xll.SNL.Clients.Office.Excel.Functions.SPG($E26,"SP_EBITDA_EST",P$2,"Options: Curr=USD")) &lt; 0, "NM", (_xll.SNL.Clients.Office.Excel.Functions.SPG($E26,$P$3,P$4,"Options: Curr=USD") / _xll.SNL.Clients.Office.Excel.Functions.SPG($E26,"SP_EBITDA_EST",P$2,"Options: Curr=USD")))</f>
        <v>#NAME?</v>
      </c>
      <c r="Q26" s="55" t="e" cm="1">
        <f t="array" aca="1" ref="Q26" ca="1">_xll.SNL.Clients.Office.Excel.Functions.SPG($E26, $Q$3,Q$4)</f>
        <v>#NAME?</v>
      </c>
      <c r="R26" s="43" t="e" cm="1">
        <f t="array" aca="1" ref="R26" ca="1">_xll.SNL.Clients.Office.Excel.Functions.SPG($E26, $R$3,R$2)</f>
        <v>#NAME?</v>
      </c>
      <c r="S26" s="43" t="e" cm="1">
        <f t="array" aca="1" ref="S26" ca="1">_xll.SNL.Clients.Office.Excel.Functions.SPG($E26, $R$3,S$2)</f>
        <v>#NAME?</v>
      </c>
      <c r="T26" s="44" t="e" cm="1">
        <f t="array" aca="1" ref="T26" ca="1">_xll.SNL.Clients.Office.Excel.Functions.SPG($E26, $R$3,T$2)</f>
        <v>#NAME?</v>
      </c>
      <c r="U26" s="50" t="e">
        <f ca="1" xml:space="preserve"> IF(ISNUMBER(SEARCH("na",_xll.SNL.Clients.Office.Excel.Functions.SPG($E26, $U$4, U$2))), 0,_xll.SNL.Clients.Office.Excel.Functions.SPG($E26, $U$4, U$2))</f>
        <v>#NAME?</v>
      </c>
      <c r="V26" s="50" t="e">
        <f ca="1" xml:space="preserve"> IF(ISNUMBER(SEARCH("na",_xll.SNL.Clients.Office.Excel.Functions.SPG($E26, $U$4, V$2))), 0,_xll.SNL.Clients.Office.Excel.Functions.SPG($E26, $U$4, V$2))</f>
        <v>#NAME?</v>
      </c>
      <c r="W26" s="50" t="e">
        <f ca="1" xml:space="preserve"> IF(ISNUMBER(SEARCH("na",_xll.SNL.Clients.Office.Excel.Functions.SPG($E26, $U$4, W$2))), 0,_xll.SNL.Clients.Office.Excel.Functions.SPG($E26, $U$4, W$2))</f>
        <v>#NAME?</v>
      </c>
      <c r="X26" s="56" t="str">
        <f t="shared" ca="1" si="3"/>
        <v>NA</v>
      </c>
      <c r="Y26" s="57" t="str">
        <f t="shared" ca="1" si="3"/>
        <v>NA</v>
      </c>
      <c r="Z26" s="58" t="str">
        <f t="shared" ca="1" si="3"/>
        <v>NA</v>
      </c>
      <c r="AA26" s="50">
        <f ca="1">IFERROR(_xll.SNL.Clients.Office.Excel.Functions.SPG($E26, $AA$3, AA$2,$AA$4)/1000,0)</f>
        <v>0</v>
      </c>
      <c r="AB26" s="50">
        <f ca="1">IFERROR(_xll.SNL.Clients.Office.Excel.Functions.SPG($E26, $AB$3, AB$2,$AA$4)/1000,0)</f>
        <v>0</v>
      </c>
      <c r="AC26" s="50">
        <f ca="1">IFERROR(_xll.SNL.Clients.Office.Excel.Functions.SPG($E26, $AC$3, AC$2,$AA$4)/1000,0)</f>
        <v>0</v>
      </c>
    </row>
    <row r="27" spans="1:29" x14ac:dyDescent="0.25">
      <c r="D27" s="61"/>
      <c r="E27" s="61" t="s">
        <v>52</v>
      </c>
      <c r="F27" s="62" t="e">
        <f t="shared" ref="F27:Z27" ca="1" si="4">AVERAGE(F14:F26)</f>
        <v>#DIV/0!</v>
      </c>
      <c r="G27" s="63" t="e">
        <f t="shared" ca="1" si="4"/>
        <v>#NAME?</v>
      </c>
      <c r="H27" s="64" t="e">
        <f t="shared" ca="1" si="4"/>
        <v>#NAME?</v>
      </c>
      <c r="I27" s="65" t="e">
        <f t="shared" ca="1" si="4"/>
        <v>#NAME?</v>
      </c>
      <c r="J27" s="66" t="e">
        <f t="shared" ca="1" si="4"/>
        <v>#DIV/0!</v>
      </c>
      <c r="K27" s="66" t="e">
        <f t="shared" ca="1" si="4"/>
        <v>#DIV/0!</v>
      </c>
      <c r="L27" s="66" t="e">
        <f t="shared" ca="1" si="4"/>
        <v>#DIV/0!</v>
      </c>
      <c r="M27" s="63" t="e">
        <f t="shared" ca="1" si="4"/>
        <v>#NAME?</v>
      </c>
      <c r="N27" s="64" t="e">
        <f t="shared" ca="1" si="4"/>
        <v>#NAME?</v>
      </c>
      <c r="O27" s="65" t="e">
        <f t="shared" ca="1" si="4"/>
        <v>#NAME?</v>
      </c>
      <c r="P27" s="64"/>
      <c r="Q27" s="64"/>
      <c r="R27" s="67" t="e">
        <f t="shared" ca="1" si="4"/>
        <v>#NAME?</v>
      </c>
      <c r="S27" s="67" t="e">
        <f t="shared" ca="1" si="4"/>
        <v>#NAME?</v>
      </c>
      <c r="T27" s="73" t="e">
        <f t="shared" ca="1" si="4"/>
        <v>#NAME?</v>
      </c>
      <c r="U27" s="68" t="e">
        <f t="shared" ca="1" si="4"/>
        <v>#NAME?</v>
      </c>
      <c r="V27" s="68" t="e">
        <f t="shared" ca="1" si="4"/>
        <v>#NAME?</v>
      </c>
      <c r="W27" s="68" t="e">
        <f t="shared" ca="1" si="4"/>
        <v>#NAME?</v>
      </c>
      <c r="X27" s="68" t="e">
        <f t="shared" ca="1" si="4"/>
        <v>#DIV/0!</v>
      </c>
      <c r="Y27" s="68" t="e">
        <f t="shared" ca="1" si="4"/>
        <v>#DIV/0!</v>
      </c>
      <c r="Z27" s="74" t="e">
        <f t="shared" ca="1" si="4"/>
        <v>#DIV/0!</v>
      </c>
      <c r="AA27" s="71"/>
      <c r="AB27" s="71"/>
    </row>
    <row r="28" spans="1:29" ht="16.8" x14ac:dyDescent="0.25">
      <c r="D28" s="31" t="s">
        <v>80</v>
      </c>
      <c r="E28" s="32"/>
      <c r="F28" s="75"/>
      <c r="G28" s="76"/>
      <c r="H28" s="76"/>
      <c r="I28" s="77"/>
      <c r="J28" s="76"/>
      <c r="K28" s="76"/>
      <c r="L28" s="76"/>
      <c r="M28" s="78"/>
      <c r="N28" s="76"/>
      <c r="O28" s="77"/>
      <c r="P28" s="76"/>
      <c r="Q28" s="76"/>
      <c r="R28" s="76"/>
      <c r="S28" s="76"/>
      <c r="T28" s="77"/>
      <c r="U28" s="76"/>
      <c r="V28" s="76"/>
      <c r="W28" s="76"/>
      <c r="X28" s="35"/>
      <c r="Y28" s="35"/>
      <c r="Z28" s="35"/>
      <c r="AA28" s="35"/>
      <c r="AB28" s="35"/>
      <c r="AC28" s="35"/>
    </row>
    <row r="29" spans="1:29" ht="13.8" x14ac:dyDescent="0.25">
      <c r="A29" s="37" t="e">
        <f ca="1">_xll.SNL.Clients.Office.Excel.Functions.SPG($E29, A$3)</f>
        <v>#NAME?</v>
      </c>
      <c r="B29" s="38" t="e">
        <f ca="1">_xll.SNL.Clients.Office.Excel.Functions.SPG($E29, "IQ_TEV", "Options: Curr=USD")</f>
        <v>#NAME?</v>
      </c>
      <c r="C29" s="38" t="e">
        <f ca="1">_xll.SNL.Clients.Office.Excel.Functions.SPG($E29, "SP_MARKETCAP", "Options: Curr=USD")</f>
        <v>#NAME?</v>
      </c>
      <c r="D29" s="39" t="s">
        <v>81</v>
      </c>
      <c r="E29" s="40" t="s">
        <v>82</v>
      </c>
      <c r="F29" s="41" t="str" cm="1">
        <f t="array" aca="1" ref="F29" ca="1">IFERROR(_xll.SNL.Clients.Office.Excel.Functions.SPG($E29, $F$3)/100,"NA")</f>
        <v>NA</v>
      </c>
      <c r="G29" s="42" t="e" cm="1">
        <f t="array" aca="1" ref="G29" ca="1">_xll.SNL.Clients.Office.Excel.Functions.SPG($E29, "SP_PCFPS_FWD",G$2)</f>
        <v>#NAME?</v>
      </c>
      <c r="H29" s="43" t="e" cm="1">
        <f t="array" aca="1" ref="H29" ca="1">_xll.SNL.Clients.Office.Excel.Functions.SPG($E29, "SP_PCFPS_FWD",H$2)</f>
        <v>#NAME?</v>
      </c>
      <c r="I29" s="44" t="e" cm="1">
        <f t="array" aca="1" ref="I29" ca="1">_xll.SNL.Clients.Office.Excel.Functions.SPG($E29, "SP_PCFPS_FWD",I$2)</f>
        <v>#NAME?</v>
      </c>
      <c r="J29" s="45" t="str">
        <f ca="1">IFERROR(_xll.SNL.Clients.Office.Excel.Functions.SPG($E29, "SP_FCF_EST",J$2, "Options: Curr=USD")/1000/C29,"NA")</f>
        <v>NA</v>
      </c>
      <c r="K29" s="45" t="str">
        <f ca="1">IFERROR(_xll.SNL.Clients.Office.Excel.Functions.SPG($E29, "SP_FCF_EST",K$2, "Options: Curr=USD")/1000/C29,"NA")</f>
        <v>NA</v>
      </c>
      <c r="L29" s="45" t="str">
        <f ca="1">IFERROR(_xll.SNL.Clients.Office.Excel.Functions.SPG($E29, "SP_FCF_EST",L$2, "Options: Curr=USD")/1000/D29,"NA")</f>
        <v>NA</v>
      </c>
      <c r="M29" s="42" t="e" cm="1">
        <f t="array" aca="1" ref="M29" ca="1">_xll.SNL.Clients.Office.Excel.Functions.SPG($E29, "SP_PE_FWD",M$2)</f>
        <v>#NAME?</v>
      </c>
      <c r="N29" s="43" t="e" cm="1">
        <f t="array" aca="1" ref="N29" ca="1">_xll.SNL.Clients.Office.Excel.Functions.SPG($E29, "SP_PE_FWD",N$2)</f>
        <v>#NAME?</v>
      </c>
      <c r="O29" s="44" t="e" cm="1">
        <f t="array" aca="1" ref="O29" ca="1">_xll.SNL.Clients.Office.Excel.Functions.SPG($E29, "SP_PE_FWD",O$2)</f>
        <v>#NAME?</v>
      </c>
      <c r="P29" s="54" t="e" cm="1">
        <f t="array" aca="1" ref="P29" ca="1">IF((_xll.SNL.Clients.Office.Excel.Functions.SPG($E29,$P$3,P$4,"Options: Curr=USD") / _xll.SNL.Clients.Office.Excel.Functions.SPG($E29,"SP_EBITDA_EST",P$2,"Options: Curr=USD")) &lt; 0, "NM", (_xll.SNL.Clients.Office.Excel.Functions.SPG($E29,$P$3,P$4,"Options: Curr=USD") / _xll.SNL.Clients.Office.Excel.Functions.SPG($E29,"SP_EBITDA_EST",P$2,"Options: Curr=USD")))</f>
        <v>#NAME?</v>
      </c>
      <c r="Q29" s="55" t="e" cm="1">
        <f t="array" aca="1" ref="Q29" ca="1">_xll.SNL.Clients.Office.Excel.Functions.SPG($E29, $Q$3,Q$4)</f>
        <v>#NAME?</v>
      </c>
      <c r="R29" s="43" t="e" cm="1">
        <f t="array" aca="1" ref="R29" ca="1">_xll.SNL.Clients.Office.Excel.Functions.SPG($E29, $R$3,R$2)</f>
        <v>#NAME?</v>
      </c>
      <c r="S29" s="43" t="e" cm="1">
        <f t="array" aca="1" ref="S29" ca="1">_xll.SNL.Clients.Office.Excel.Functions.SPG($E29, $R$3,S$2)</f>
        <v>#NAME?</v>
      </c>
      <c r="T29" s="49" t="e" cm="1">
        <f t="array" aca="1" ref="T29" ca="1">_xll.SNL.Clients.Office.Excel.Functions.SPG($E29, $R$3,T$2)</f>
        <v>#NAME?</v>
      </c>
      <c r="U29" s="50" t="e">
        <f ca="1" xml:space="preserve"> IF(ISNUMBER(SEARCH("na",_xll.SNL.Clients.Office.Excel.Functions.SPG($E29, $U$4, U$2))), 0,_xll.SNL.Clients.Office.Excel.Functions.SPG($E29, $U$4, U$2))</f>
        <v>#NAME?</v>
      </c>
      <c r="V29" s="50" t="e">
        <f ca="1" xml:space="preserve"> IF(ISNUMBER(SEARCH("na",_xll.SNL.Clients.Office.Excel.Functions.SPG($E29, $U$4, V$2))), 0,_xll.SNL.Clients.Office.Excel.Functions.SPG($E29, $U$4, V$2))</f>
        <v>#NAME?</v>
      </c>
      <c r="W29" s="50" t="e">
        <f ca="1" xml:space="preserve"> IF(ISNUMBER(SEARCH("na",_xll.SNL.Clients.Office.Excel.Functions.SPG($E29, $U$4, W$2))), 0,_xll.SNL.Clients.Office.Excel.Functions.SPG($E29, $U$4, W$2))</f>
        <v>#NAME?</v>
      </c>
      <c r="X29" s="56" t="str">
        <f t="shared" ref="X29:Z38" ca="1" si="5">IFERROR($B29/U29,"NA")</f>
        <v>NA</v>
      </c>
      <c r="Y29" s="57" t="str">
        <f t="shared" ca="1" si="5"/>
        <v>NA</v>
      </c>
      <c r="Z29" s="58" t="str">
        <f t="shared" ca="1" si="5"/>
        <v>NA</v>
      </c>
      <c r="AA29" s="50">
        <f ca="1">IFERROR(_xll.SNL.Clients.Office.Excel.Functions.SPG($E29, $AA$3, AA$2,$AA$4)/1000,0)</f>
        <v>0</v>
      </c>
      <c r="AB29" s="50">
        <f ca="1">IFERROR(_xll.SNL.Clients.Office.Excel.Functions.SPG($E29, $AB$3, AB$2,$AA$4)/1000,0)</f>
        <v>0</v>
      </c>
      <c r="AC29" s="50">
        <f ca="1">IFERROR(_xll.SNL.Clients.Office.Excel.Functions.SPG($E29, $AC$3, AC$2,$AA$4)/1000,0)</f>
        <v>0</v>
      </c>
    </row>
    <row r="30" spans="1:29" ht="13.8" x14ac:dyDescent="0.25">
      <c r="A30" s="37" t="e">
        <f ca="1">_xll.SNL.Clients.Office.Excel.Functions.SPG($E30, A$3)</f>
        <v>#NAME?</v>
      </c>
      <c r="B30" s="38" t="e">
        <f ca="1">_xll.SNL.Clients.Office.Excel.Functions.SPG($E30, "IQ_TEV", "Options: Curr=USD")</f>
        <v>#NAME?</v>
      </c>
      <c r="C30" s="38" t="e">
        <f ca="1">_xll.SNL.Clients.Office.Excel.Functions.SPG($E30, "SP_MARKETCAP", "Options: Curr=USD")</f>
        <v>#NAME?</v>
      </c>
      <c r="D30" s="39" t="s">
        <v>83</v>
      </c>
      <c r="E30" s="40" t="s">
        <v>84</v>
      </c>
      <c r="F30" s="41" t="str" cm="1">
        <f t="array" aca="1" ref="F30" ca="1">IFERROR(_xll.SNL.Clients.Office.Excel.Functions.SPG($E30, $F$3)/100,"NA")</f>
        <v>NA</v>
      </c>
      <c r="G30" s="42" t="e" cm="1">
        <f t="array" aca="1" ref="G30" ca="1">_xll.SNL.Clients.Office.Excel.Functions.SPG($E30, "SP_PCFPS_FWD",G$2)</f>
        <v>#NAME?</v>
      </c>
      <c r="H30" s="43" t="e" cm="1">
        <f t="array" aca="1" ref="H30" ca="1">_xll.SNL.Clients.Office.Excel.Functions.SPG($E30, "SP_PCFPS_FWD",H$2)</f>
        <v>#NAME?</v>
      </c>
      <c r="I30" s="44" t="e" cm="1">
        <f t="array" aca="1" ref="I30" ca="1">_xll.SNL.Clients.Office.Excel.Functions.SPG($E30, "SP_PCFPS_FWD",I$2)</f>
        <v>#NAME?</v>
      </c>
      <c r="J30" s="45" t="str">
        <f ca="1">IFERROR(_xll.SNL.Clients.Office.Excel.Functions.SPG($E30, "SP_FCF_EST",J$2, "Options: Curr=USD")/1000/C30,"NA")</f>
        <v>NA</v>
      </c>
      <c r="K30" s="45" t="str">
        <f ca="1">IFERROR(_xll.SNL.Clients.Office.Excel.Functions.SPG($E30, "SP_FCF_EST",K$2, "Options: Curr=USD")/1000/C30,"NA")</f>
        <v>NA</v>
      </c>
      <c r="L30" s="45" t="str">
        <f ca="1">IFERROR(_xll.SNL.Clients.Office.Excel.Functions.SPG($E30, "SP_FCF_EST",L$2, "Options: Curr=USD")/1000/D30,"NA")</f>
        <v>NA</v>
      </c>
      <c r="M30" s="42" t="e" cm="1">
        <f t="array" aca="1" ref="M30" ca="1">_xll.SNL.Clients.Office.Excel.Functions.SPG($E30, "SP_PE_FWD",M$2)</f>
        <v>#NAME?</v>
      </c>
      <c r="N30" s="43" t="e" cm="1">
        <f t="array" aca="1" ref="N30" ca="1">_xll.SNL.Clients.Office.Excel.Functions.SPG($E30, "SP_PE_FWD",N$2)</f>
        <v>#NAME?</v>
      </c>
      <c r="O30" s="44" t="e" cm="1">
        <f t="array" aca="1" ref="O30" ca="1">_xll.SNL.Clients.Office.Excel.Functions.SPG($E30, "SP_PE_FWD",O$2)</f>
        <v>#NAME?</v>
      </c>
      <c r="P30" s="54" t="e" cm="1">
        <f t="array" aca="1" ref="P30" ca="1">IF((_xll.SNL.Clients.Office.Excel.Functions.SPG($E30,$P$3,P$4,"Options: Curr=USD") / _xll.SNL.Clients.Office.Excel.Functions.SPG($E30,"SP_EBITDA_EST",P$2,"Options: Curr=USD")) &lt; 0, "NM", (_xll.SNL.Clients.Office.Excel.Functions.SPG($E30,$P$3,P$4,"Options: Curr=USD") / _xll.SNL.Clients.Office.Excel.Functions.SPG($E30,"SP_EBITDA_EST",P$2,"Options: Curr=USD")))</f>
        <v>#NAME?</v>
      </c>
      <c r="Q30" s="55" t="e" cm="1">
        <f t="array" aca="1" ref="Q30" ca="1">_xll.SNL.Clients.Office.Excel.Functions.SPG($E30, $Q$3,Q$4)</f>
        <v>#NAME?</v>
      </c>
      <c r="R30" s="43" t="e" cm="1">
        <f t="array" aca="1" ref="R30" ca="1">_xll.SNL.Clients.Office.Excel.Functions.SPG($E30, $R$3,R$2)</f>
        <v>#NAME?</v>
      </c>
      <c r="S30" s="43" t="e" cm="1">
        <f t="array" aca="1" ref="S30" ca="1">_xll.SNL.Clients.Office.Excel.Functions.SPG($E30, $R$3,S$2)</f>
        <v>#NAME?</v>
      </c>
      <c r="T30" s="44" t="e" cm="1">
        <f t="array" aca="1" ref="T30" ca="1">_xll.SNL.Clients.Office.Excel.Functions.SPG($E30, $R$3,T$2)</f>
        <v>#NAME?</v>
      </c>
      <c r="U30" s="50" t="e">
        <f ca="1" xml:space="preserve"> IF(ISNUMBER(SEARCH("na",_xll.SNL.Clients.Office.Excel.Functions.SPG($E30, $U$4, U$2))), 0,_xll.SNL.Clients.Office.Excel.Functions.SPG($E30, $U$4, U$2))</f>
        <v>#NAME?</v>
      </c>
      <c r="V30" s="50" t="e">
        <f ca="1" xml:space="preserve"> IF(ISNUMBER(SEARCH("na",_xll.SNL.Clients.Office.Excel.Functions.SPG($E30, $U$4, V$2))), 0,_xll.SNL.Clients.Office.Excel.Functions.SPG($E30, $U$4, V$2))</f>
        <v>#NAME?</v>
      </c>
      <c r="W30" s="50" t="e">
        <f ca="1" xml:space="preserve"> IF(ISNUMBER(SEARCH("na",_xll.SNL.Clients.Office.Excel.Functions.SPG($E30, $U$4, W$2))), 0,_xll.SNL.Clients.Office.Excel.Functions.SPG($E30, $U$4, W$2))</f>
        <v>#NAME?</v>
      </c>
      <c r="X30" s="56" t="str">
        <f t="shared" ca="1" si="5"/>
        <v>NA</v>
      </c>
      <c r="Y30" s="57" t="str">
        <f t="shared" ca="1" si="5"/>
        <v>NA</v>
      </c>
      <c r="Z30" s="58" t="str">
        <f t="shared" ca="1" si="5"/>
        <v>NA</v>
      </c>
      <c r="AA30" s="50">
        <f ca="1">IFERROR(_xll.SNL.Clients.Office.Excel.Functions.SPG($E30, $AA$3, AA$2,$AA$4)/1000,0)</f>
        <v>0</v>
      </c>
      <c r="AB30" s="50">
        <f ca="1">IFERROR(_xll.SNL.Clients.Office.Excel.Functions.SPG($E30, $AB$3, AB$2,$AA$4)/1000,0)</f>
        <v>0</v>
      </c>
      <c r="AC30" s="50">
        <f ca="1">IFERROR(_xll.SNL.Clients.Office.Excel.Functions.SPG($E30, $AC$3, AC$2,$AA$4)/1000,0)</f>
        <v>0</v>
      </c>
    </row>
    <row r="31" spans="1:29" ht="13.8" x14ac:dyDescent="0.25">
      <c r="A31" s="37" t="e">
        <f ca="1">_xll.SNL.Clients.Office.Excel.Functions.SPG($E31, A$3)</f>
        <v>#NAME?</v>
      </c>
      <c r="B31" s="38" t="e">
        <f ca="1">_xll.SNL.Clients.Office.Excel.Functions.SPG($E31, "IQ_TEV", "Options: Curr=USD")</f>
        <v>#NAME?</v>
      </c>
      <c r="C31" s="38" t="e">
        <f ca="1">_xll.SNL.Clients.Office.Excel.Functions.SPG($E31, "SP_MARKETCAP", "Options: Curr=USD")</f>
        <v>#NAME?</v>
      </c>
      <c r="D31" s="39" t="s">
        <v>85</v>
      </c>
      <c r="E31" s="40" t="s">
        <v>86</v>
      </c>
      <c r="F31" s="41" t="str" cm="1">
        <f t="array" aca="1" ref="F31" ca="1">IFERROR(_xll.SNL.Clients.Office.Excel.Functions.SPG($E31, $F$3)/100,"NA")</f>
        <v>NA</v>
      </c>
      <c r="G31" s="42" t="e" cm="1">
        <f t="array" aca="1" ref="G31" ca="1">_xll.SNL.Clients.Office.Excel.Functions.SPG($E31, "SP_PCFPS_FWD",G$2)</f>
        <v>#NAME?</v>
      </c>
      <c r="H31" s="43" t="e" cm="1">
        <f t="array" aca="1" ref="H31" ca="1">_xll.SNL.Clients.Office.Excel.Functions.SPG($E31, "SP_PCFPS_FWD",H$2)</f>
        <v>#NAME?</v>
      </c>
      <c r="I31" s="44" t="e" cm="1">
        <f t="array" aca="1" ref="I31" ca="1">_xll.SNL.Clients.Office.Excel.Functions.SPG($E31, "SP_PCFPS_FWD",I$2)</f>
        <v>#NAME?</v>
      </c>
      <c r="J31" s="45" t="str">
        <f ca="1">IFERROR(_xll.SNL.Clients.Office.Excel.Functions.SPG($E31, "SP_FCF_EST",J$2, "Options: Curr=USD")/1000/C31,"NA")</f>
        <v>NA</v>
      </c>
      <c r="K31" s="45" t="str">
        <f ca="1">IFERROR(_xll.SNL.Clients.Office.Excel.Functions.SPG($E31, "SP_FCF_EST",K$2, "Options: Curr=USD")/1000/C31,"NA")</f>
        <v>NA</v>
      </c>
      <c r="L31" s="45" t="str">
        <f ca="1">IFERROR(_xll.SNL.Clients.Office.Excel.Functions.SPG($E31, "SP_FCF_EST",L$2, "Options: Curr=USD")/1000/D31,"NA")</f>
        <v>NA</v>
      </c>
      <c r="M31" s="42" t="e" cm="1">
        <f t="array" aca="1" ref="M31" ca="1">_xll.SNL.Clients.Office.Excel.Functions.SPG($E31, "SP_PE_FWD",M$2)</f>
        <v>#NAME?</v>
      </c>
      <c r="N31" s="43" t="e" cm="1">
        <f t="array" aca="1" ref="N31" ca="1">_xll.SNL.Clients.Office.Excel.Functions.SPG($E31, "SP_PE_FWD",N$2)</f>
        <v>#NAME?</v>
      </c>
      <c r="O31" s="44" t="e" cm="1">
        <f t="array" aca="1" ref="O31" ca="1">_xll.SNL.Clients.Office.Excel.Functions.SPG($E31, "SP_PE_FWD",O$2)</f>
        <v>#NAME?</v>
      </c>
      <c r="P31" s="54" t="e" cm="1">
        <f t="array" aca="1" ref="P31" ca="1">IF((_xll.SNL.Clients.Office.Excel.Functions.SPG($E31,$P$3,P$4,"Options: Curr=USD") / _xll.SNL.Clients.Office.Excel.Functions.SPG($E31,"SP_EBITDA_EST",P$2,"Options: Curr=USD")) &lt; 0, "NM", (_xll.SNL.Clients.Office.Excel.Functions.SPG($E31,$P$3,P$4,"Options: Curr=USD") / _xll.SNL.Clients.Office.Excel.Functions.SPG($E31,"SP_EBITDA_EST",P$2,"Options: Curr=USD")))</f>
        <v>#NAME?</v>
      </c>
      <c r="Q31" s="55" t="e" cm="1">
        <f t="array" aca="1" ref="Q31" ca="1">_xll.SNL.Clients.Office.Excel.Functions.SPG($E31, $Q$3,Q$4)</f>
        <v>#NAME?</v>
      </c>
      <c r="R31" s="43" t="e" cm="1">
        <f t="array" aca="1" ref="R31" ca="1">_xll.SNL.Clients.Office.Excel.Functions.SPG($E31, $R$3,R$2)</f>
        <v>#NAME?</v>
      </c>
      <c r="S31" s="43" t="e" cm="1">
        <f t="array" aca="1" ref="S31" ca="1">_xll.SNL.Clients.Office.Excel.Functions.SPG($E31, $R$3,S$2)</f>
        <v>#NAME?</v>
      </c>
      <c r="T31" s="44" t="e" cm="1">
        <f t="array" aca="1" ref="T31" ca="1">_xll.SNL.Clients.Office.Excel.Functions.SPG($E31, $R$3,T$2)</f>
        <v>#NAME?</v>
      </c>
      <c r="U31" s="50" t="e">
        <f ca="1" xml:space="preserve"> IF(ISNUMBER(SEARCH("na",_xll.SNL.Clients.Office.Excel.Functions.SPG($E31, $U$4, U$2))), 0,_xll.SNL.Clients.Office.Excel.Functions.SPG($E31, $U$4, U$2))</f>
        <v>#NAME?</v>
      </c>
      <c r="V31" s="50" t="e">
        <f ca="1" xml:space="preserve"> IF(ISNUMBER(SEARCH("na",_xll.SNL.Clients.Office.Excel.Functions.SPG($E31, $U$4, V$2))), 0,_xll.SNL.Clients.Office.Excel.Functions.SPG($E31, $U$4, V$2))</f>
        <v>#NAME?</v>
      </c>
      <c r="W31" s="50" t="e">
        <f ca="1" xml:space="preserve"> IF(ISNUMBER(SEARCH("na",_xll.SNL.Clients.Office.Excel.Functions.SPG($E31, $U$4, W$2))), 0,_xll.SNL.Clients.Office.Excel.Functions.SPG($E31, $U$4, W$2))</f>
        <v>#NAME?</v>
      </c>
      <c r="X31" s="56" t="str">
        <f t="shared" ca="1" si="5"/>
        <v>NA</v>
      </c>
      <c r="Y31" s="57" t="str">
        <f t="shared" ca="1" si="5"/>
        <v>NA</v>
      </c>
      <c r="Z31" s="58" t="str">
        <f t="shared" ca="1" si="5"/>
        <v>NA</v>
      </c>
      <c r="AA31" s="50">
        <f ca="1">IFERROR(_xll.SNL.Clients.Office.Excel.Functions.SPG($E31, $AA$3, AA$2,$AA$4)/1000,0)</f>
        <v>0</v>
      </c>
      <c r="AB31" s="50">
        <f ca="1">IFERROR(_xll.SNL.Clients.Office.Excel.Functions.SPG($E31, $AB$3, AB$2,$AA$4)/1000,0)</f>
        <v>0</v>
      </c>
      <c r="AC31" s="50">
        <f ca="1">IFERROR(_xll.SNL.Clients.Office.Excel.Functions.SPG($E31, $AC$3, AC$2,$AA$4)/1000,0)</f>
        <v>0</v>
      </c>
    </row>
    <row r="32" spans="1:29" ht="13.8" x14ac:dyDescent="0.25">
      <c r="A32" s="37" t="e">
        <f ca="1">_xll.SNL.Clients.Office.Excel.Functions.SPG($E32, A$3)</f>
        <v>#NAME?</v>
      </c>
      <c r="B32" s="38" t="e">
        <f ca="1">_xll.SNL.Clients.Office.Excel.Functions.SPG($E32, "IQ_TEV", "Options: Curr=USD")</f>
        <v>#NAME?</v>
      </c>
      <c r="C32" s="38" t="e">
        <f ca="1">_xll.SNL.Clients.Office.Excel.Functions.SPG($E32, "SP_MARKETCAP", "Options: Curr=USD")</f>
        <v>#NAME?</v>
      </c>
      <c r="D32" s="39" t="s">
        <v>87</v>
      </c>
      <c r="E32" s="40" t="s">
        <v>88</v>
      </c>
      <c r="F32" s="41" t="str" cm="1">
        <f t="array" aca="1" ref="F32" ca="1">IFERROR(_xll.SNL.Clients.Office.Excel.Functions.SPG($E32, $F$3)/100,"NA")</f>
        <v>NA</v>
      </c>
      <c r="G32" s="42" t="e" cm="1">
        <f t="array" aca="1" ref="G32" ca="1">_xll.SNL.Clients.Office.Excel.Functions.SPG($E32, "SP_PCFPS_FWD",G$2)</f>
        <v>#NAME?</v>
      </c>
      <c r="H32" s="43" t="e" cm="1">
        <f t="array" aca="1" ref="H32" ca="1">_xll.SNL.Clients.Office.Excel.Functions.SPG($E32, "SP_PCFPS_FWD",H$2)</f>
        <v>#NAME?</v>
      </c>
      <c r="I32" s="44" t="e" cm="1">
        <f t="array" aca="1" ref="I32" ca="1">_xll.SNL.Clients.Office.Excel.Functions.SPG($E32, "SP_PCFPS_FWD",I$2)</f>
        <v>#NAME?</v>
      </c>
      <c r="J32" s="45" t="str">
        <f ca="1">IFERROR(_xll.SNL.Clients.Office.Excel.Functions.SPG($E32, "SP_FCF_EST",J$2, "Options: Curr=USD")/1000/C32,"NA")</f>
        <v>NA</v>
      </c>
      <c r="K32" s="45" t="str">
        <f ca="1">IFERROR(_xll.SNL.Clients.Office.Excel.Functions.SPG($E32, "SP_FCF_EST",K$2, "Options: Curr=USD")/1000/C32,"NA")</f>
        <v>NA</v>
      </c>
      <c r="L32" s="45" t="str">
        <f ca="1">IFERROR(_xll.SNL.Clients.Office.Excel.Functions.SPG($E32, "SP_FCF_EST",L$2, "Options: Curr=USD")/1000/D32,"NA")</f>
        <v>NA</v>
      </c>
      <c r="M32" s="42" t="e" cm="1">
        <f t="array" aca="1" ref="M32" ca="1">_xll.SNL.Clients.Office.Excel.Functions.SPG($E32, "SP_PE_FWD",M$2)</f>
        <v>#NAME?</v>
      </c>
      <c r="N32" s="43" t="e" cm="1">
        <f t="array" aca="1" ref="N32" ca="1">_xll.SNL.Clients.Office.Excel.Functions.SPG($E32, "SP_PE_FWD",N$2)</f>
        <v>#NAME?</v>
      </c>
      <c r="O32" s="44" t="e" cm="1">
        <f t="array" aca="1" ref="O32" ca="1">_xll.SNL.Clients.Office.Excel.Functions.SPG($E32, "SP_PE_FWD",O$2)</f>
        <v>#NAME?</v>
      </c>
      <c r="P32" s="54" t="e" cm="1">
        <f t="array" aca="1" ref="P32" ca="1">IF((_xll.SNL.Clients.Office.Excel.Functions.SPG($E32,$P$3,P$4,"Options: Curr=USD") / _xll.SNL.Clients.Office.Excel.Functions.SPG($E32,"SP_EBITDA_EST",P$2,"Options: Curr=USD")) &lt; 0, "NM", (_xll.SNL.Clients.Office.Excel.Functions.SPG($E32,$P$3,P$4,"Options: Curr=USD") / _xll.SNL.Clients.Office.Excel.Functions.SPG($E32,"SP_EBITDA_EST",P$2,"Options: Curr=USD")))</f>
        <v>#NAME?</v>
      </c>
      <c r="Q32" s="55" t="e" cm="1">
        <f t="array" aca="1" ref="Q32" ca="1">_xll.SNL.Clients.Office.Excel.Functions.SPG($E32, $Q$3,Q$4)</f>
        <v>#NAME?</v>
      </c>
      <c r="R32" s="43" t="e" cm="1">
        <f t="array" aca="1" ref="R32" ca="1">_xll.SNL.Clients.Office.Excel.Functions.SPG($E32, $R$3,R$2)</f>
        <v>#NAME?</v>
      </c>
      <c r="S32" s="43" t="e" cm="1">
        <f t="array" aca="1" ref="S32" ca="1">_xll.SNL.Clients.Office.Excel.Functions.SPG($E32, $R$3,S$2)</f>
        <v>#NAME?</v>
      </c>
      <c r="T32" s="44" t="e" cm="1">
        <f t="array" aca="1" ref="T32" ca="1">_xll.SNL.Clients.Office.Excel.Functions.SPG($E32, $R$3,T$2)</f>
        <v>#NAME?</v>
      </c>
      <c r="U32" s="50" t="e">
        <f ca="1" xml:space="preserve"> IF(ISNUMBER(SEARCH("na",_xll.SNL.Clients.Office.Excel.Functions.SPG($E32, $U$4, U$2))), 0,_xll.SNL.Clients.Office.Excel.Functions.SPG($E32, $U$4, U$2))</f>
        <v>#NAME?</v>
      </c>
      <c r="V32" s="50" t="e">
        <f ca="1" xml:space="preserve"> IF(ISNUMBER(SEARCH("na",_xll.SNL.Clients.Office.Excel.Functions.SPG($E32, $U$4, V$2))), 0,_xll.SNL.Clients.Office.Excel.Functions.SPG($E32, $U$4, V$2))</f>
        <v>#NAME?</v>
      </c>
      <c r="W32" s="50" t="e">
        <f ca="1" xml:space="preserve"> IF(ISNUMBER(SEARCH("na",_xll.SNL.Clients.Office.Excel.Functions.SPG($E32, $U$4, W$2))), 0,_xll.SNL.Clients.Office.Excel.Functions.SPG($E32, $U$4, W$2))</f>
        <v>#NAME?</v>
      </c>
      <c r="X32" s="56" t="str">
        <f t="shared" ca="1" si="5"/>
        <v>NA</v>
      </c>
      <c r="Y32" s="57" t="str">
        <f t="shared" ca="1" si="5"/>
        <v>NA</v>
      </c>
      <c r="Z32" s="58" t="str">
        <f t="shared" ca="1" si="5"/>
        <v>NA</v>
      </c>
      <c r="AA32" s="50"/>
      <c r="AB32" s="50"/>
      <c r="AC32" s="50"/>
    </row>
    <row r="33" spans="1:29" ht="13.8" x14ac:dyDescent="0.25">
      <c r="A33" s="37" t="e">
        <f ca="1">_xll.SNL.Clients.Office.Excel.Functions.SPG($E33, A$3)</f>
        <v>#NAME?</v>
      </c>
      <c r="B33" s="38" t="e">
        <f ca="1">_xll.SNL.Clients.Office.Excel.Functions.SPG($E33, "IQ_TEV", "Options: Curr=USD")</f>
        <v>#NAME?</v>
      </c>
      <c r="C33" s="38" t="e">
        <f ca="1">_xll.SNL.Clients.Office.Excel.Functions.SPG($E33, "SP_MARKETCAP", "Options: Curr=USD")</f>
        <v>#NAME?</v>
      </c>
      <c r="D33" s="39" t="s">
        <v>89</v>
      </c>
      <c r="E33" s="40" t="s">
        <v>90</v>
      </c>
      <c r="F33" s="41" t="str" cm="1">
        <f t="array" aca="1" ref="F33" ca="1">IFERROR(_xll.SNL.Clients.Office.Excel.Functions.SPG($E33, $F$3)/100,"NA")</f>
        <v>NA</v>
      </c>
      <c r="G33" s="42" t="e" cm="1">
        <f t="array" aca="1" ref="G33" ca="1">_xll.SNL.Clients.Office.Excel.Functions.SPG($E33, "SP_PCFPS_FWD",G$2)</f>
        <v>#NAME?</v>
      </c>
      <c r="H33" s="43" t="e" cm="1">
        <f t="array" aca="1" ref="H33" ca="1">_xll.SNL.Clients.Office.Excel.Functions.SPG($E33, "SP_PCFPS_FWD",H$2)</f>
        <v>#NAME?</v>
      </c>
      <c r="I33" s="44" t="e" cm="1">
        <f t="array" aca="1" ref="I33" ca="1">_xll.SNL.Clients.Office.Excel.Functions.SPG($E33, "SP_PCFPS_FWD",I$2)</f>
        <v>#NAME?</v>
      </c>
      <c r="J33" s="45" t="str">
        <f ca="1">IFERROR(_xll.SNL.Clients.Office.Excel.Functions.SPG($E33, "SP_FCF_EST",J$2, "Options: Curr=USD")/1000/C33,"NA")</f>
        <v>NA</v>
      </c>
      <c r="K33" s="45" t="str">
        <f ca="1">IFERROR(_xll.SNL.Clients.Office.Excel.Functions.SPG($E33, "SP_FCF_EST",K$2, "Options: Curr=USD")/1000/C33,"NA")</f>
        <v>NA</v>
      </c>
      <c r="L33" s="45" t="str">
        <f ca="1">IFERROR(_xll.SNL.Clients.Office.Excel.Functions.SPG($E33, "SP_FCF_EST",L$2, "Options: Curr=USD")/1000/D33,"NA")</f>
        <v>NA</v>
      </c>
      <c r="M33" s="42" t="e" cm="1">
        <f t="array" aca="1" ref="M33" ca="1">_xll.SNL.Clients.Office.Excel.Functions.SPG($E33, "SP_PE_FWD",M$2)</f>
        <v>#NAME?</v>
      </c>
      <c r="N33" s="43" t="e" cm="1">
        <f t="array" aca="1" ref="N33" ca="1">_xll.SNL.Clients.Office.Excel.Functions.SPG($E33, "SP_PE_FWD",N$2)</f>
        <v>#NAME?</v>
      </c>
      <c r="O33" s="44" t="e" cm="1">
        <f t="array" aca="1" ref="O33" ca="1">_xll.SNL.Clients.Office.Excel.Functions.SPG($E33, "SP_PE_FWD",O$2)</f>
        <v>#NAME?</v>
      </c>
      <c r="P33" s="54" t="e" cm="1">
        <f t="array" aca="1" ref="P33" ca="1">IF((_xll.SNL.Clients.Office.Excel.Functions.SPG($E33,$P$3,P$4,"Options: Curr=USD") / _xll.SNL.Clients.Office.Excel.Functions.SPG($E33,"SP_EBITDA_EST",P$2,"Options: Curr=USD")) &lt; 0, "NM", (_xll.SNL.Clients.Office.Excel.Functions.SPG($E33,$P$3,P$4,"Options: Curr=USD") / _xll.SNL.Clients.Office.Excel.Functions.SPG($E33,"SP_EBITDA_EST",P$2,"Options: Curr=USD")))</f>
        <v>#NAME?</v>
      </c>
      <c r="Q33" s="55" t="e" cm="1">
        <f t="array" aca="1" ref="Q33" ca="1">_xll.SNL.Clients.Office.Excel.Functions.SPG($E33, $Q$3,Q$4)</f>
        <v>#NAME?</v>
      </c>
      <c r="R33" s="43" t="e" cm="1">
        <f t="array" aca="1" ref="R33" ca="1">_xll.SNL.Clients.Office.Excel.Functions.SPG($E33, $R$3,R$2)</f>
        <v>#NAME?</v>
      </c>
      <c r="S33" s="43" t="e" cm="1">
        <f t="array" aca="1" ref="S33" ca="1">_xll.SNL.Clients.Office.Excel.Functions.SPG($E33, $R$3,S$2)</f>
        <v>#NAME?</v>
      </c>
      <c r="T33" s="44" t="e" cm="1">
        <f t="array" aca="1" ref="T33" ca="1">_xll.SNL.Clients.Office.Excel.Functions.SPG($E33, $R$3,T$2)</f>
        <v>#NAME?</v>
      </c>
      <c r="U33" s="50" t="e">
        <f ca="1" xml:space="preserve"> IF(ISNUMBER(SEARCH("na",_xll.SNL.Clients.Office.Excel.Functions.SPG($E33, $U$4, U$2))), 0,_xll.SNL.Clients.Office.Excel.Functions.SPG($E33, $U$4, U$2))</f>
        <v>#NAME?</v>
      </c>
      <c r="V33" s="50" t="e">
        <f ca="1" xml:space="preserve"> IF(ISNUMBER(SEARCH("na",_xll.SNL.Clients.Office.Excel.Functions.SPG($E33, $U$4, V$2))), 0,_xll.SNL.Clients.Office.Excel.Functions.SPG($E33, $U$4, V$2))</f>
        <v>#NAME?</v>
      </c>
      <c r="W33" s="50" t="e">
        <f ca="1" xml:space="preserve"> IF(ISNUMBER(SEARCH("na",_xll.SNL.Clients.Office.Excel.Functions.SPG($E33, $U$4, W$2))), 0,_xll.SNL.Clients.Office.Excel.Functions.SPG($E33, $U$4, W$2))</f>
        <v>#NAME?</v>
      </c>
      <c r="X33" s="56" t="str">
        <f t="shared" ca="1" si="5"/>
        <v>NA</v>
      </c>
      <c r="Y33" s="57" t="str">
        <f t="shared" ca="1" si="5"/>
        <v>NA</v>
      </c>
      <c r="Z33" s="58" t="str">
        <f t="shared" ca="1" si="5"/>
        <v>NA</v>
      </c>
      <c r="AA33" s="50"/>
      <c r="AB33" s="50"/>
      <c r="AC33" s="50"/>
    </row>
    <row r="34" spans="1:29" ht="13.8" x14ac:dyDescent="0.25">
      <c r="A34" s="37" t="e">
        <f ca="1">_xll.SNL.Clients.Office.Excel.Functions.SPG($E34, A$3)</f>
        <v>#NAME?</v>
      </c>
      <c r="B34" s="38" t="e">
        <f ca="1">_xll.SNL.Clients.Office.Excel.Functions.SPG($E34, "IQ_TEV", "Options: Curr=USD")</f>
        <v>#NAME?</v>
      </c>
      <c r="C34" s="38" t="e">
        <f ca="1">_xll.SNL.Clients.Office.Excel.Functions.SPG($E34, "SP_MARKETCAP", "Options: Curr=USD")</f>
        <v>#NAME?</v>
      </c>
      <c r="D34" s="39" t="s">
        <v>91</v>
      </c>
      <c r="E34" s="40" t="s">
        <v>92</v>
      </c>
      <c r="F34" s="41" t="str" cm="1">
        <f t="array" aca="1" ref="F34" ca="1">IFERROR(_xll.SNL.Clients.Office.Excel.Functions.SPG($E34, $F$3)/100,"NA")</f>
        <v>NA</v>
      </c>
      <c r="G34" s="42" t="e" cm="1">
        <f t="array" aca="1" ref="G34" ca="1">_xll.SNL.Clients.Office.Excel.Functions.SPG($E34, "SP_PCFPS_FWD",G$2)</f>
        <v>#NAME?</v>
      </c>
      <c r="H34" s="43" t="e" cm="1">
        <f t="array" aca="1" ref="H34" ca="1">_xll.SNL.Clients.Office.Excel.Functions.SPG($E34, "SP_PCFPS_FWD",H$2)</f>
        <v>#NAME?</v>
      </c>
      <c r="I34" s="44" t="e" cm="1">
        <f t="array" aca="1" ref="I34" ca="1">_xll.SNL.Clients.Office.Excel.Functions.SPG($E34, "SP_PCFPS_FWD",I$2)</f>
        <v>#NAME?</v>
      </c>
      <c r="J34" s="45" t="str">
        <f ca="1">IFERROR(_xll.SNL.Clients.Office.Excel.Functions.SPG($E34, "SP_FCF_EST",J$2, "Options: Curr=USD")/1000/C34,"NA")</f>
        <v>NA</v>
      </c>
      <c r="K34" s="45" t="str">
        <f ca="1">IFERROR(_xll.SNL.Clients.Office.Excel.Functions.SPG($E34, "SP_FCF_EST",K$2, "Options: Curr=USD")/1000/C34,"NA")</f>
        <v>NA</v>
      </c>
      <c r="L34" s="45" t="str">
        <f ca="1">IFERROR(_xll.SNL.Clients.Office.Excel.Functions.SPG($E34, "SP_FCF_EST",L$2, "Options: Curr=USD")/1000/D34,"NA")</f>
        <v>NA</v>
      </c>
      <c r="M34" s="42" t="e" cm="1">
        <f t="array" aca="1" ref="M34" ca="1">_xll.SNL.Clients.Office.Excel.Functions.SPG($E34, "SP_PE_FWD",M$2)</f>
        <v>#NAME?</v>
      </c>
      <c r="N34" s="43" t="e" cm="1">
        <f t="array" aca="1" ref="N34" ca="1">_xll.SNL.Clients.Office.Excel.Functions.SPG($E34, "SP_PE_FWD",N$2)</f>
        <v>#NAME?</v>
      </c>
      <c r="O34" s="44" t="e" cm="1">
        <f t="array" aca="1" ref="O34" ca="1">_xll.SNL.Clients.Office.Excel.Functions.SPG($E34, "SP_PE_FWD",O$2)</f>
        <v>#NAME?</v>
      </c>
      <c r="P34" s="54" t="e" cm="1">
        <f t="array" aca="1" ref="P34" ca="1">IF((_xll.SNL.Clients.Office.Excel.Functions.SPG($E34,$P$3,P$4,"Options: Curr=USD") / _xll.SNL.Clients.Office.Excel.Functions.SPG($E34,"SP_EBITDA_EST",P$2,"Options: Curr=USD")) &lt; 0, "NM", (_xll.SNL.Clients.Office.Excel.Functions.SPG($E34,$P$3,P$4,"Options: Curr=USD") / _xll.SNL.Clients.Office.Excel.Functions.SPG($E34,"SP_EBITDA_EST",P$2,"Options: Curr=USD")))</f>
        <v>#NAME?</v>
      </c>
      <c r="Q34" s="55" t="e" cm="1">
        <f t="array" aca="1" ref="Q34" ca="1">_xll.SNL.Clients.Office.Excel.Functions.SPG($E34, $Q$3,Q$4)</f>
        <v>#NAME?</v>
      </c>
      <c r="R34" s="43" t="e" cm="1">
        <f t="array" aca="1" ref="R34" ca="1">_xll.SNL.Clients.Office.Excel.Functions.SPG($E34, $R$3,R$2)</f>
        <v>#NAME?</v>
      </c>
      <c r="S34" s="43" t="e" cm="1">
        <f t="array" aca="1" ref="S34" ca="1">_xll.SNL.Clients.Office.Excel.Functions.SPG($E34, $R$3,S$2)</f>
        <v>#NAME?</v>
      </c>
      <c r="T34" s="44" t="e" cm="1">
        <f t="array" aca="1" ref="T34" ca="1">_xll.SNL.Clients.Office.Excel.Functions.SPG($E34, $R$3,T$2)</f>
        <v>#NAME?</v>
      </c>
      <c r="U34" s="50" t="e">
        <f ca="1" xml:space="preserve"> IF(ISNUMBER(SEARCH("na",_xll.SNL.Clients.Office.Excel.Functions.SPG($E34, $U$4, U$2))), 0,_xll.SNL.Clients.Office.Excel.Functions.SPG($E34, $U$4, U$2))</f>
        <v>#NAME?</v>
      </c>
      <c r="V34" s="50" t="e">
        <f ca="1" xml:space="preserve"> IF(ISNUMBER(SEARCH("na",_xll.SNL.Clients.Office.Excel.Functions.SPG($E34, $U$4, V$2))), 0,_xll.SNL.Clients.Office.Excel.Functions.SPG($E34, $U$4, V$2))</f>
        <v>#NAME?</v>
      </c>
      <c r="W34" s="50" t="e">
        <f ca="1" xml:space="preserve"> IF(ISNUMBER(SEARCH("na",_xll.SNL.Clients.Office.Excel.Functions.SPG($E34, $U$4, W$2))), 0,_xll.SNL.Clients.Office.Excel.Functions.SPG($E34, $U$4, W$2))</f>
        <v>#NAME?</v>
      </c>
      <c r="X34" s="56" t="str">
        <f t="shared" ca="1" si="5"/>
        <v>NA</v>
      </c>
      <c r="Y34" s="57" t="str">
        <f t="shared" ca="1" si="5"/>
        <v>NA</v>
      </c>
      <c r="Z34" s="58" t="str">
        <f t="shared" ca="1" si="5"/>
        <v>NA</v>
      </c>
      <c r="AA34" s="50">
        <f ca="1">IFERROR(_xll.SNL.Clients.Office.Excel.Functions.SPG($E34, $AA$3, AA$2,$AA$4)/1000,0)</f>
        <v>0</v>
      </c>
      <c r="AB34" s="50">
        <f ca="1">IFERROR(_xll.SNL.Clients.Office.Excel.Functions.SPG($E34, $AB$3, AB$2,$AA$4)/1000,0)</f>
        <v>0</v>
      </c>
      <c r="AC34" s="50">
        <f ca="1">IFERROR(_xll.SNL.Clients.Office.Excel.Functions.SPG($E34, $AC$3, AC$2,$AA$4)/1000,0)</f>
        <v>0</v>
      </c>
    </row>
    <row r="35" spans="1:29" ht="13.8" x14ac:dyDescent="0.25">
      <c r="A35" s="37" t="e">
        <f ca="1">_xll.SNL.Clients.Office.Excel.Functions.SPG($E35, A$3)</f>
        <v>#NAME?</v>
      </c>
      <c r="B35" s="38" t="e">
        <f ca="1">_xll.SNL.Clients.Office.Excel.Functions.SPG($E35, "IQ_TEV", "Options: Curr=USD")</f>
        <v>#NAME?</v>
      </c>
      <c r="C35" s="38" t="e">
        <f ca="1">_xll.SNL.Clients.Office.Excel.Functions.SPG($E35, "SP_MARKETCAP", "Options: Curr=USD")</f>
        <v>#NAME?</v>
      </c>
      <c r="D35" s="39" t="s">
        <v>93</v>
      </c>
      <c r="E35" s="40" t="s">
        <v>94</v>
      </c>
      <c r="F35" s="41" t="str" cm="1">
        <f t="array" aca="1" ref="F35" ca="1">IFERROR(_xll.SNL.Clients.Office.Excel.Functions.SPG($E35, $F$3)/100,"NA")</f>
        <v>NA</v>
      </c>
      <c r="G35" s="42" t="e" cm="1">
        <f t="array" aca="1" ref="G35" ca="1">_xll.SNL.Clients.Office.Excel.Functions.SPG($E35, "SP_PCFPS_FWD",G$2)</f>
        <v>#NAME?</v>
      </c>
      <c r="H35" s="43" t="e" cm="1">
        <f t="array" aca="1" ref="H35" ca="1">_xll.SNL.Clients.Office.Excel.Functions.SPG($E35, "SP_PCFPS_FWD",H$2)</f>
        <v>#NAME?</v>
      </c>
      <c r="I35" s="44" t="e" cm="1">
        <f t="array" aca="1" ref="I35" ca="1">_xll.SNL.Clients.Office.Excel.Functions.SPG($E35, "SP_PCFPS_FWD",I$2)</f>
        <v>#NAME?</v>
      </c>
      <c r="J35" s="45" t="str">
        <f ca="1">IFERROR(_xll.SNL.Clients.Office.Excel.Functions.SPG($E35, "SP_FCF_EST",J$2, "Options: Curr=USD")/1000/C35,"NA")</f>
        <v>NA</v>
      </c>
      <c r="K35" s="45" t="str">
        <f ca="1">IFERROR(_xll.SNL.Clients.Office.Excel.Functions.SPG($E35, "SP_FCF_EST",K$2, "Options: Curr=USD")/1000/C35,"NA")</f>
        <v>NA</v>
      </c>
      <c r="L35" s="45" t="str">
        <f ca="1">IFERROR(_xll.SNL.Clients.Office.Excel.Functions.SPG($E35, "SP_FCF_EST",L$2, "Options: Curr=USD")/1000/D35,"NA")</f>
        <v>NA</v>
      </c>
      <c r="M35" s="42" t="e" cm="1">
        <f t="array" aca="1" ref="M35" ca="1">_xll.SNL.Clients.Office.Excel.Functions.SPG($E35, "SP_PE_FWD",M$2)</f>
        <v>#NAME?</v>
      </c>
      <c r="N35" s="43" t="e" cm="1">
        <f t="array" aca="1" ref="N35" ca="1">_xll.SNL.Clients.Office.Excel.Functions.SPG($E35, "SP_PE_FWD",N$2)</f>
        <v>#NAME?</v>
      </c>
      <c r="O35" s="44" t="e" cm="1">
        <f t="array" aca="1" ref="O35" ca="1">_xll.SNL.Clients.Office.Excel.Functions.SPG($E35, "SP_PE_FWD",O$2)</f>
        <v>#NAME?</v>
      </c>
      <c r="P35" s="54" t="e" cm="1">
        <f t="array" aca="1" ref="P35" ca="1">IF((_xll.SNL.Clients.Office.Excel.Functions.SPG($E35,$P$3,P$4,"Options: Curr=USD") / _xll.SNL.Clients.Office.Excel.Functions.SPG($E35,"SP_EBITDA_EST",P$2,"Options: Curr=USD")) &lt; 0, "NM", (_xll.SNL.Clients.Office.Excel.Functions.SPG($E35,$P$3,P$4,"Options: Curr=USD") / _xll.SNL.Clients.Office.Excel.Functions.SPG($E35,"SP_EBITDA_EST",P$2,"Options: Curr=USD")))</f>
        <v>#NAME?</v>
      </c>
      <c r="Q35" s="55" t="e" cm="1">
        <f t="array" aca="1" ref="Q35" ca="1">_xll.SNL.Clients.Office.Excel.Functions.SPG($E35, $Q$3,Q$4)</f>
        <v>#NAME?</v>
      </c>
      <c r="R35" s="43" t="e" cm="1">
        <f t="array" aca="1" ref="R35" ca="1">_xll.SNL.Clients.Office.Excel.Functions.SPG($E35, $R$3,R$2)</f>
        <v>#NAME?</v>
      </c>
      <c r="S35" s="43" t="e" cm="1">
        <f t="array" aca="1" ref="S35" ca="1">_xll.SNL.Clients.Office.Excel.Functions.SPG($E35, $R$3,S$2)</f>
        <v>#NAME?</v>
      </c>
      <c r="T35" s="44" t="e" cm="1">
        <f t="array" aca="1" ref="T35" ca="1">_xll.SNL.Clients.Office.Excel.Functions.SPG($E35, $R$3,T$2)</f>
        <v>#NAME?</v>
      </c>
      <c r="U35" s="50" t="e">
        <f ca="1" xml:space="preserve"> IF(ISNUMBER(SEARCH("na",_xll.SNL.Clients.Office.Excel.Functions.SPG($E35, $U$4, U$2))), 0,_xll.SNL.Clients.Office.Excel.Functions.SPG($E35, $U$4, U$2))</f>
        <v>#NAME?</v>
      </c>
      <c r="V35" s="50" t="e">
        <f ca="1" xml:space="preserve"> IF(ISNUMBER(SEARCH("na",_xll.SNL.Clients.Office.Excel.Functions.SPG($E35, $U$4, V$2))), 0,_xll.SNL.Clients.Office.Excel.Functions.SPG($E35, $U$4, V$2))</f>
        <v>#NAME?</v>
      </c>
      <c r="W35" s="50" t="e">
        <f ca="1" xml:space="preserve"> IF(ISNUMBER(SEARCH("na",_xll.SNL.Clients.Office.Excel.Functions.SPG($E35, $U$4, W$2))), 0,_xll.SNL.Clients.Office.Excel.Functions.SPG($E35, $U$4, W$2))</f>
        <v>#NAME?</v>
      </c>
      <c r="X35" s="56" t="str">
        <f t="shared" ca="1" si="5"/>
        <v>NA</v>
      </c>
      <c r="Y35" s="57" t="str">
        <f t="shared" ca="1" si="5"/>
        <v>NA</v>
      </c>
      <c r="Z35" s="58" t="str">
        <f t="shared" ca="1" si="5"/>
        <v>NA</v>
      </c>
      <c r="AA35" s="50">
        <f ca="1">IFERROR(_xll.SNL.Clients.Office.Excel.Functions.SPG($E35, $AA$3, AA$2,$AA$4)/1000,0)</f>
        <v>0</v>
      </c>
      <c r="AB35" s="50">
        <f ca="1">IFERROR(_xll.SNL.Clients.Office.Excel.Functions.SPG($E35, $AB$3, AB$2,$AA$4)/1000,0)</f>
        <v>0</v>
      </c>
      <c r="AC35" s="50">
        <f ca="1">IFERROR(_xll.SNL.Clients.Office.Excel.Functions.SPG($E35, $AC$3, AC$2,$AA$4)/1000,0)</f>
        <v>0</v>
      </c>
    </row>
    <row r="36" spans="1:29" ht="13.8" x14ac:dyDescent="0.25">
      <c r="A36" s="37" t="e">
        <f ca="1">_xll.SNL.Clients.Office.Excel.Functions.SPG($E36, A$3)</f>
        <v>#NAME?</v>
      </c>
      <c r="B36" s="38" t="e">
        <f ca="1">_xll.SNL.Clients.Office.Excel.Functions.SPG($E36, "IQ_TEV", "Options: Curr=USD")</f>
        <v>#NAME?</v>
      </c>
      <c r="C36" s="38" t="e">
        <f ca="1">_xll.SNL.Clients.Office.Excel.Functions.SPG($E36, "SP_MARKETCAP", "Options: Curr=USD")</f>
        <v>#NAME?</v>
      </c>
      <c r="D36" s="39" t="s">
        <v>95</v>
      </c>
      <c r="E36" s="40" t="s">
        <v>96</v>
      </c>
      <c r="F36" s="41" t="str" cm="1">
        <f t="array" aca="1" ref="F36" ca="1">IFERROR(_xll.SNL.Clients.Office.Excel.Functions.SPG($E36, $F$3)/100,"NA")</f>
        <v>NA</v>
      </c>
      <c r="G36" s="42" t="e" cm="1">
        <f t="array" aca="1" ref="G36" ca="1">_xll.SNL.Clients.Office.Excel.Functions.SPG($E36, "SP_PCFPS_FWD",G$2)</f>
        <v>#NAME?</v>
      </c>
      <c r="H36" s="43" t="e" cm="1">
        <f t="array" aca="1" ref="H36" ca="1">_xll.SNL.Clients.Office.Excel.Functions.SPG($E36, "SP_PCFPS_FWD",H$2)</f>
        <v>#NAME?</v>
      </c>
      <c r="I36" s="44" t="e" cm="1">
        <f t="array" aca="1" ref="I36" ca="1">_xll.SNL.Clients.Office.Excel.Functions.SPG($E36, "SP_PCFPS_FWD",I$2)</f>
        <v>#NAME?</v>
      </c>
      <c r="J36" s="45" t="str">
        <f ca="1">IFERROR(_xll.SNL.Clients.Office.Excel.Functions.SPG($E36, "SP_FCF_EST",J$2, "Options: Curr=USD")/1000/C36,"NA")</f>
        <v>NA</v>
      </c>
      <c r="K36" s="45" t="str">
        <f ca="1">IFERROR(_xll.SNL.Clients.Office.Excel.Functions.SPG($E36, "SP_FCF_EST",K$2, "Options: Curr=USD")/1000/C36,"NA")</f>
        <v>NA</v>
      </c>
      <c r="L36" s="45" t="str">
        <f ca="1">IFERROR(_xll.SNL.Clients.Office.Excel.Functions.SPG($E36, "SP_FCF_EST",L$2, "Options: Curr=USD")/1000/D36,"NA")</f>
        <v>NA</v>
      </c>
      <c r="M36" s="42" t="e" cm="1">
        <f t="array" aca="1" ref="M36" ca="1">_xll.SNL.Clients.Office.Excel.Functions.SPG($E36, "SP_PE_FWD",M$2)</f>
        <v>#NAME?</v>
      </c>
      <c r="N36" s="43" t="e" cm="1">
        <f t="array" aca="1" ref="N36" ca="1">_xll.SNL.Clients.Office.Excel.Functions.SPG($E36, "SP_PE_FWD",N$2)</f>
        <v>#NAME?</v>
      </c>
      <c r="O36" s="44" t="e" cm="1">
        <f t="array" aca="1" ref="O36" ca="1">_xll.SNL.Clients.Office.Excel.Functions.SPG($E36, "SP_PE_FWD",O$2)</f>
        <v>#NAME?</v>
      </c>
      <c r="P36" s="54" t="e" cm="1">
        <f t="array" aca="1" ref="P36" ca="1">IF((_xll.SNL.Clients.Office.Excel.Functions.SPG($E36,$P$3,P$4,"Options: Curr=USD") / _xll.SNL.Clients.Office.Excel.Functions.SPG($E36,"SP_EBITDA_EST",P$2,"Options: Curr=USD")) &lt; 0, "NM", (_xll.SNL.Clients.Office.Excel.Functions.SPG($E36,$P$3,P$4,"Options: Curr=USD") / _xll.SNL.Clients.Office.Excel.Functions.SPG($E36,"SP_EBITDA_EST",P$2,"Options: Curr=USD")))</f>
        <v>#NAME?</v>
      </c>
      <c r="Q36" s="55" t="e" cm="1">
        <f t="array" aca="1" ref="Q36" ca="1">_xll.SNL.Clients.Office.Excel.Functions.SPG($E36, $Q$3,Q$4)</f>
        <v>#NAME?</v>
      </c>
      <c r="R36" s="43" t="e" cm="1">
        <f t="array" aca="1" ref="R36" ca="1">_xll.SNL.Clients.Office.Excel.Functions.SPG($E36, $R$3,R$2)</f>
        <v>#NAME?</v>
      </c>
      <c r="S36" s="43" t="e" cm="1">
        <f t="array" aca="1" ref="S36" ca="1">_xll.SNL.Clients.Office.Excel.Functions.SPG($E36, $R$3,S$2)</f>
        <v>#NAME?</v>
      </c>
      <c r="T36" s="44" t="e" cm="1">
        <f t="array" aca="1" ref="T36" ca="1">_xll.SNL.Clients.Office.Excel.Functions.SPG($E36, $R$3,T$2)</f>
        <v>#NAME?</v>
      </c>
      <c r="U36" s="50" t="e">
        <f ca="1" xml:space="preserve"> IF(ISNUMBER(SEARCH("na",_xll.SNL.Clients.Office.Excel.Functions.SPG($E36, $U$4, U$2))), 0,_xll.SNL.Clients.Office.Excel.Functions.SPG($E36, $U$4, U$2))</f>
        <v>#NAME?</v>
      </c>
      <c r="V36" s="50" t="e">
        <f ca="1" xml:space="preserve"> IF(ISNUMBER(SEARCH("na",_xll.SNL.Clients.Office.Excel.Functions.SPG($E36, $U$4, V$2))), 0,_xll.SNL.Clients.Office.Excel.Functions.SPG($E36, $U$4, V$2))</f>
        <v>#NAME?</v>
      </c>
      <c r="W36" s="50" t="e">
        <f ca="1" xml:space="preserve"> IF(ISNUMBER(SEARCH("na",_xll.SNL.Clients.Office.Excel.Functions.SPG($E36, $U$4, W$2))), 0,_xll.SNL.Clients.Office.Excel.Functions.SPG($E36, $U$4, W$2))</f>
        <v>#NAME?</v>
      </c>
      <c r="X36" s="56" t="str">
        <f ca="1">IFERROR($B36/U36,"NA")</f>
        <v>NA</v>
      </c>
      <c r="Y36" s="57" t="str">
        <f ca="1">IFERROR($B36/V36,"NA")</f>
        <v>NA</v>
      </c>
      <c r="Z36" s="58" t="str">
        <f ca="1">IFERROR($B36/W36,"NA")</f>
        <v>NA</v>
      </c>
      <c r="AA36" s="50">
        <f ca="1">IFERROR(_xll.SNL.Clients.Office.Excel.Functions.SPG($E36, $AA$3, AA$2,$AA$4)/1000,0)</f>
        <v>0</v>
      </c>
      <c r="AB36" s="50">
        <f ca="1">IFERROR(_xll.SNL.Clients.Office.Excel.Functions.SPG($E36, $AB$3, AB$2,$AA$4)/1000,0)</f>
        <v>0</v>
      </c>
      <c r="AC36" s="50">
        <f ca="1">IFERROR(_xll.SNL.Clients.Office.Excel.Functions.SPG($E36, $AC$3, AC$2,$AA$4)/1000,0)</f>
        <v>0</v>
      </c>
    </row>
    <row r="37" spans="1:29" ht="13.8" x14ac:dyDescent="0.25">
      <c r="A37" s="37" t="e">
        <f ca="1">_xll.SNL.Clients.Office.Excel.Functions.SPG($E37, A$3)</f>
        <v>#NAME?</v>
      </c>
      <c r="B37" s="38" t="e">
        <f ca="1">_xll.SNL.Clients.Office.Excel.Functions.SPG($E37, "IQ_TEV", "Options: Curr=USD")</f>
        <v>#NAME?</v>
      </c>
      <c r="C37" s="38" t="e">
        <f ca="1">_xll.SNL.Clients.Office.Excel.Functions.SPG($E37, "SP_MARKETCAP", "Options: Curr=USD")</f>
        <v>#NAME?</v>
      </c>
      <c r="D37" s="39" t="s">
        <v>97</v>
      </c>
      <c r="E37" s="40" t="s">
        <v>98</v>
      </c>
      <c r="F37" s="41" t="str" cm="1">
        <f t="array" aca="1" ref="F37" ca="1">IFERROR(_xll.SNL.Clients.Office.Excel.Functions.SPG($E37, $F$3)/100,"NA")</f>
        <v>NA</v>
      </c>
      <c r="G37" s="42" t="e" cm="1">
        <f t="array" aca="1" ref="G37" ca="1">_xll.SNL.Clients.Office.Excel.Functions.SPG($E37, "SP_PCFPS_FWD",G$2)</f>
        <v>#NAME?</v>
      </c>
      <c r="H37" s="43" t="e" cm="1">
        <f t="array" aca="1" ref="H37" ca="1">_xll.SNL.Clients.Office.Excel.Functions.SPG($E37, "SP_PCFPS_FWD",H$2)</f>
        <v>#NAME?</v>
      </c>
      <c r="I37" s="44" t="e" cm="1">
        <f t="array" aca="1" ref="I37" ca="1">_xll.SNL.Clients.Office.Excel.Functions.SPG($E37, "SP_PCFPS_FWD",I$2)</f>
        <v>#NAME?</v>
      </c>
      <c r="J37" s="45" t="str">
        <f ca="1">IFERROR(_xll.SNL.Clients.Office.Excel.Functions.SPG($E37, "SP_FCF_EST",J$2, "Options: Curr=USD")/1000/C37,"NA")</f>
        <v>NA</v>
      </c>
      <c r="K37" s="45" t="str">
        <f ca="1">IFERROR(_xll.SNL.Clients.Office.Excel.Functions.SPG($E37, "SP_FCF_EST",K$2, "Options: Curr=USD")/1000/C37,"NA")</f>
        <v>NA</v>
      </c>
      <c r="L37" s="45" t="str">
        <f ca="1">IFERROR(_xll.SNL.Clients.Office.Excel.Functions.SPG($E37, "SP_FCF_EST",L$2, "Options: Curr=USD")/1000/D37,"NA")</f>
        <v>NA</v>
      </c>
      <c r="M37" s="42" t="e" cm="1">
        <f t="array" aca="1" ref="M37" ca="1">_xll.SNL.Clients.Office.Excel.Functions.SPG($E37, "SP_PE_FWD",M$2)</f>
        <v>#NAME?</v>
      </c>
      <c r="N37" s="43" t="e" cm="1">
        <f t="array" aca="1" ref="N37" ca="1">_xll.SNL.Clients.Office.Excel.Functions.SPG($E37, "SP_PE_FWD",N$2)</f>
        <v>#NAME?</v>
      </c>
      <c r="O37" s="44" t="e" cm="1">
        <f t="array" aca="1" ref="O37" ca="1">_xll.SNL.Clients.Office.Excel.Functions.SPG($E37, "SP_PE_FWD",O$2)</f>
        <v>#NAME?</v>
      </c>
      <c r="P37" s="54" t="e" cm="1">
        <f t="array" aca="1" ref="P37" ca="1">IF((_xll.SNL.Clients.Office.Excel.Functions.SPG($E37,$P$3,P$4,"Options: Curr=USD") / _xll.SNL.Clients.Office.Excel.Functions.SPG($E37,"SP_EBITDA_EST",P$2,"Options: Curr=USD")) &lt; 0, "NM", (_xll.SNL.Clients.Office.Excel.Functions.SPG($E37,$P$3,P$4,"Options: Curr=USD") / _xll.SNL.Clients.Office.Excel.Functions.SPG($E37,"SP_EBITDA_EST",P$2,"Options: Curr=USD")))</f>
        <v>#NAME?</v>
      </c>
      <c r="Q37" s="55" t="e" cm="1">
        <f t="array" aca="1" ref="Q37" ca="1">_xll.SNL.Clients.Office.Excel.Functions.SPG($E37, $Q$3,Q$4)</f>
        <v>#NAME?</v>
      </c>
      <c r="R37" s="43" t="e" cm="1">
        <f t="array" aca="1" ref="R37" ca="1">_xll.SNL.Clients.Office.Excel.Functions.SPG($E37, $R$3,R$2)</f>
        <v>#NAME?</v>
      </c>
      <c r="S37" s="43" t="e" cm="1">
        <f t="array" aca="1" ref="S37" ca="1">_xll.SNL.Clients.Office.Excel.Functions.SPG($E37, $R$3,S$2)</f>
        <v>#NAME?</v>
      </c>
      <c r="T37" s="44" t="e" cm="1">
        <f t="array" aca="1" ref="T37" ca="1">_xll.SNL.Clients.Office.Excel.Functions.SPG($E37, $R$3,T$2)</f>
        <v>#NAME?</v>
      </c>
      <c r="U37" s="50" t="e">
        <f ca="1" xml:space="preserve"> IF(ISNUMBER(SEARCH("na",_xll.SNL.Clients.Office.Excel.Functions.SPG($E37, $U$4, U$2))), 0,_xll.SNL.Clients.Office.Excel.Functions.SPG($E37, $U$4, U$2))</f>
        <v>#NAME?</v>
      </c>
      <c r="V37" s="50" t="e">
        <f ca="1" xml:space="preserve"> IF(ISNUMBER(SEARCH("na",_xll.SNL.Clients.Office.Excel.Functions.SPG($E37, $U$4, V$2))), 0,_xll.SNL.Clients.Office.Excel.Functions.SPG($E37, $U$4, V$2))</f>
        <v>#NAME?</v>
      </c>
      <c r="W37" s="50" t="e">
        <f ca="1" xml:space="preserve"> IF(ISNUMBER(SEARCH("na",_xll.SNL.Clients.Office.Excel.Functions.SPG($E37, $U$4, W$2))), 0,_xll.SNL.Clients.Office.Excel.Functions.SPG($E37, $U$4, W$2))</f>
        <v>#NAME?</v>
      </c>
      <c r="X37" s="56" t="str">
        <f t="shared" ref="X37:Z46" ca="1" si="6">IFERROR($B37/U37,"NA")</f>
        <v>NA</v>
      </c>
      <c r="Y37" s="57" t="str">
        <f t="shared" ca="1" si="6"/>
        <v>NA</v>
      </c>
      <c r="Z37" s="58" t="str">
        <f t="shared" ca="1" si="6"/>
        <v>NA</v>
      </c>
      <c r="AA37" s="50">
        <f ca="1">IFERROR(_xll.SNL.Clients.Office.Excel.Functions.SPG($E37, $AA$3, AA$2,$AA$4)/1000,0)</f>
        <v>0</v>
      </c>
      <c r="AB37" s="50">
        <f ca="1">IFERROR(_xll.SNL.Clients.Office.Excel.Functions.SPG($E37, $AB$3, AB$2,$AA$4)/1000,0)</f>
        <v>0</v>
      </c>
      <c r="AC37" s="50">
        <f ca="1">IFERROR(_xll.SNL.Clients.Office.Excel.Functions.SPG($E37, $AC$3, AC$2,$AA$4)/1000,0)</f>
        <v>0</v>
      </c>
    </row>
    <row r="38" spans="1:29" ht="13.8" x14ac:dyDescent="0.25">
      <c r="A38" s="37" t="e">
        <f ca="1">_xll.SNL.Clients.Office.Excel.Functions.SPG($E38, A$3)</f>
        <v>#NAME?</v>
      </c>
      <c r="B38" s="38" t="e">
        <f ca="1">_xll.SNL.Clients.Office.Excel.Functions.SPG($E38, "IQ_TEV", "Options: Curr=USD")</f>
        <v>#NAME?</v>
      </c>
      <c r="C38" s="38" t="e">
        <f ca="1">_xll.SNL.Clients.Office.Excel.Functions.SPG($E38, "SP_MARKETCAP", "Options: Curr=USD")</f>
        <v>#NAME?</v>
      </c>
      <c r="D38" s="39" t="s">
        <v>99</v>
      </c>
      <c r="E38" s="40" t="s">
        <v>100</v>
      </c>
      <c r="F38" s="41" t="str" cm="1">
        <f t="array" aca="1" ref="F38" ca="1">IFERROR(_xll.SNL.Clients.Office.Excel.Functions.SPG($E38, $F$3)/100,"NA")</f>
        <v>NA</v>
      </c>
      <c r="G38" s="42" t="e" cm="1">
        <f t="array" aca="1" ref="G38" ca="1">_xll.SNL.Clients.Office.Excel.Functions.SPG($E38, "SP_PCFPS_FWD",G$2)</f>
        <v>#NAME?</v>
      </c>
      <c r="H38" s="43" t="e" cm="1">
        <f t="array" aca="1" ref="H38" ca="1">_xll.SNL.Clients.Office.Excel.Functions.SPG($E38, "SP_PCFPS_FWD",H$2)</f>
        <v>#NAME?</v>
      </c>
      <c r="I38" s="44" t="e" cm="1">
        <f t="array" aca="1" ref="I38" ca="1">_xll.SNL.Clients.Office.Excel.Functions.SPG($E38, "SP_PCFPS_FWD",I$2)</f>
        <v>#NAME?</v>
      </c>
      <c r="J38" s="45" t="str">
        <f ca="1">IFERROR(_xll.SNL.Clients.Office.Excel.Functions.SPG($E38, "SP_FCF_EST",J$2, "Options: Curr=USD")/1000/C38,"NA")</f>
        <v>NA</v>
      </c>
      <c r="K38" s="45" t="str">
        <f ca="1">IFERROR(_xll.SNL.Clients.Office.Excel.Functions.SPG($E38, "SP_FCF_EST",K$2, "Options: Curr=USD")/1000/C38,"NA")</f>
        <v>NA</v>
      </c>
      <c r="L38" s="45" t="str">
        <f ca="1">IFERROR(_xll.SNL.Clients.Office.Excel.Functions.SPG($E38, "SP_FCF_EST",L$2, "Options: Curr=USD")/1000/D38,"NA")</f>
        <v>NA</v>
      </c>
      <c r="M38" s="42" t="e" cm="1">
        <f t="array" aca="1" ref="M38" ca="1">_xll.SNL.Clients.Office.Excel.Functions.SPG($E38, "SP_PE_FWD",M$2)</f>
        <v>#NAME?</v>
      </c>
      <c r="N38" s="43" t="e" cm="1">
        <f t="array" aca="1" ref="N38" ca="1">_xll.SNL.Clients.Office.Excel.Functions.SPG($E38, "SP_PE_FWD",N$2)</f>
        <v>#NAME?</v>
      </c>
      <c r="O38" s="44" t="e" cm="1">
        <f t="array" aca="1" ref="O38" ca="1">_xll.SNL.Clients.Office.Excel.Functions.SPG($E38, "SP_PE_FWD",O$2)</f>
        <v>#NAME?</v>
      </c>
      <c r="P38" s="54" t="e" cm="1">
        <f t="array" aca="1" ref="P38" ca="1">IF((_xll.SNL.Clients.Office.Excel.Functions.SPG($E38,$P$3,P$4,"Options: Curr=USD") / _xll.SNL.Clients.Office.Excel.Functions.SPG($E38,"SP_EBITDA_EST",P$2,"Options: Curr=USD")) &lt; 0, "NM", (_xll.SNL.Clients.Office.Excel.Functions.SPG($E38,$P$3,P$4,"Options: Curr=USD") / _xll.SNL.Clients.Office.Excel.Functions.SPG($E38,"SP_EBITDA_EST",P$2,"Options: Curr=USD")))</f>
        <v>#NAME?</v>
      </c>
      <c r="Q38" s="55" t="e" cm="1">
        <f t="array" aca="1" ref="Q38" ca="1">_xll.SNL.Clients.Office.Excel.Functions.SPG($E38, $Q$3,Q$4)</f>
        <v>#NAME?</v>
      </c>
      <c r="R38" s="43" t="e" cm="1">
        <f t="array" aca="1" ref="R38" ca="1">_xll.SNL.Clients.Office.Excel.Functions.SPG($E38, $R$3,R$2)</f>
        <v>#NAME?</v>
      </c>
      <c r="S38" s="43" t="e" cm="1">
        <f t="array" aca="1" ref="S38" ca="1">_xll.SNL.Clients.Office.Excel.Functions.SPG($E38, $R$3,S$2)</f>
        <v>#NAME?</v>
      </c>
      <c r="T38" s="44" t="e" cm="1">
        <f t="array" aca="1" ref="T38" ca="1">_xll.SNL.Clients.Office.Excel.Functions.SPG($E38, $R$3,T$2)</f>
        <v>#NAME?</v>
      </c>
      <c r="U38" s="50" t="e">
        <f ca="1" xml:space="preserve"> IF(ISNUMBER(SEARCH("na",_xll.SNL.Clients.Office.Excel.Functions.SPG($E38, $U$4, U$2))), 0,_xll.SNL.Clients.Office.Excel.Functions.SPG($E38, $U$4, U$2))</f>
        <v>#NAME?</v>
      </c>
      <c r="V38" s="50" t="e">
        <f ca="1" xml:space="preserve"> IF(ISNUMBER(SEARCH("na",_xll.SNL.Clients.Office.Excel.Functions.SPG($E38, $U$4, V$2))), 0,_xll.SNL.Clients.Office.Excel.Functions.SPG($E38, $U$4, V$2))</f>
        <v>#NAME?</v>
      </c>
      <c r="W38" s="50" t="e">
        <f ca="1" xml:space="preserve"> IF(ISNUMBER(SEARCH("na",_xll.SNL.Clients.Office.Excel.Functions.SPG($E38, $U$4, W$2))), 0,_xll.SNL.Clients.Office.Excel.Functions.SPG($E38, $U$4, W$2))</f>
        <v>#NAME?</v>
      </c>
      <c r="X38" s="56" t="str">
        <f t="shared" ca="1" si="6"/>
        <v>NA</v>
      </c>
      <c r="Y38" s="57" t="str">
        <f t="shared" ca="1" si="6"/>
        <v>NA</v>
      </c>
      <c r="Z38" s="58" t="str">
        <f t="shared" ca="1" si="6"/>
        <v>NA</v>
      </c>
      <c r="AA38" s="50">
        <f ca="1">IFERROR(_xll.SNL.Clients.Office.Excel.Functions.SPG($E38, $AA$3, AA$2,$AA$4)/1000,0)</f>
        <v>0</v>
      </c>
      <c r="AB38" s="50">
        <f ca="1">IFERROR(_xll.SNL.Clients.Office.Excel.Functions.SPG($E38, $AB$3, AB$2,$AA$4)/1000,0)</f>
        <v>0</v>
      </c>
      <c r="AC38" s="50">
        <f ca="1">IFERROR(_xll.SNL.Clients.Office.Excel.Functions.SPG($E38, $AC$3, AC$2,$AA$4)/1000,0)</f>
        <v>0</v>
      </c>
    </row>
    <row r="39" spans="1:29" x14ac:dyDescent="0.25">
      <c r="B39" s="79"/>
      <c r="C39" s="79"/>
      <c r="D39" s="61"/>
      <c r="E39" s="61" t="s">
        <v>52</v>
      </c>
      <c r="F39" s="80" t="e">
        <f ca="1">AVERAGE(F29:F38)</f>
        <v>#DIV/0!</v>
      </c>
      <c r="G39" s="63" t="e" cm="1">
        <f t="array" aca="1" ref="G39" ca="1">AVERAGE(IFERROR(G29:G38, ""))</f>
        <v>#DIV/0!</v>
      </c>
      <c r="H39" s="64" t="e" cm="1">
        <f t="array" aca="1" ref="H39" ca="1">AVERAGE(IFERROR(H29:H38, ""))</f>
        <v>#DIV/0!</v>
      </c>
      <c r="I39" s="65" t="e" cm="1">
        <f t="array" aca="1" ref="I39" ca="1">AVERAGE(IFERROR(I29:I38, ""))</f>
        <v>#DIV/0!</v>
      </c>
      <c r="J39" s="66" t="e">
        <f ca="1">AVERAGE(J29:J38)</f>
        <v>#DIV/0!</v>
      </c>
      <c r="K39" s="66" t="e">
        <f ca="1">AVERAGE(K29:K38)</f>
        <v>#DIV/0!</v>
      </c>
      <c r="L39" s="66" t="e">
        <f ca="1">AVERAGE(L29:L38)</f>
        <v>#DIV/0!</v>
      </c>
      <c r="M39" s="63" t="e" cm="1">
        <f t="array" aca="1" ref="M39" ca="1">AVERAGE(IFERROR(M29:M38, ""))</f>
        <v>#DIV/0!</v>
      </c>
      <c r="N39" s="64" t="e" cm="1">
        <f t="array" aca="1" ref="N39" ca="1">AVERAGE(IFERROR(N29:N38, ""))</f>
        <v>#DIV/0!</v>
      </c>
      <c r="O39" s="65" t="e" cm="1">
        <f t="array" aca="1" ref="O39" ca="1">AVERAGE(IFERROR(O29:O38, ""))</f>
        <v>#DIV/0!</v>
      </c>
      <c r="P39" s="64"/>
      <c r="Q39" s="64"/>
      <c r="R39" s="67" t="e">
        <f ca="1">AVERAGE(R28:R38)</f>
        <v>#NAME?</v>
      </c>
      <c r="S39" s="67" t="e">
        <f ca="1">AVERAGE(S28:S38)</f>
        <v>#NAME?</v>
      </c>
      <c r="T39" s="73" t="e">
        <f ca="1">AVERAGE(T28:T38)</f>
        <v>#NAME?</v>
      </c>
      <c r="U39" s="68" t="e" cm="1">
        <f t="array" aca="1" ref="U39" ca="1">AVERAGE(IFERROR(U29:U38, ""))</f>
        <v>#DIV/0!</v>
      </c>
      <c r="V39" s="68" t="e" cm="1">
        <f t="array" aca="1" ref="V39" ca="1">AVERAGE(IFERROR(V29:V38, ""))</f>
        <v>#DIV/0!</v>
      </c>
      <c r="W39" s="74" t="e" cm="1">
        <f t="array" aca="1" ref="W39" ca="1">AVERAGE(IFERROR(W29:W38, ""))</f>
        <v>#DIV/0!</v>
      </c>
      <c r="X39" s="68" t="e" cm="1">
        <f t="array" aca="1" ref="X39" ca="1">AVERAGE(IFERROR(X29:X38, ""))</f>
        <v>#DIV/0!</v>
      </c>
      <c r="Y39" s="68" t="e" cm="1">
        <f t="array" aca="1" ref="Y39" ca="1">AVERAGE(IFERROR(Y29:Y38, ""))</f>
        <v>#DIV/0!</v>
      </c>
      <c r="Z39" s="74" t="e" cm="1">
        <f t="array" aca="1" ref="Z39" ca="1">AVERAGE(IFERROR(Z29:Z38, ""))</f>
        <v>#DIV/0!</v>
      </c>
      <c r="AA39" s="71"/>
      <c r="AB39" s="71"/>
    </row>
    <row r="40" spans="1:29" ht="16.8" x14ac:dyDescent="0.25">
      <c r="D40" s="31" t="s">
        <v>101</v>
      </c>
      <c r="E40" s="32"/>
      <c r="F40" s="81"/>
      <c r="G40" s="76"/>
      <c r="H40" s="76"/>
      <c r="I40" s="77"/>
      <c r="J40" s="76"/>
      <c r="K40" s="76"/>
      <c r="L40" s="76"/>
      <c r="M40" s="78"/>
      <c r="N40" s="76"/>
      <c r="O40" s="77"/>
      <c r="P40" s="76"/>
      <c r="Q40" s="76"/>
      <c r="R40" s="76"/>
      <c r="S40" s="76"/>
      <c r="T40" s="77"/>
      <c r="U40" s="76"/>
      <c r="V40" s="76"/>
      <c r="W40" s="76"/>
      <c r="X40" s="35"/>
      <c r="Y40" s="35"/>
      <c r="Z40" s="35"/>
      <c r="AA40" s="35"/>
      <c r="AB40" s="35"/>
      <c r="AC40" s="35"/>
    </row>
    <row r="41" spans="1:29" ht="13.8" x14ac:dyDescent="0.25">
      <c r="A41" s="37" t="e">
        <f ca="1">_xll.SNL.Clients.Office.Excel.Functions.SPG($E41, A$3)</f>
        <v>#NAME?</v>
      </c>
      <c r="B41" s="38" t="e">
        <f ca="1">_xll.SNL.Clients.Office.Excel.Functions.SPG($E41, "IQ_TEV", "Options: Curr=USD")</f>
        <v>#NAME?</v>
      </c>
      <c r="C41" s="38" t="e">
        <f ca="1">_xll.SNL.Clients.Office.Excel.Functions.SPG($E41, "SP_MARKETCAP", "Options: Curr=USD")</f>
        <v>#NAME?</v>
      </c>
      <c r="D41" s="39" t="s">
        <v>102</v>
      </c>
      <c r="E41" s="40" t="s">
        <v>103</v>
      </c>
      <c r="F41" s="41" t="str" cm="1">
        <f t="array" aca="1" ref="F41" ca="1">IFERROR(_xll.SNL.Clients.Office.Excel.Functions.SPG($E41, $F$3)/100,"NA")</f>
        <v>NA</v>
      </c>
      <c r="G41" s="42" t="e" cm="1">
        <f t="array" aca="1" ref="G41" ca="1">_xll.SNL.Clients.Office.Excel.Functions.SPG($E41, "SP_PCFPS_FWD",G$2)</f>
        <v>#NAME?</v>
      </c>
      <c r="H41" s="43" t="e" cm="1">
        <f t="array" aca="1" ref="H41" ca="1">_xll.SNL.Clients.Office.Excel.Functions.SPG($E41, "SP_PCFPS_FWD",H$2)</f>
        <v>#NAME?</v>
      </c>
      <c r="I41" s="44" t="e" cm="1">
        <f t="array" aca="1" ref="I41" ca="1">_xll.SNL.Clients.Office.Excel.Functions.SPG($E41, "SP_PCFPS_FWD",I$2)</f>
        <v>#NAME?</v>
      </c>
      <c r="J41" s="45" t="str">
        <f ca="1">IFERROR(_xll.SNL.Clients.Office.Excel.Functions.SPG($E41, "SP_FCF_EST",J$2, "Options: Curr=USD")/1000/C41,"NA")</f>
        <v>NA</v>
      </c>
      <c r="K41" s="45" t="str">
        <f ca="1">IFERROR(_xll.SNL.Clients.Office.Excel.Functions.SPG($E41, "SP_FCF_EST",K$2, "Options: Curr=USD")/1000/C41,"NA")</f>
        <v>NA</v>
      </c>
      <c r="L41" s="45" t="str">
        <f ca="1">IFERROR(_xll.SNL.Clients.Office.Excel.Functions.SPG($E41, "SP_FCF_EST",L$2, "Options: Curr=USD")/1000/D41,"NA")</f>
        <v>NA</v>
      </c>
      <c r="M41" s="42" t="e" cm="1">
        <f t="array" aca="1" ref="M41" ca="1">_xll.SNL.Clients.Office.Excel.Functions.SPG($E41, "SP_PE_FWD",M$2)</f>
        <v>#NAME?</v>
      </c>
      <c r="N41" s="43" t="e" cm="1">
        <f t="array" aca="1" ref="N41" ca="1">_xll.SNL.Clients.Office.Excel.Functions.SPG($E41, "SP_PE_FWD",N$2)</f>
        <v>#NAME?</v>
      </c>
      <c r="O41" s="44" t="e" cm="1">
        <f t="array" aca="1" ref="O41" ca="1">_xll.SNL.Clients.Office.Excel.Functions.SPG($E41, "SP_PE_FWD",O$2)</f>
        <v>#NAME?</v>
      </c>
      <c r="P41" s="54" t="e" cm="1">
        <f t="array" aca="1" ref="P41" ca="1">IF((_xll.SNL.Clients.Office.Excel.Functions.SPG($E41,$P$3,P$4,"Options: Curr=USD") / _xll.SNL.Clients.Office.Excel.Functions.SPG($E41,"SP_EBITDA_EST",P$2,"Options: Curr=USD")) &lt; 0, "NM", (_xll.SNL.Clients.Office.Excel.Functions.SPG($E41,$P$3,P$4,"Options: Curr=USD") / _xll.SNL.Clients.Office.Excel.Functions.SPG($E41,"SP_EBITDA_EST",P$2,"Options: Curr=USD")))</f>
        <v>#NAME?</v>
      </c>
      <c r="Q41" s="55" t="e" cm="1">
        <f t="array" aca="1" ref="Q41" ca="1">_xll.SNL.Clients.Office.Excel.Functions.SPG($E41, $Q$3,Q$4)</f>
        <v>#NAME?</v>
      </c>
      <c r="R41" s="43" t="e" cm="1">
        <f t="array" aca="1" ref="R41" ca="1">_xll.SNL.Clients.Office.Excel.Functions.SPG($E41, $R$3,R$2)</f>
        <v>#NAME?</v>
      </c>
      <c r="S41" s="43" t="e" cm="1">
        <f t="array" aca="1" ref="S41" ca="1">_xll.SNL.Clients.Office.Excel.Functions.SPG($E41, $R$3,S$2)</f>
        <v>#NAME?</v>
      </c>
      <c r="T41" s="44" t="e" cm="1">
        <f t="array" aca="1" ref="T41" ca="1">_xll.SNL.Clients.Office.Excel.Functions.SPG($E41, $R$3,T$2)</f>
        <v>#NAME?</v>
      </c>
      <c r="U41" s="50" t="e">
        <f ca="1" xml:space="preserve"> IF(ISNUMBER(SEARCH("na",_xll.SNL.Clients.Office.Excel.Functions.SPG($E41, $U$4, U$2))), 0,_xll.SNL.Clients.Office.Excel.Functions.SPG($E41, $U$4, U$2))</f>
        <v>#NAME?</v>
      </c>
      <c r="V41" s="50" t="e">
        <f ca="1" xml:space="preserve"> IF(ISNUMBER(SEARCH("na",_xll.SNL.Clients.Office.Excel.Functions.SPG($E41, $U$4, V$2))), 0,_xll.SNL.Clients.Office.Excel.Functions.SPG($E41, $U$4, V$2))</f>
        <v>#NAME?</v>
      </c>
      <c r="W41" s="50" t="e">
        <f ca="1" xml:space="preserve"> IF(ISNUMBER(SEARCH("na",_xll.SNL.Clients.Office.Excel.Functions.SPG($E41, $U$4, W$2))), 0,_xll.SNL.Clients.Office.Excel.Functions.SPG($E41, $U$4, W$2))</f>
        <v>#NAME?</v>
      </c>
      <c r="X41" s="56" t="str">
        <f ca="1">IFERROR($B41/U41,"NA")</f>
        <v>NA</v>
      </c>
      <c r="Y41" s="57" t="str">
        <f ca="1">IFERROR($B41/V41,"NA")</f>
        <v>NA</v>
      </c>
      <c r="Z41" s="58" t="str">
        <f ca="1">IFERROR($B41/W41,"NA")</f>
        <v>NA</v>
      </c>
      <c r="AA41" s="50">
        <f ca="1">IFERROR(_xll.SNL.Clients.Office.Excel.Functions.SPG($E41, $AA$3, AA$2,$AA$4)/1000,0)</f>
        <v>0</v>
      </c>
      <c r="AB41" s="50">
        <f ca="1">IFERROR(_xll.SNL.Clients.Office.Excel.Functions.SPG($E41, $AB$3, AB$2,$AA$4)/1000,0)</f>
        <v>0</v>
      </c>
      <c r="AC41" s="50">
        <f ca="1">IFERROR(_xll.SNL.Clients.Office.Excel.Functions.SPG($E41, $AC$3, AC$2,$AA$4)/1000,0)</f>
        <v>0</v>
      </c>
    </row>
    <row r="42" spans="1:29" ht="16.8" x14ac:dyDescent="0.25">
      <c r="D42" s="31" t="s">
        <v>104</v>
      </c>
      <c r="E42" s="32"/>
      <c r="F42" s="82"/>
      <c r="G42" s="76"/>
      <c r="H42" s="76"/>
      <c r="I42" s="77"/>
      <c r="J42" s="76"/>
      <c r="K42" s="76"/>
      <c r="L42" s="76"/>
      <c r="M42" s="78"/>
      <c r="N42" s="76"/>
      <c r="O42" s="77"/>
      <c r="P42" s="76"/>
      <c r="Q42" s="76"/>
      <c r="R42" s="76"/>
      <c r="S42" s="76"/>
      <c r="T42" s="77"/>
      <c r="U42" s="76"/>
      <c r="V42" s="76"/>
      <c r="W42" s="76"/>
      <c r="X42" s="35"/>
      <c r="Y42" s="35"/>
      <c r="Z42" s="35"/>
      <c r="AA42" s="35"/>
      <c r="AB42" s="35"/>
      <c r="AC42" s="35"/>
    </row>
    <row r="43" spans="1:29" ht="13.8" x14ac:dyDescent="0.25">
      <c r="A43" s="37" t="e">
        <f ca="1">_xll.SNL.Clients.Office.Excel.Functions.SPG($E43, A$3)</f>
        <v>#NAME?</v>
      </c>
      <c r="B43" s="38" t="e">
        <f ca="1">_xll.SNL.Clients.Office.Excel.Functions.SPG($E43, "IQ_TEV", "Options: Curr=USD")</f>
        <v>#NAME?</v>
      </c>
      <c r="C43" s="38" t="e">
        <f ca="1">_xll.SNL.Clients.Office.Excel.Functions.SPG($E43, "SP_MARKETCAP", "Options: Curr=USD")</f>
        <v>#NAME?</v>
      </c>
      <c r="D43" s="39" t="s">
        <v>105</v>
      </c>
      <c r="E43" s="40" t="s">
        <v>106</v>
      </c>
      <c r="F43" s="83" t="str" cm="1">
        <f t="array" aca="1" ref="F43" ca="1">IFERROR(_xll.SNL.Clients.Office.Excel.Functions.SPG($E43, $F$3)/100,"NA")</f>
        <v>NA</v>
      </c>
      <c r="G43" s="48" t="e" cm="1">
        <f t="array" aca="1" ref="G43" ca="1">_xll.SNL.Clients.Office.Excel.Functions.SPG($E43, "SP_PCFPS_FWD",G$2)</f>
        <v>#NAME?</v>
      </c>
      <c r="H43" s="48" t="e" cm="1">
        <f t="array" aca="1" ref="H43" ca="1">_xll.SNL.Clients.Office.Excel.Functions.SPG($E43, "SP_PCFPS_FWD",H$2)</f>
        <v>#NAME?</v>
      </c>
      <c r="I43" s="49" t="e" cm="1">
        <f t="array" aca="1" ref="I43" ca="1">_xll.SNL.Clients.Office.Excel.Functions.SPG($E43, "SP_PCFPS_FWD",I$2)</f>
        <v>#NAME?</v>
      </c>
      <c r="J43" s="45" t="str">
        <f ca="1">IFERROR(_xll.SNL.Clients.Office.Excel.Functions.SPG($E43, "SP_FCF_EST",J$2, "Options: Curr=USD")/1000/C43,"NA")</f>
        <v>NA</v>
      </c>
      <c r="K43" s="45" t="str">
        <f ca="1">IFERROR(_xll.SNL.Clients.Office.Excel.Functions.SPG($E43, "SP_FCF_EST",K$2, "Options: Curr=USD")/1000/C43,"NA")</f>
        <v>NA</v>
      </c>
      <c r="L43" s="45" t="str">
        <f ca="1">IFERROR(_xll.SNL.Clients.Office.Excel.Functions.SPG($E43, "SP_FCF_EST",L$2, "Options: Curr=USD")/1000/D43,"NA")</f>
        <v>NA</v>
      </c>
      <c r="M43" s="42" t="e" cm="1">
        <f t="array" aca="1" ref="M43" ca="1">_xll.SNL.Clients.Office.Excel.Functions.SPG($E43, "SP_PE_FWD",M$2)</f>
        <v>#NAME?</v>
      </c>
      <c r="N43" s="43" t="e" cm="1">
        <f t="array" aca="1" ref="N43" ca="1">_xll.SNL.Clients.Office.Excel.Functions.SPG($E43, "SP_PE_FWD",N$2)</f>
        <v>#NAME?</v>
      </c>
      <c r="O43" s="44" t="e" cm="1">
        <f t="array" aca="1" ref="O43" ca="1">_xll.SNL.Clients.Office.Excel.Functions.SPG($E43, "SP_PE_FWD",O$2)</f>
        <v>#NAME?</v>
      </c>
      <c r="P43" s="54" t="e" cm="1">
        <f t="array" aca="1" ref="P43" ca="1">IF((_xll.SNL.Clients.Office.Excel.Functions.SPG($E43,$P$3,P$4,"Options: Curr=USD") / _xll.SNL.Clients.Office.Excel.Functions.SPG($E43,"SP_EBITDA_EST",P$2,"Options: Curr=USD")) &lt; 0, "NM", (_xll.SNL.Clients.Office.Excel.Functions.SPG($E43,$P$3,P$4,"Options: Curr=USD") / _xll.SNL.Clients.Office.Excel.Functions.SPG($E43,"SP_EBITDA_EST",P$2,"Options: Curr=USD")))</f>
        <v>#NAME?</v>
      </c>
      <c r="Q43" s="55" t="e" cm="1">
        <f t="array" aca="1" ref="Q43" ca="1">_xll.SNL.Clients.Office.Excel.Functions.SPG($E43, $Q$3,Q$4)</f>
        <v>#NAME?</v>
      </c>
      <c r="R43" s="43" t="e" cm="1">
        <f t="array" aca="1" ref="R43" ca="1">_xll.SNL.Clients.Office.Excel.Functions.SPG($E43, $R$3,R$2)</f>
        <v>#NAME?</v>
      </c>
      <c r="S43" s="43" t="e" cm="1">
        <f t="array" aca="1" ref="S43" ca="1">_xll.SNL.Clients.Office.Excel.Functions.SPG($E43, $R$3,S$2)</f>
        <v>#NAME?</v>
      </c>
      <c r="T43" s="44" t="e" cm="1">
        <f t="array" aca="1" ref="T43" ca="1">_xll.SNL.Clients.Office.Excel.Functions.SPG($E43, $R$3,T$2)</f>
        <v>#NAME?</v>
      </c>
    </row>
    <row r="44" spans="1:29" ht="13.8" x14ac:dyDescent="0.25">
      <c r="A44" s="37" t="e">
        <f ca="1">_xll.SNL.Clients.Office.Excel.Functions.SPG($E44, A$3)</f>
        <v>#NAME?</v>
      </c>
      <c r="B44" s="38" t="e">
        <f ca="1">_xll.SNL.Clients.Office.Excel.Functions.SPG($E44, "IQ_TEV", "Options: Curr=USD")</f>
        <v>#NAME?</v>
      </c>
      <c r="C44" s="38" t="e">
        <f ca="1">_xll.SNL.Clients.Office.Excel.Functions.SPG($E44, "SP_MARKETCAP", "Options: Curr=USD")</f>
        <v>#NAME?</v>
      </c>
      <c r="D44" s="39" t="s">
        <v>107</v>
      </c>
      <c r="E44" s="2" t="s">
        <v>108</v>
      </c>
      <c r="F44" s="84" t="str" cm="1">
        <f t="array" aca="1" ref="F44" ca="1">IFERROR(_xll.SNL.Clients.Office.Excel.Functions.SPG($E44, $F$3)/100,"NA")</f>
        <v>NA</v>
      </c>
      <c r="G44" s="85" t="e" cm="1">
        <f t="array" aca="1" ref="G44" ca="1">_xll.SNL.Clients.Office.Excel.Functions.SPG($E44, "SP_PCFPS_FWD",G$2)</f>
        <v>#NAME?</v>
      </c>
      <c r="H44" s="86" t="e" cm="1">
        <f t="array" aca="1" ref="H44" ca="1">_xll.SNL.Clients.Office.Excel.Functions.SPG($E44, "SP_PCFPS_FWD",H$2)</f>
        <v>#NAME?</v>
      </c>
      <c r="I44" s="87" t="e" cm="1">
        <f t="array" aca="1" ref="I44" ca="1">_xll.SNL.Clients.Office.Excel.Functions.SPG($E44, "SP_PCFPS_FWD",I$2)</f>
        <v>#NAME?</v>
      </c>
      <c r="J44" s="45" t="str">
        <f ca="1">IFERROR(_xll.SNL.Clients.Office.Excel.Functions.SPG($E44, "SP_FCF_EST",J$2, "Options: Curr=USD")/1000/C44,"NA")</f>
        <v>NA</v>
      </c>
      <c r="K44" s="45" t="str">
        <f ca="1">IFERROR(_xll.SNL.Clients.Office.Excel.Functions.SPG($E44, "SP_FCF_EST",K$2, "Options: Curr=USD")/1000/C44,"NA")</f>
        <v>NA</v>
      </c>
      <c r="L44" s="45" t="str">
        <f ca="1">IFERROR(_xll.SNL.Clients.Office.Excel.Functions.SPG($E44, "SP_FCF_EST",L$2, "Options: Curr=USD")/1000/D44,"NA")</f>
        <v>NA</v>
      </c>
      <c r="M44" s="85" t="e" cm="1">
        <f t="array" aca="1" ref="M44" ca="1">_xll.SNL.Clients.Office.Excel.Functions.SPG($E44, "SP_PE_FWD",M$2)</f>
        <v>#NAME?</v>
      </c>
      <c r="N44" s="86" t="e" cm="1">
        <f t="array" aca="1" ref="N44" ca="1">_xll.SNL.Clients.Office.Excel.Functions.SPG($E44, "SP_PE_FWD",N$2)</f>
        <v>#NAME?</v>
      </c>
      <c r="O44" s="87" t="e" cm="1">
        <f t="array" aca="1" ref="O44" ca="1">_xll.SNL.Clients.Office.Excel.Functions.SPG($E44, "SP_PE_FWD",O$2)</f>
        <v>#NAME?</v>
      </c>
      <c r="P44" s="54" t="e" cm="1">
        <f t="array" aca="1" ref="P44" ca="1">IF((_xll.SNL.Clients.Office.Excel.Functions.SPG($E44,$P$3,P$4,"Options: Curr=USD") / _xll.SNL.Clients.Office.Excel.Functions.SPG($E44,"SP_EBITDA_EST",P$2,"Options: Curr=USD")) &lt; 0, "NM", (_xll.SNL.Clients.Office.Excel.Functions.SPG($E44,$P$3,P$4,"Options: Curr=USD") / _xll.SNL.Clients.Office.Excel.Functions.SPG($E44,"SP_EBITDA_EST",P$2,"Options: Curr=USD")))</f>
        <v>#NAME?</v>
      </c>
      <c r="Q44" s="55" t="e" cm="1">
        <f t="array" aca="1" ref="Q44" ca="1">_xll.SNL.Clients.Office.Excel.Functions.SPG($E44, $Q$3,Q$4)</f>
        <v>#NAME?</v>
      </c>
      <c r="R44" s="86" t="e" cm="1">
        <f t="array" aca="1" ref="R44" ca="1">_xll.SNL.Clients.Office.Excel.Functions.SPG($E44, $R$3,R$2)</f>
        <v>#NAME?</v>
      </c>
      <c r="S44" s="86" t="e" cm="1">
        <f t="array" aca="1" ref="S44" ca="1">_xll.SNL.Clients.Office.Excel.Functions.SPG($E44, $R$3,S$2)</f>
        <v>#NAME?</v>
      </c>
      <c r="T44" s="87" t="e" cm="1">
        <f t="array" aca="1" ref="T44" ca="1">_xll.SNL.Clients.Office.Excel.Functions.SPG($E44, $R$3,T$2)</f>
        <v>#NAME?</v>
      </c>
    </row>
    <row r="45" spans="1:29" ht="13.8" x14ac:dyDescent="0.25">
      <c r="A45" s="37" t="e">
        <f ca="1">_xll.SNL.Clients.Office.Excel.Functions.SPG($E45, A$3)</f>
        <v>#NAME?</v>
      </c>
      <c r="B45" s="38" t="e">
        <f ca="1">_xll.SNL.Clients.Office.Excel.Functions.SPG($E45, "IQ_TEV", "Options: Curr=USD")</f>
        <v>#NAME?</v>
      </c>
      <c r="C45" s="38" t="e">
        <f ca="1">_xll.SNL.Clients.Office.Excel.Functions.SPG($E45, "SP_MARKETCAP", "Options: Curr=USD")</f>
        <v>#NAME?</v>
      </c>
      <c r="D45" s="39" t="s">
        <v>109</v>
      </c>
      <c r="E45" s="2" t="s">
        <v>110</v>
      </c>
      <c r="F45" s="84" t="str" cm="1">
        <f t="array" aca="1" ref="F45" ca="1">IFERROR(_xll.SNL.Clients.Office.Excel.Functions.SPG($E45, $F$3)/100,"NA")</f>
        <v>NA</v>
      </c>
      <c r="G45" s="85" t="e" cm="1">
        <f t="array" aca="1" ref="G45" ca="1">_xll.SNL.Clients.Office.Excel.Functions.SPG($E45, "SP_PCFPS_FWD",G$2)</f>
        <v>#NAME?</v>
      </c>
      <c r="H45" s="86" t="e" cm="1">
        <f t="array" aca="1" ref="H45" ca="1">_xll.SNL.Clients.Office.Excel.Functions.SPG($E45, "SP_PCFPS_FWD",H$2)</f>
        <v>#NAME?</v>
      </c>
      <c r="I45" s="87" t="e" cm="1">
        <f t="array" aca="1" ref="I45" ca="1">_xll.SNL.Clients.Office.Excel.Functions.SPG($E45, "SP_PCFPS_FWD",I$2)</f>
        <v>#NAME?</v>
      </c>
      <c r="J45" s="45" t="str">
        <f ca="1">IFERROR(_xll.SNL.Clients.Office.Excel.Functions.SPG($E45, "SP_FCF_EST",J$2, "Options: Curr=USD")/1000/C45,"NA")</f>
        <v>NA</v>
      </c>
      <c r="K45" s="45" t="str">
        <f ca="1">IFERROR(_xll.SNL.Clients.Office.Excel.Functions.SPG($E45, "SP_FCF_EST",K$2, "Options: Curr=USD")/1000/C45,"NA")</f>
        <v>NA</v>
      </c>
      <c r="L45" s="45" t="str">
        <f ca="1">IFERROR(_xll.SNL.Clients.Office.Excel.Functions.SPG($E45, "SP_FCF_EST",L$2, "Options: Curr=USD")/1000/D45,"NA")</f>
        <v>NA</v>
      </c>
      <c r="M45" s="85" t="e" cm="1">
        <f t="array" aca="1" ref="M45" ca="1">_xll.SNL.Clients.Office.Excel.Functions.SPG($E45, "SP_PE_FWD",M$2)</f>
        <v>#NAME?</v>
      </c>
      <c r="N45" s="86" t="e" cm="1">
        <f t="array" aca="1" ref="N45" ca="1">_xll.SNL.Clients.Office.Excel.Functions.SPG($E45, "SP_PE_FWD",N$2)</f>
        <v>#NAME?</v>
      </c>
      <c r="O45" s="87" t="e" cm="1">
        <f t="array" aca="1" ref="O45" ca="1">_xll.SNL.Clients.Office.Excel.Functions.SPG($E45, "SP_PE_FWD",O$2)</f>
        <v>#NAME?</v>
      </c>
      <c r="P45" s="54" t="e" cm="1">
        <f t="array" aca="1" ref="P45" ca="1">IF((_xll.SNL.Clients.Office.Excel.Functions.SPG($E45,$P$3,P$4,"Options: Curr=USD") / _xll.SNL.Clients.Office.Excel.Functions.SPG($E45,"SP_EBITDA_EST",P$2,"Options: Curr=USD")) &lt; 0, "NM", (_xll.SNL.Clients.Office.Excel.Functions.SPG($E45,$P$3,P$4,"Options: Curr=USD") / _xll.SNL.Clients.Office.Excel.Functions.SPG($E45,"SP_EBITDA_EST",P$2,"Options: Curr=USD")))</f>
        <v>#NAME?</v>
      </c>
      <c r="Q45" s="55" t="e" cm="1">
        <f t="array" aca="1" ref="Q45" ca="1">_xll.SNL.Clients.Office.Excel.Functions.SPG($E45, $Q$3,Q$4)</f>
        <v>#NAME?</v>
      </c>
      <c r="R45" s="86" t="e" cm="1">
        <f t="array" aca="1" ref="R45" ca="1">_xll.SNL.Clients.Office.Excel.Functions.SPG($E45, $R$3,R$2)</f>
        <v>#NAME?</v>
      </c>
      <c r="S45" s="86" t="e" cm="1">
        <f t="array" aca="1" ref="S45" ca="1">_xll.SNL.Clients.Office.Excel.Functions.SPG($E45, $R$3,S$2)</f>
        <v>#NAME?</v>
      </c>
      <c r="T45" s="87" t="e" cm="1">
        <f t="array" aca="1" ref="T45" ca="1">_xll.SNL.Clients.Office.Excel.Functions.SPG($E45, $R$3,T$2)</f>
        <v>#NAME?</v>
      </c>
    </row>
    <row r="46" spans="1:29" ht="14.4" x14ac:dyDescent="0.25">
      <c r="D46" s="88"/>
    </row>
    <row r="47" spans="1:29" ht="14.4" x14ac:dyDescent="0.25">
      <c r="D47" s="89"/>
    </row>
    <row r="48" spans="1:29" ht="14.4" x14ac:dyDescent="0.25">
      <c r="D48" s="89"/>
    </row>
    <row r="49" spans="4:6" ht="14.4" x14ac:dyDescent="0.25">
      <c r="D49" s="89"/>
    </row>
    <row r="50" spans="4:6" ht="14.4" x14ac:dyDescent="0.25">
      <c r="D50" s="89"/>
      <c r="E50" s="90"/>
      <c r="F50" s="90"/>
    </row>
    <row r="51" spans="4:6" ht="14.4" x14ac:dyDescent="0.25">
      <c r="D51" s="89"/>
      <c r="E51" s="90"/>
      <c r="F51" s="90"/>
    </row>
    <row r="52" spans="4:6" ht="14.4" x14ac:dyDescent="0.25">
      <c r="D52" s="89"/>
    </row>
    <row r="53" spans="4:6" ht="14.4" x14ac:dyDescent="0.25">
      <c r="D53" s="89"/>
    </row>
    <row r="54" spans="4:6" ht="14.4" x14ac:dyDescent="0.25">
      <c r="D54" s="89"/>
    </row>
    <row r="55" spans="4:6" ht="14.4" x14ac:dyDescent="0.25">
      <c r="D55" s="89"/>
    </row>
    <row r="56" spans="4:6" ht="14.4" x14ac:dyDescent="0.25">
      <c r="D56" s="89"/>
    </row>
    <row r="57" spans="4:6" ht="14.4" x14ac:dyDescent="0.25">
      <c r="D57" s="89"/>
    </row>
    <row r="58" spans="4:6" ht="14.4" x14ac:dyDescent="0.25">
      <c r="D58" s="89"/>
    </row>
    <row r="59" spans="4:6" ht="14.4" x14ac:dyDescent="0.25">
      <c r="D59" s="89"/>
    </row>
    <row r="60" spans="4:6" ht="14.4" x14ac:dyDescent="0.25">
      <c r="D60" s="89"/>
    </row>
    <row r="61" spans="4:6" ht="14.4" x14ac:dyDescent="0.25">
      <c r="D61" s="91"/>
    </row>
  </sheetData>
  <mergeCells count="10">
    <mergeCell ref="M1:O1"/>
    <mergeCell ref="R1:T1"/>
    <mergeCell ref="U1:W1"/>
    <mergeCell ref="X1:Z1"/>
    <mergeCell ref="A1:A2"/>
    <mergeCell ref="B1:B2"/>
    <mergeCell ref="C1:C2"/>
    <mergeCell ref="F1:F2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O&amp;G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2026-02-20T13:12:36Z</dcterms:created>
  <dcterms:modified xsi:type="dcterms:W3CDTF">2026-02-20T13:12:38Z</dcterms:modified>
</cp:coreProperties>
</file>