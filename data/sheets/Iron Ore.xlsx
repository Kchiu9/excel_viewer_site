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aa9e46087b5738/0-Concordia_Capital/excel_to_https/excel_web_refresh/export/sheets/"/>
    </mc:Choice>
  </mc:AlternateContent>
  <xr:revisionPtr revIDLastSave="0" documentId="8_{F728DB5B-0437-4998-A8B5-D1F3CFDBC697}" xr6:coauthVersionLast="47" xr6:coauthVersionMax="47" xr10:uidLastSave="{00000000-0000-0000-0000-000000000000}"/>
  <bookViews>
    <workbookView xWindow="-108" yWindow="-108" windowWidth="23256" windowHeight="12456" xr2:uid="{D0EE8748-1EA4-45B6-9DA0-609DC481E86A}"/>
  </bookViews>
  <sheets>
    <sheet name="Iron Ore" sheetId="1" r:id="rId1"/>
  </sheets>
  <externalReferences>
    <externalReference r:id="rId2"/>
    <externalReference r:id="rId3"/>
  </externalReferences>
  <definedNames>
    <definedName name="agprice">[1]Prices!$B$3</definedName>
    <definedName name="auprice">[1]Prices!$B$1</definedName>
    <definedName name="CIQWBGuid" hidden="1">"5376053f-e0f2-40b8-a1e8-f124d84bdcfe"</definedName>
    <definedName name="CIQWBInfo" hidden="1">"{ ""CIQVersion"":""9.52.4409.4666"" }"</definedName>
    <definedName name="cuprice">[1]Prices!$B$2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46064.7990046296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rketcap">[2]Inputs!$F$335</definedName>
    <definedName name="niprice">[1]Prices!$B$6</definedName>
    <definedName name="Numbershares">[2]Inputs!$F$323</definedName>
    <definedName name="pbprice">[1]Prices!$B$4</definedName>
    <definedName name="znprice">[1]Prices!$B$5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12" i="1" l="1"/>
  <c r="AL12" i="1"/>
  <c r="AK12" i="1"/>
  <c r="AG12" i="1"/>
  <c r="AF12" i="1"/>
  <c r="AE12" i="1"/>
  <c r="AD12" i="1"/>
  <c r="AC12" i="1"/>
  <c r="AB12" i="1"/>
  <c r="AA12" i="1" a="1"/>
  <c r="AA12" i="1" s="1"/>
  <c r="Z12" i="1" a="1"/>
  <c r="Z12" i="1" s="1"/>
  <c r="Y12" i="1" a="1"/>
  <c r="Y12" i="1" s="1"/>
  <c r="X12" i="1" a="1"/>
  <c r="X12" i="1" s="1"/>
  <c r="W12" i="1" a="1"/>
  <c r="W12" i="1" s="1"/>
  <c r="V12" i="1" a="1"/>
  <c r="V12" i="1" s="1"/>
  <c r="U12" i="1" a="1"/>
  <c r="U12" i="1" s="1"/>
  <c r="T12" i="1" a="1"/>
  <c r="T12" i="1" s="1"/>
  <c r="S12" i="1" a="1"/>
  <c r="S12" i="1" s="1"/>
  <c r="Q12" i="1"/>
  <c r="P12" i="1" a="1"/>
  <c r="P12" i="1" s="1"/>
  <c r="O12" i="1" a="1"/>
  <c r="O12" i="1" s="1"/>
  <c r="N12" i="1" a="1"/>
  <c r="N12" i="1" s="1"/>
  <c r="M12" i="1" a="1"/>
  <c r="M12" i="1" s="1"/>
  <c r="I12" i="1"/>
  <c r="R12" i="1" s="1"/>
  <c r="H12" i="1"/>
  <c r="D12" i="1"/>
  <c r="C12" i="1"/>
  <c r="B12" i="1"/>
  <c r="A12" i="1"/>
  <c r="AI12" i="1" s="1"/>
  <c r="AM11" i="1"/>
  <c r="AL11" i="1"/>
  <c r="AK11" i="1"/>
  <c r="AG11" i="1"/>
  <c r="AF11" i="1"/>
  <c r="AE11" i="1"/>
  <c r="AD11" i="1"/>
  <c r="AC11" i="1"/>
  <c r="AB11" i="1"/>
  <c r="AA11" i="1" a="1"/>
  <c r="AA11" i="1" s="1"/>
  <c r="Z11" i="1" a="1"/>
  <c r="Z11" i="1" s="1"/>
  <c r="Y11" i="1" a="1"/>
  <c r="Y11" i="1" s="1"/>
  <c r="X11" i="1" a="1"/>
  <c r="X11" i="1" s="1"/>
  <c r="W11" i="1" a="1"/>
  <c r="W11" i="1" s="1"/>
  <c r="V11" i="1" a="1"/>
  <c r="V11" i="1" s="1"/>
  <c r="U11" i="1" a="1"/>
  <c r="U11" i="1" s="1"/>
  <c r="T11" i="1" a="1"/>
  <c r="T11" i="1" s="1"/>
  <c r="S11" i="1" a="1"/>
  <c r="S11" i="1" s="1"/>
  <c r="Q11" i="1"/>
  <c r="P11" i="1" a="1"/>
  <c r="P11" i="1" s="1"/>
  <c r="O11" i="1" a="1"/>
  <c r="O11" i="1" s="1"/>
  <c r="N11" i="1" a="1"/>
  <c r="N11" i="1" s="1"/>
  <c r="M11" i="1" a="1"/>
  <c r="M11" i="1" s="1"/>
  <c r="I11" i="1"/>
  <c r="R11" i="1" s="1"/>
  <c r="H11" i="1"/>
  <c r="D11" i="1"/>
  <c r="C11" i="1"/>
  <c r="B11" i="1"/>
  <c r="A11" i="1"/>
  <c r="AJ11" i="1" s="1"/>
  <c r="AM10" i="1"/>
  <c r="AL10" i="1"/>
  <c r="AK10" i="1"/>
  <c r="AG10" i="1"/>
  <c r="AF10" i="1"/>
  <c r="AE10" i="1"/>
  <c r="AD10" i="1"/>
  <c r="AC10" i="1"/>
  <c r="AB10" i="1"/>
  <c r="AA10" i="1" a="1"/>
  <c r="AA10" i="1" s="1"/>
  <c r="Z10" i="1" a="1"/>
  <c r="Z10" i="1" s="1"/>
  <c r="Y10" i="1" a="1"/>
  <c r="Y10" i="1" s="1"/>
  <c r="X10" i="1" a="1"/>
  <c r="X10" i="1" s="1"/>
  <c r="W10" i="1" a="1"/>
  <c r="W10" i="1" s="1"/>
  <c r="V10" i="1" a="1"/>
  <c r="V10" i="1" s="1"/>
  <c r="U10" i="1" a="1"/>
  <c r="U10" i="1" s="1"/>
  <c r="T10" i="1" a="1"/>
  <c r="T10" i="1" s="1"/>
  <c r="S10" i="1" a="1"/>
  <c r="S10" i="1" s="1"/>
  <c r="Q10" i="1"/>
  <c r="P10" i="1" a="1"/>
  <c r="P10" i="1" s="1"/>
  <c r="O10" i="1" a="1"/>
  <c r="O10" i="1" s="1"/>
  <c r="N10" i="1" a="1"/>
  <c r="N10" i="1" s="1"/>
  <c r="M10" i="1" a="1"/>
  <c r="M10" i="1" s="1"/>
  <c r="I10" i="1"/>
  <c r="R10" i="1" s="1"/>
  <c r="H10" i="1"/>
  <c r="D10" i="1"/>
  <c r="C10" i="1"/>
  <c r="B10" i="1"/>
  <c r="A10" i="1"/>
  <c r="AJ10" i="1" s="1"/>
  <c r="AM9" i="1"/>
  <c r="AL9" i="1"/>
  <c r="AK9" i="1"/>
  <c r="AG9" i="1"/>
  <c r="AF9" i="1"/>
  <c r="AE9" i="1"/>
  <c r="AD9" i="1"/>
  <c r="AC9" i="1"/>
  <c r="AB9" i="1"/>
  <c r="AA9" i="1" a="1"/>
  <c r="AA9" i="1" s="1"/>
  <c r="Z9" i="1" a="1"/>
  <c r="Z9" i="1" s="1"/>
  <c r="Y9" i="1" a="1"/>
  <c r="Y9" i="1" s="1"/>
  <c r="X9" i="1" a="1"/>
  <c r="X9" i="1" s="1"/>
  <c r="W9" i="1" a="1"/>
  <c r="W9" i="1" s="1"/>
  <c r="V9" i="1" a="1"/>
  <c r="V9" i="1" s="1"/>
  <c r="U9" i="1" a="1"/>
  <c r="U9" i="1" s="1"/>
  <c r="T9" i="1" a="1"/>
  <c r="T9" i="1" s="1"/>
  <c r="S9" i="1" a="1"/>
  <c r="S9" i="1" s="1"/>
  <c r="R9" i="1"/>
  <c r="Q9" i="1"/>
  <c r="P9" i="1" a="1"/>
  <c r="P9" i="1" s="1"/>
  <c r="O9" i="1" a="1"/>
  <c r="O9" i="1" s="1"/>
  <c r="N9" i="1" a="1"/>
  <c r="N9" i="1" s="1"/>
  <c r="M9" i="1" a="1"/>
  <c r="M9" i="1" s="1"/>
  <c r="I9" i="1"/>
  <c r="H9" i="1"/>
  <c r="D9" i="1"/>
  <c r="C9" i="1"/>
  <c r="B9" i="1"/>
  <c r="A9" i="1"/>
  <c r="AJ9" i="1" s="1"/>
  <c r="AM8" i="1"/>
  <c r="AL8" i="1"/>
  <c r="AK8" i="1"/>
  <c r="AJ8" i="1"/>
  <c r="AG8" i="1"/>
  <c r="AF8" i="1"/>
  <c r="AE8" i="1"/>
  <c r="AD8" i="1"/>
  <c r="AC8" i="1"/>
  <c r="AB8" i="1"/>
  <c r="AA8" i="1" a="1"/>
  <c r="AA8" i="1" s="1"/>
  <c r="Z8" i="1" a="1"/>
  <c r="Z8" i="1" s="1"/>
  <c r="Y8" i="1" a="1"/>
  <c r="Y8" i="1" s="1"/>
  <c r="X8" i="1" a="1"/>
  <c r="X8" i="1" s="1"/>
  <c r="W8" i="1" a="1"/>
  <c r="W8" i="1" s="1"/>
  <c r="V8" i="1" a="1"/>
  <c r="V8" i="1" s="1"/>
  <c r="U8" i="1" a="1"/>
  <c r="U8" i="1" s="1"/>
  <c r="T8" i="1" a="1"/>
  <c r="T8" i="1" s="1"/>
  <c r="S8" i="1" a="1"/>
  <c r="S8" i="1" s="1"/>
  <c r="Q8" i="1"/>
  <c r="P8" i="1" a="1"/>
  <c r="P8" i="1" s="1"/>
  <c r="O8" i="1" a="1"/>
  <c r="O8" i="1" s="1"/>
  <c r="N8" i="1" a="1"/>
  <c r="N8" i="1" s="1"/>
  <c r="M8" i="1" a="1"/>
  <c r="M8" i="1" s="1"/>
  <c r="I8" i="1"/>
  <c r="R8" i="1" s="1"/>
  <c r="H8" i="1"/>
  <c r="D8" i="1"/>
  <c r="C8" i="1"/>
  <c r="B8" i="1"/>
  <c r="A8" i="1"/>
  <c r="AI8" i="1" s="1"/>
  <c r="AM7" i="1"/>
  <c r="AL7" i="1"/>
  <c r="AK7" i="1"/>
  <c r="AG7" i="1"/>
  <c r="AF7" i="1"/>
  <c r="AE7" i="1"/>
  <c r="AD7" i="1"/>
  <c r="AC7" i="1"/>
  <c r="AB7" i="1"/>
  <c r="AA7" i="1" a="1"/>
  <c r="AA7" i="1" s="1"/>
  <c r="Z7" i="1" a="1"/>
  <c r="Z7" i="1" s="1"/>
  <c r="Y7" i="1" a="1"/>
  <c r="Y7" i="1" s="1"/>
  <c r="X7" i="1" a="1"/>
  <c r="X7" i="1" s="1"/>
  <c r="W7" i="1" a="1"/>
  <c r="W7" i="1" s="1"/>
  <c r="V7" i="1" a="1"/>
  <c r="V7" i="1" s="1"/>
  <c r="U7" i="1" a="1"/>
  <c r="U7" i="1" s="1"/>
  <c r="T7" i="1" a="1"/>
  <c r="T7" i="1" s="1"/>
  <c r="S7" i="1" a="1"/>
  <c r="S7" i="1" s="1"/>
  <c r="Q7" i="1"/>
  <c r="P7" i="1" a="1"/>
  <c r="P7" i="1" s="1"/>
  <c r="O7" i="1" a="1"/>
  <c r="O7" i="1" s="1"/>
  <c r="N7" i="1" a="1"/>
  <c r="N7" i="1" s="1"/>
  <c r="M7" i="1" a="1"/>
  <c r="M7" i="1" s="1"/>
  <c r="I7" i="1"/>
  <c r="R7" i="1" s="1"/>
  <c r="H7" i="1"/>
  <c r="D7" i="1"/>
  <c r="C7" i="1"/>
  <c r="B7" i="1"/>
  <c r="A7" i="1"/>
  <c r="AJ7" i="1" s="1"/>
  <c r="AM6" i="1"/>
  <c r="AM13" i="1" s="1" a="1"/>
  <c r="AM13" i="1" s="1"/>
  <c r="AL6" i="1"/>
  <c r="AL13" i="1" s="1" a="1"/>
  <c r="AL13" i="1" s="1"/>
  <c r="AK6" i="1"/>
  <c r="AK13" i="1" s="1" a="1"/>
  <c r="AK13" i="1" s="1"/>
  <c r="AG6" i="1"/>
  <c r="AF6" i="1"/>
  <c r="AE6" i="1"/>
  <c r="AD6" i="1"/>
  <c r="AD13" i="1" s="1" a="1"/>
  <c r="AD13" i="1" s="1"/>
  <c r="AC6" i="1"/>
  <c r="AC13" i="1" s="1" a="1"/>
  <c r="AC13" i="1" s="1"/>
  <c r="AB6" i="1"/>
  <c r="AB13" i="1" s="1" a="1"/>
  <c r="AB13" i="1" s="1"/>
  <c r="AA6" i="1" a="1"/>
  <c r="AA6" i="1" s="1"/>
  <c r="Z6" i="1" a="1"/>
  <c r="Z6" i="1" s="1"/>
  <c r="Y6" i="1" a="1"/>
  <c r="Y6" i="1" s="1"/>
  <c r="Y13" i="1" s="1" a="1"/>
  <c r="Y13" i="1" s="1"/>
  <c r="X6" i="1" a="1"/>
  <c r="X6" i="1" s="1"/>
  <c r="W6" i="1" a="1"/>
  <c r="W6" i="1" s="1"/>
  <c r="V6" i="1" a="1"/>
  <c r="V6" i="1" s="1"/>
  <c r="U6" i="1" a="1"/>
  <c r="U6" i="1" s="1"/>
  <c r="U13" i="1" s="1" a="1"/>
  <c r="U13" i="1" s="1"/>
  <c r="T6" i="1" a="1"/>
  <c r="T6" i="1" s="1"/>
  <c r="S6" i="1" a="1"/>
  <c r="S6" i="1" s="1"/>
  <c r="R6" i="1"/>
  <c r="R13" i="1" s="1" a="1"/>
  <c r="R13" i="1" s="1"/>
  <c r="Q6" i="1"/>
  <c r="Q13" i="1" s="1" a="1"/>
  <c r="Q13" i="1" s="1"/>
  <c r="P6" i="1" a="1"/>
  <c r="P6" i="1" s="1"/>
  <c r="O6" i="1" a="1"/>
  <c r="O6" i="1" s="1"/>
  <c r="N6" i="1" a="1"/>
  <c r="N6" i="1" s="1"/>
  <c r="M6" i="1" a="1"/>
  <c r="M6" i="1" s="1"/>
  <c r="I6" i="1"/>
  <c r="H6" i="1"/>
  <c r="D6" i="1"/>
  <c r="C6" i="1"/>
  <c r="B6" i="1"/>
  <c r="A6" i="1"/>
  <c r="AJ6" i="1" s="1"/>
  <c r="M13" i="1" l="1" a="1"/>
  <c r="M13" i="1" s="1"/>
  <c r="N13" i="1" a="1"/>
  <c r="N13" i="1" s="1"/>
  <c r="O13" i="1" a="1"/>
  <c r="O13" i="1" s="1"/>
  <c r="P13" i="1" a="1"/>
  <c r="P13" i="1" s="1"/>
  <c r="X13" i="1" a="1"/>
  <c r="X13" i="1" s="1"/>
  <c r="Z13" i="1" a="1"/>
  <c r="Z13" i="1" s="1"/>
  <c r="S13" i="1" a="1"/>
  <c r="S13" i="1" s="1"/>
  <c r="AA13" i="1" a="1"/>
  <c r="AA13" i="1" s="1"/>
  <c r="T13" i="1" a="1"/>
  <c r="T13" i="1" s="1"/>
  <c r="AH7" i="1"/>
  <c r="AH11" i="1"/>
  <c r="AJ12" i="1"/>
  <c r="AJ13" i="1" s="1" a="1"/>
  <c r="AJ13" i="1" s="1"/>
  <c r="AI7" i="1"/>
  <c r="AI11" i="1"/>
  <c r="AH6" i="1"/>
  <c r="AH10" i="1"/>
  <c r="AI6" i="1"/>
  <c r="AI10" i="1"/>
  <c r="AH9" i="1"/>
  <c r="AI9" i="1"/>
  <c r="AH8" i="1"/>
  <c r="AH12" i="1"/>
  <c r="AH13" i="1" l="1" a="1"/>
  <c r="AH13" i="1" s="1"/>
  <c r="AI13" i="1" a="1"/>
  <c r="AI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<sst xmlns="http://schemas.openxmlformats.org/spreadsheetml/2006/main" count="137" uniqueCount="101">
  <si>
    <t>Last Earnings Date</t>
  </si>
  <si>
    <t>Exp. Next Earnings Date (BBG)</t>
  </si>
  <si>
    <t>Confirmed / Estimated Date (BBG)</t>
  </si>
  <si>
    <t>Sales Result</t>
  </si>
  <si>
    <t>Exp. Next Earnings Date (HC)</t>
  </si>
  <si>
    <t>Confirmed / Estimated Date (HC)</t>
  </si>
  <si>
    <t>Enterprise Value (US$)</t>
  </si>
  <si>
    <t>Market Cap ($US)</t>
  </si>
  <si>
    <t>Price / NAV Consensus</t>
  </si>
  <si>
    <t>Price / CF</t>
  </si>
  <si>
    <t>FCF Yield %</t>
  </si>
  <si>
    <t>Price / Earnings</t>
  </si>
  <si>
    <t>Net Debt / EBITDA</t>
  </si>
  <si>
    <t xml:space="preserve"> Debt / Equity</t>
  </si>
  <si>
    <t>EV / EBITDA</t>
  </si>
  <si>
    <t>Dividend Yield %</t>
  </si>
  <si>
    <t>Iron Ore Production (kt)</t>
  </si>
  <si>
    <t>Attributable Reserves</t>
  </si>
  <si>
    <t>Attributable M&amp;I Resources</t>
  </si>
  <si>
    <t>Attributable Total Resources</t>
  </si>
  <si>
    <t>EV/Metrics Fe ($/t)</t>
  </si>
  <si>
    <t>Fe Cash Costs ($/t)</t>
  </si>
  <si>
    <t>Model (Y/N)</t>
  </si>
  <si>
    <t>Priority?</t>
  </si>
  <si>
    <t>Stock of Interest</t>
  </si>
  <si>
    <t>Comment</t>
  </si>
  <si>
    <t>Date
(BBG)</t>
  </si>
  <si>
    <t>Date
(HC)</t>
  </si>
  <si>
    <t>Bloomberg
Ticker</t>
  </si>
  <si>
    <t>Ticker</t>
  </si>
  <si>
    <t>FY2024</t>
  </si>
  <si>
    <t>FY2025</t>
  </si>
  <si>
    <t>FY2026</t>
  </si>
  <si>
    <t>Iron Ore</t>
  </si>
  <si>
    <t>Reserves</t>
  </si>
  <si>
    <t>M&amp;I</t>
  </si>
  <si>
    <t>M,I&amp;I</t>
  </si>
  <si>
    <t>2022Y</t>
  </si>
  <si>
    <t>2023Y</t>
  </si>
  <si>
    <t>2024Y</t>
  </si>
  <si>
    <t>SNL_EARNINGS_RELEASE_DATE</t>
  </si>
  <si>
    <t>EXPECTED_REPORT_DT</t>
  </si>
  <si>
    <t>EXPECTED_REPORT_TYP</t>
  </si>
  <si>
    <t>SALES_RESULT_DATE</t>
  </si>
  <si>
    <t>SP_PNAVPS_FWD</t>
  </si>
  <si>
    <t>SP_PCFPS_FWD</t>
  </si>
  <si>
    <t>SP_FCF_EST</t>
  </si>
  <si>
    <t>SP_FCF_FWD</t>
  </si>
  <si>
    <t>SP_PE_FWD</t>
  </si>
  <si>
    <t>IQ_NET_DEBT</t>
  </si>
  <si>
    <t>SP_DEBT_TO_EQUITY</t>
  </si>
  <si>
    <t>SP_TEV_EBITDA_FWD</t>
  </si>
  <si>
    <t>SP_DIV_YIELD</t>
  </si>
  <si>
    <t>SP_IRON_ORE_PRODUCTION_EST</t>
  </si>
  <si>
    <t>SNL_ATTRIBUTABLE_RESV_TONNES</t>
  </si>
  <si>
    <t>SNL_ATTRIBUTABLE_M_AND_I_RESRC_TONNES</t>
  </si>
  <si>
    <t>SNL_ATTRIBUTABLE_TOTAL_RESRC_TONNES</t>
  </si>
  <si>
    <t>SNL_CASH_COST_TONNE</t>
  </si>
  <si>
    <t>SNL_PROJ_CASH_COST_HIGH_TONNE</t>
  </si>
  <si>
    <t>FQ0</t>
  </si>
  <si>
    <t>FH0</t>
  </si>
  <si>
    <t>MRQ</t>
  </si>
  <si>
    <t>Fe</t>
  </si>
  <si>
    <t>SNL_PROJ_CASH_COST_LOW_TONNE</t>
  </si>
  <si>
    <t>26/08/2025</t>
  </si>
  <si>
    <t>Confirmed</t>
  </si>
  <si>
    <t>29/04/2025</t>
  </si>
  <si>
    <t>Fortescue Ltd</t>
  </si>
  <si>
    <t>FMG AU Equity</t>
  </si>
  <si>
    <t>ASX:FMG</t>
  </si>
  <si>
    <t>N</t>
  </si>
  <si>
    <t>YES</t>
  </si>
  <si>
    <t>30/04/2025</t>
  </si>
  <si>
    <t>#N/A N/A</t>
  </si>
  <si>
    <t>Champion Iron</t>
  </si>
  <si>
    <t>CIA AU Equity</t>
  </si>
  <si>
    <t>ASX:CIA</t>
  </si>
  <si>
    <t>NO</t>
  </si>
  <si>
    <t>07/05/2025</t>
  </si>
  <si>
    <t>Labrador Iron ore</t>
  </si>
  <si>
    <t>LIF CN Equity</t>
  </si>
  <si>
    <t>TSX:LIF</t>
  </si>
  <si>
    <t>06/08/2025</t>
  </si>
  <si>
    <t>07/07/2025</t>
  </si>
  <si>
    <t>Ferrexpo</t>
  </si>
  <si>
    <t>FXPO LN Equity</t>
  </si>
  <si>
    <t>LSE:FXPO</t>
  </si>
  <si>
    <t>23/07/2025</t>
  </si>
  <si>
    <t>Estimated</t>
  </si>
  <si>
    <t>24/07/2025</t>
  </si>
  <si>
    <t>Kumba Iron Ore</t>
  </si>
  <si>
    <t>KIO SJ Equity</t>
  </si>
  <si>
    <t>JSE:KIO</t>
  </si>
  <si>
    <t>27/08/2025</t>
  </si>
  <si>
    <t>Mineral Resources</t>
  </si>
  <si>
    <t>MIN AU Equity</t>
  </si>
  <si>
    <t>ASX:MIN</t>
  </si>
  <si>
    <t>Cleveland-Cliffs inc</t>
  </si>
  <si>
    <t>CLF US Equity</t>
  </si>
  <si>
    <t>NYSE:CLF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</si>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</sst>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#,##0.0"/>
  </numFmts>
  <fonts count="12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6"/>
      <color rgb="FF525252"/>
      <name val="Arial"/>
      <family val="2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sz val="7"/>
      <color rgb="FF525252"/>
      <name val="Arial"/>
      <family val="2"/>
    </font>
    <font>
      <sz val="6"/>
      <color rgb="FF525252"/>
      <name val="Arial Narrow"/>
      <family val="2"/>
    </font>
    <font>
      <b/>
      <sz val="13"/>
      <color rgb="FF000000"/>
      <name val="Times New Roman"/>
      <family val="1"/>
    </font>
    <font>
      <sz val="10"/>
      <color rgb="FF0000FF"/>
      <name val="Times New Roman"/>
      <family val="1"/>
    </font>
    <font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8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center" vertical="top" wrapText="1"/>
    </xf>
    <xf numFmtId="0" fontId="1" fillId="3" borderId="9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2" fillId="0" borderId="8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/>
    </xf>
    <xf numFmtId="0" fontId="2" fillId="0" borderId="8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0" fillId="0" borderId="14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8" fillId="0" borderId="8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9" fillId="5" borderId="3" xfId="0" applyFont="1" applyFill="1" applyBorder="1" applyAlignment="1">
      <alignment horizontal="left" vertical="top"/>
    </xf>
    <xf numFmtId="0" fontId="0" fillId="5" borderId="3" xfId="0" applyFill="1" applyBorder="1" applyAlignment="1">
      <alignment horizontal="left" vertical="top"/>
    </xf>
    <xf numFmtId="0" fontId="0" fillId="5" borderId="17" xfId="0" applyFill="1" applyBorder="1" applyAlignment="1">
      <alignment horizontal="left" vertical="top"/>
    </xf>
    <xf numFmtId="0" fontId="0" fillId="5" borderId="3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/>
    </xf>
    <xf numFmtId="0" fontId="0" fillId="5" borderId="2" xfId="0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4" fontId="10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left" vertical="top"/>
    </xf>
    <xf numFmtId="2" fontId="0" fillId="0" borderId="15" xfId="0" applyNumberFormat="1" applyBorder="1" applyAlignment="1">
      <alignment horizontal="center" vertical="top"/>
    </xf>
    <xf numFmtId="164" fontId="0" fillId="0" borderId="8" xfId="0" applyNumberFormat="1" applyBorder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64" fontId="0" fillId="0" borderId="13" xfId="0" applyNumberFormat="1" applyBorder="1" applyAlignment="1">
      <alignment horizontal="center" vertical="top"/>
    </xf>
    <xf numFmtId="165" fontId="0" fillId="0" borderId="0" xfId="1" applyNumberFormat="1" applyFont="1" applyBorder="1" applyAlignment="1">
      <alignment horizontal="center" vertical="top"/>
    </xf>
    <xf numFmtId="165" fontId="0" fillId="0" borderId="11" xfId="1" applyNumberFormat="1" applyFont="1" applyBorder="1" applyAlignment="1">
      <alignment horizontal="center" vertical="top"/>
    </xf>
    <xf numFmtId="9" fontId="0" fillId="0" borderId="0" xfId="1" applyFont="1" applyBorder="1" applyAlignment="1">
      <alignment horizontal="center" vertical="top"/>
    </xf>
    <xf numFmtId="9" fontId="0" fillId="0" borderId="8" xfId="1" applyFont="1" applyBorder="1" applyAlignment="1">
      <alignment horizontal="center" vertical="top"/>
    </xf>
    <xf numFmtId="164" fontId="0" fillId="0" borderId="16" xfId="0" applyNumberFormat="1" applyBorder="1" applyAlignment="1">
      <alignment horizontal="center" vertical="top"/>
    </xf>
    <xf numFmtId="3" fontId="0" fillId="0" borderId="8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 vertical="top"/>
    </xf>
    <xf numFmtId="166" fontId="0" fillId="0" borderId="10" xfId="0" applyNumberForma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166" fontId="0" fillId="0" borderId="8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6" fontId="0" fillId="0" borderId="8" xfId="0" applyNumberFormat="1" applyBorder="1" applyAlignment="1">
      <alignment horizontal="center" vertical="top"/>
    </xf>
    <xf numFmtId="166" fontId="0" fillId="0" borderId="0" xfId="0" applyNumberFormat="1" applyAlignment="1">
      <alignment horizontal="center" vertical="top"/>
    </xf>
    <xf numFmtId="0" fontId="3" fillId="0" borderId="16" xfId="0" applyFont="1" applyBorder="1" applyAlignment="1">
      <alignment horizontal="left" vertical="top"/>
    </xf>
    <xf numFmtId="0" fontId="11" fillId="0" borderId="7" xfId="0" applyFont="1" applyBorder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1" fillId="6" borderId="3" xfId="0" applyFont="1" applyFill="1" applyBorder="1" applyAlignment="1">
      <alignment horizontal="right" vertical="top"/>
    </xf>
    <xf numFmtId="166" fontId="1" fillId="6" borderId="19" xfId="0" applyNumberFormat="1" applyFont="1" applyFill="1" applyBorder="1" applyAlignment="1">
      <alignment horizontal="center" vertical="top"/>
    </xf>
    <xf numFmtId="166" fontId="1" fillId="6" borderId="2" xfId="0" applyNumberFormat="1" applyFont="1" applyFill="1" applyBorder="1" applyAlignment="1">
      <alignment horizontal="center" vertical="top"/>
    </xf>
    <xf numFmtId="166" fontId="1" fillId="6" borderId="3" xfId="0" applyNumberFormat="1" applyFont="1" applyFill="1" applyBorder="1" applyAlignment="1">
      <alignment horizontal="center" vertical="top"/>
    </xf>
    <xf numFmtId="166" fontId="1" fillId="6" borderId="4" xfId="0" applyNumberFormat="1" applyFont="1" applyFill="1" applyBorder="1" applyAlignment="1">
      <alignment horizontal="center" vertical="top"/>
    </xf>
    <xf numFmtId="166" fontId="1" fillId="6" borderId="5" xfId="0" applyNumberFormat="1" applyFont="1" applyFill="1" applyBorder="1" applyAlignment="1">
      <alignment horizontal="center" vertical="top"/>
    </xf>
    <xf numFmtId="3" fontId="1" fillId="6" borderId="3" xfId="0" applyNumberFormat="1" applyFont="1" applyFill="1" applyBorder="1" applyAlignment="1">
      <alignment horizontal="center" vertical="top"/>
    </xf>
    <xf numFmtId="3" fontId="1" fillId="6" borderId="0" xfId="0" applyNumberFormat="1" applyFont="1" applyFill="1" applyAlignment="1">
      <alignment horizontal="center" vertical="top"/>
    </xf>
    <xf numFmtId="3" fontId="1" fillId="4" borderId="0" xfId="0" applyNumberFormat="1" applyFont="1" applyFill="1" applyAlignment="1">
      <alignment horizontal="center" vertical="top"/>
    </xf>
    <xf numFmtId="0" fontId="0" fillId="4" borderId="0" xfId="0" applyFill="1" applyAlignment="1">
      <alignment horizontal="left" vertical="top"/>
    </xf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8aa9e46087b5738/0-Concordia_Capital/excel_to_https/excel_web_refresh/agent/Miners_Comps_Screener_Web.xlsx" TargetMode="External"/><Relationship Id="rId1" Type="http://schemas.openxmlformats.org/officeDocument/2006/relationships/externalLinkPath" Target="/28aa9e46087b5738/0-Concordia_Capital/excel_to_https/excel_web_refresh/agent/Miners_Comps_Screener_Web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Relationship Id="rId1" Type="http://schemas.openxmlformats.org/officeDocument/2006/relationships/externalLinkPath" Target="https://drakewood.sharepoint.com/sites/Drakewood/Shared%20Documents/Resource%20Investments/Company%20Research/Gold%20and%20Silver/Victoria%20Gold/Victoria%20Gold%20Model%202006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Golds"/>
      <sheetName val="Golds Colour"/>
      <sheetName val="Gold PNAVs "/>
      <sheetName val="Copper"/>
      <sheetName val="Copper Colour"/>
      <sheetName val="Copper PNAVs"/>
      <sheetName val="Silver"/>
      <sheetName val="Silver Colour"/>
      <sheetName val="Silver PNAVs"/>
      <sheetName val="Diversifieds"/>
      <sheetName val="Diversifieds Colour"/>
      <sheetName val="PGMs"/>
      <sheetName val="Iron Ore"/>
      <sheetName val="Uranium"/>
      <sheetName val="Lithium"/>
      <sheetName val="Other"/>
      <sheetName val="Coal"/>
      <sheetName val="O&amp;G"/>
      <sheetName val="Aluminium"/>
      <sheetName val="Watchlist"/>
      <sheetName val="Small Cap"/>
      <sheetName val="Prices"/>
      <sheetName val="Commodity Conviction"/>
      <sheetName val="S&amp;P Ticker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B1">
            <v>3000</v>
          </cell>
        </row>
        <row r="2">
          <cell r="B2">
            <v>9500</v>
          </cell>
        </row>
        <row r="3">
          <cell r="B3">
            <v>30</v>
          </cell>
        </row>
        <row r="4">
          <cell r="B4">
            <v>2200</v>
          </cell>
        </row>
        <row r="5">
          <cell r="B5">
            <v>3000</v>
          </cell>
        </row>
        <row r="6">
          <cell r="B6">
            <v>19000</v>
          </cell>
        </row>
      </sheetData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_snloffice"/>
      <sheetName val="Valuation"/>
      <sheetName val="Inputs"/>
      <sheetName val="Financials (consolidated) Q"/>
      <sheetName val="Financials (consolidated)"/>
      <sheetName val="EAGLE"/>
      <sheetName val="BREWERY CREEK"/>
      <sheetName val="3"/>
      <sheetName val="4"/>
      <sheetName val="5"/>
      <sheetName val="Balance Sheet"/>
      <sheetName val="Income Statement"/>
      <sheetName val="Cash Flow"/>
      <sheetName val="43-101"/>
      <sheetName val="Tables"/>
      <sheetName val="brokers"/>
      <sheetName val="Notes"/>
      <sheetName val="Quarterly 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0A28-0A7B-4AE9-9387-43C3F8C02FDC}">
  <dimension ref="A1:AR65"/>
  <sheetViews>
    <sheetView showGridLines="0" tabSelected="1" workbookViewId="0">
      <pane xSplit="10" ySplit="4" topLeftCell="K5" activePane="bottomRight" state="frozen"/>
      <selection activeCell="I2678" sqref="I2678"/>
      <selection pane="topRight" activeCell="I2678" sqref="I2678"/>
      <selection pane="bottomLeft" activeCell="I2678" sqref="I2678"/>
      <selection pane="bottomRight" activeCell="S5" sqref="S5"/>
    </sheetView>
  </sheetViews>
  <sheetFormatPr defaultRowHeight="13.2" outlineLevelRow="1" outlineLevelCol="2" x14ac:dyDescent="0.25"/>
  <cols>
    <col min="1" max="1" width="10.109375" style="3" hidden="1" customWidth="1" outlineLevel="2"/>
    <col min="2" max="7" width="12.77734375" style="3" hidden="1" customWidth="1" outlineLevel="2"/>
    <col min="8" max="9" width="9.6640625" style="3" hidden="1" customWidth="1" outlineLevel="1"/>
    <col min="10" max="10" width="27.77734375" style="3" customWidth="1" collapsed="1"/>
    <col min="11" max="11" width="27.77734375" style="3" customWidth="1"/>
    <col min="12" max="12" width="13.109375" style="3" customWidth="1"/>
    <col min="13" max="13" width="11.33203125" style="3" customWidth="1"/>
    <col min="14" max="14" width="7.77734375" style="3" customWidth="1"/>
    <col min="15" max="16" width="8.109375" style="3" bestFit="1" customWidth="1"/>
    <col min="17" max="17" width="8.109375" style="3" customWidth="1"/>
    <col min="18" max="18" width="8.77734375" style="3" bestFit="1" customWidth="1"/>
    <col min="19" max="20" width="8.6640625" style="3" customWidth="1"/>
    <col min="21" max="21" width="8.109375" style="3" bestFit="1" customWidth="1"/>
    <col min="22" max="22" width="11.6640625" style="3" customWidth="1"/>
    <col min="23" max="23" width="8.109375" style="3" customWidth="1"/>
    <col min="24" max="24" width="7.77734375" style="3" customWidth="1"/>
    <col min="25" max="25" width="7.109375" style="3" customWidth="1"/>
    <col min="26" max="26" width="10.77734375" style="3" customWidth="1"/>
    <col min="27" max="27" width="14.77734375" style="3" customWidth="1"/>
    <col min="28" max="29" width="7.6640625" style="3" customWidth="1"/>
    <col min="30" max="30" width="8.109375" style="3" bestFit="1" customWidth="1"/>
    <col min="31" max="31" width="21.77734375" style="3" hidden="1" customWidth="1" outlineLevel="1"/>
    <col min="32" max="32" width="25.77734375" style="3" hidden="1" customWidth="1" outlineLevel="1"/>
    <col min="33" max="33" width="25.109375" style="3" hidden="1" customWidth="1" outlineLevel="1"/>
    <col min="34" max="34" width="8.33203125" style="3" bestFit="1" customWidth="1" collapsed="1"/>
    <col min="35" max="35" width="7.109375" style="3" bestFit="1" customWidth="1"/>
    <col min="36" max="36" width="6" style="3" customWidth="1"/>
    <col min="37" max="37" width="6.77734375" style="3" customWidth="1"/>
    <col min="38" max="38" width="6.109375" style="3" customWidth="1"/>
    <col min="39" max="39" width="5.33203125" style="3" customWidth="1"/>
    <col min="40" max="43" width="8.88671875" style="3"/>
    <col min="44" max="44" width="9.109375" style="3" bestFit="1" customWidth="1"/>
    <col min="45" max="16384" width="8.88671875" style="3"/>
  </cols>
  <sheetData>
    <row r="1" spans="1:44" ht="26.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3</v>
      </c>
      <c r="H1" s="1" t="s">
        <v>6</v>
      </c>
      <c r="I1" s="1" t="s">
        <v>7</v>
      </c>
      <c r="M1" s="4" t="s">
        <v>8</v>
      </c>
      <c r="N1" s="5" t="s">
        <v>9</v>
      </c>
      <c r="O1" s="6"/>
      <c r="P1" s="7"/>
      <c r="Q1" s="5" t="s">
        <v>10</v>
      </c>
      <c r="R1" s="7"/>
      <c r="S1" s="5" t="s">
        <v>11</v>
      </c>
      <c r="T1" s="6"/>
      <c r="U1" s="7"/>
      <c r="V1" s="8" t="s">
        <v>12</v>
      </c>
      <c r="W1" s="9" t="s">
        <v>13</v>
      </c>
      <c r="X1" s="5" t="s">
        <v>14</v>
      </c>
      <c r="Y1" s="6"/>
      <c r="Z1" s="7"/>
      <c r="AA1" s="9" t="s">
        <v>15</v>
      </c>
      <c r="AB1" s="10" t="s">
        <v>16</v>
      </c>
      <c r="AC1" s="11"/>
      <c r="AD1" s="11"/>
      <c r="AE1" s="12" t="s">
        <v>17</v>
      </c>
      <c r="AF1" s="12" t="s">
        <v>18</v>
      </c>
      <c r="AG1" s="12" t="s">
        <v>19</v>
      </c>
      <c r="AH1" s="5" t="s">
        <v>20</v>
      </c>
      <c r="AI1" s="6"/>
      <c r="AJ1" s="7"/>
      <c r="AK1" s="10" t="s">
        <v>21</v>
      </c>
      <c r="AL1" s="11"/>
      <c r="AM1" s="13"/>
      <c r="AO1" s="14" t="s">
        <v>22</v>
      </c>
      <c r="AP1" s="14" t="s">
        <v>23</v>
      </c>
      <c r="AQ1" s="14" t="s">
        <v>24</v>
      </c>
      <c r="AR1" s="14" t="s">
        <v>25</v>
      </c>
    </row>
    <row r="2" spans="1:44" ht="26.25" customHeight="1" x14ac:dyDescent="0.25">
      <c r="A2" s="1"/>
      <c r="B2" s="1"/>
      <c r="C2" s="1"/>
      <c r="D2" s="2" t="s">
        <v>26</v>
      </c>
      <c r="E2" s="1"/>
      <c r="F2" s="1"/>
      <c r="G2" s="2" t="s">
        <v>27</v>
      </c>
      <c r="H2" s="1"/>
      <c r="I2" s="1"/>
      <c r="K2" s="15" t="s">
        <v>28</v>
      </c>
      <c r="L2" s="16" t="s">
        <v>29</v>
      </c>
      <c r="M2" s="4"/>
      <c r="N2" s="17" t="s">
        <v>30</v>
      </c>
      <c r="O2" s="18" t="s">
        <v>31</v>
      </c>
      <c r="P2" s="19" t="s">
        <v>32</v>
      </c>
      <c r="Q2" s="17" t="s">
        <v>30</v>
      </c>
      <c r="R2" s="18" t="s">
        <v>31</v>
      </c>
      <c r="S2" s="17" t="s">
        <v>30</v>
      </c>
      <c r="T2" s="18" t="s">
        <v>31</v>
      </c>
      <c r="U2" s="19" t="s">
        <v>32</v>
      </c>
      <c r="V2" s="17" t="s">
        <v>30</v>
      </c>
      <c r="W2" s="20"/>
      <c r="X2" s="17" t="s">
        <v>30</v>
      </c>
      <c r="Y2" s="18" t="s">
        <v>31</v>
      </c>
      <c r="Z2" s="19" t="s">
        <v>32</v>
      </c>
      <c r="AA2" s="21"/>
      <c r="AB2" s="22" t="s">
        <v>30</v>
      </c>
      <c r="AC2" s="23" t="s">
        <v>31</v>
      </c>
      <c r="AD2" s="23" t="s">
        <v>32</v>
      </c>
      <c r="AE2" s="23" t="s">
        <v>33</v>
      </c>
      <c r="AF2" s="23" t="s">
        <v>33</v>
      </c>
      <c r="AG2" s="23" t="s">
        <v>33</v>
      </c>
      <c r="AH2" s="24" t="s">
        <v>34</v>
      </c>
      <c r="AI2" s="25" t="s">
        <v>35</v>
      </c>
      <c r="AJ2" s="26" t="s">
        <v>36</v>
      </c>
      <c r="AK2" s="27" t="s">
        <v>37</v>
      </c>
      <c r="AL2" s="28" t="s">
        <v>38</v>
      </c>
      <c r="AM2" s="29" t="s">
        <v>39</v>
      </c>
      <c r="AO2" s="30"/>
      <c r="AP2" s="30"/>
      <c r="AQ2" s="31"/>
      <c r="AR2" s="32"/>
    </row>
    <row r="3" spans="1:44" hidden="1" outlineLevel="1" x14ac:dyDescent="0.25">
      <c r="A3" s="33" t="s">
        <v>40</v>
      </c>
      <c r="B3" s="34" t="s">
        <v>41</v>
      </c>
      <c r="C3" s="34" t="s">
        <v>42</v>
      </c>
      <c r="D3" s="34" t="s">
        <v>43</v>
      </c>
      <c r="E3" s="34"/>
      <c r="F3" s="34"/>
      <c r="G3" s="34"/>
      <c r="L3" s="16"/>
      <c r="M3" s="33" t="s">
        <v>44</v>
      </c>
      <c r="N3" s="35" t="s">
        <v>45</v>
      </c>
      <c r="Q3" s="35" t="s">
        <v>46</v>
      </c>
      <c r="R3" s="36" t="s">
        <v>47</v>
      </c>
      <c r="S3" s="35" t="s">
        <v>48</v>
      </c>
      <c r="V3" s="37" t="s">
        <v>49</v>
      </c>
      <c r="W3" s="37" t="s">
        <v>50</v>
      </c>
      <c r="X3" s="35" t="s">
        <v>51</v>
      </c>
      <c r="AA3" s="38" t="s">
        <v>52</v>
      </c>
      <c r="AB3" s="39" t="s">
        <v>53</v>
      </c>
      <c r="AE3" s="40" t="s">
        <v>54</v>
      </c>
      <c r="AF3" s="41" t="s">
        <v>55</v>
      </c>
      <c r="AG3" s="41" t="s">
        <v>56</v>
      </c>
      <c r="AH3" s="40"/>
      <c r="AI3" s="41"/>
      <c r="AJ3" s="42"/>
      <c r="AK3" s="35" t="s">
        <v>57</v>
      </c>
      <c r="AM3" s="36" t="s">
        <v>58</v>
      </c>
      <c r="AO3" s="43"/>
      <c r="AP3" s="43"/>
      <c r="AQ3" s="44"/>
      <c r="AR3" s="45"/>
    </row>
    <row r="4" spans="1:44" hidden="1" outlineLevel="1" x14ac:dyDescent="0.25">
      <c r="L4" s="16"/>
      <c r="M4" s="33"/>
      <c r="N4" s="35"/>
      <c r="Q4" s="35"/>
      <c r="R4" s="46"/>
      <c r="S4" s="35"/>
      <c r="V4" s="37" t="s">
        <v>59</v>
      </c>
      <c r="W4" s="37" t="s">
        <v>60</v>
      </c>
      <c r="AA4" s="44"/>
      <c r="AB4" s="43"/>
      <c r="AE4" s="40" t="s">
        <v>61</v>
      </c>
      <c r="AH4" s="47"/>
      <c r="AI4" s="48"/>
      <c r="AJ4" s="49"/>
      <c r="AK4" s="47"/>
      <c r="AL4" s="50" t="s">
        <v>62</v>
      </c>
      <c r="AM4" s="46" t="s">
        <v>63</v>
      </c>
      <c r="AO4" s="43"/>
      <c r="AP4" s="43"/>
      <c r="AQ4" s="44"/>
      <c r="AR4" s="45"/>
    </row>
    <row r="5" spans="1:44" ht="16.8" collapsed="1" x14ac:dyDescent="0.25">
      <c r="J5" s="51" t="s">
        <v>33</v>
      </c>
      <c r="K5" s="51"/>
      <c r="L5" s="52"/>
      <c r="M5" s="53"/>
      <c r="N5" s="54"/>
      <c r="O5" s="54"/>
      <c r="P5" s="54"/>
      <c r="Q5" s="55"/>
      <c r="R5" s="54"/>
      <c r="S5" s="54"/>
      <c r="T5" s="54"/>
      <c r="U5" s="54"/>
      <c r="V5" s="54"/>
      <c r="W5" s="54"/>
      <c r="X5" s="54"/>
      <c r="Y5" s="54"/>
      <c r="Z5" s="54"/>
      <c r="AA5" s="54"/>
      <c r="AB5" s="56"/>
      <c r="AC5" s="54"/>
      <c r="AD5" s="54"/>
      <c r="AE5" s="54"/>
      <c r="AF5" s="54"/>
      <c r="AG5" s="54"/>
      <c r="AH5" s="54"/>
      <c r="AI5" s="54"/>
      <c r="AJ5" s="57"/>
      <c r="AK5" s="54"/>
      <c r="AL5" s="54"/>
      <c r="AM5" s="57"/>
      <c r="AO5" s="44"/>
      <c r="AP5" s="44"/>
      <c r="AQ5" s="44"/>
      <c r="AR5" s="44"/>
    </row>
    <row r="6" spans="1:44" ht="13.8" x14ac:dyDescent="0.25">
      <c r="A6" s="58" t="e">
        <f ca="1">_xll.SNL.Clients.Office.Excel.Functions.SPG($L6, A$3)</f>
        <v>#NAME?</v>
      </c>
      <c r="B6" s="58" t="e">
        <f ca="1">_xll.BDP($K6,B$3)</f>
        <v>#NAME?</v>
      </c>
      <c r="C6" s="58" t="e">
        <f ca="1">_xll.BDP($K6,C$3)</f>
        <v>#NAME?</v>
      </c>
      <c r="D6" s="58" t="e">
        <f ca="1">_xll.BDP($K6,D$3)</f>
        <v>#NAME?</v>
      </c>
      <c r="E6" s="59" t="s">
        <v>64</v>
      </c>
      <c r="F6" s="59" t="s">
        <v>65</v>
      </c>
      <c r="G6" s="59" t="s">
        <v>66</v>
      </c>
      <c r="H6" s="60" t="e">
        <f ca="1">_xll.SNL.Clients.Office.Excel.Functions.SPG($L6, "IQ_TEV", "Options: Curr=USD")</f>
        <v>#NAME?</v>
      </c>
      <c r="I6" s="60" t="e">
        <f ca="1">_xll.SNL.Clients.Office.Excel.Functions.SPG($L6, "SP_MARKETCAP", "Options: Curr=USD")</f>
        <v>#NAME?</v>
      </c>
      <c r="J6" s="61" t="s">
        <v>67</v>
      </c>
      <c r="K6" s="3" t="s">
        <v>68</v>
      </c>
      <c r="L6" s="3" t="s">
        <v>69</v>
      </c>
      <c r="M6" s="62" t="str" cm="1">
        <f t="array" aca="1" ref="M6" ca="1">IFERROR(_xll.SNL.Clients.Office.Excel.Functions.SPG($L6, $M$3)/100,"NA")</f>
        <v>NA</v>
      </c>
      <c r="N6" s="63" t="e" cm="1">
        <f t="array" aca="1" ref="N6" ca="1">_xll.SNL.Clients.Office.Excel.Functions.SPG($L6, "SP_PCFPS_FWD",N$2)</f>
        <v>#NAME?</v>
      </c>
      <c r="O6" s="64" t="e" cm="1">
        <f t="array" aca="1" ref="O6" ca="1">_xll.SNL.Clients.Office.Excel.Functions.SPG($L6, "SP_PCFPS_FWD",O$2)</f>
        <v>#NAME?</v>
      </c>
      <c r="P6" s="65" t="e" cm="1">
        <f t="array" aca="1" ref="P6" ca="1">_xll.SNL.Clients.Office.Excel.Functions.SPG($L6, "SP_PCFPS_FWD",P$2)</f>
        <v>#NAME?</v>
      </c>
      <c r="Q6" s="66" t="e">
        <f ca="1">_xll.SNL.Clients.Office.Excel.Functions.SPG($L6, "SP_FCF_EST",Q$2, "Options: Curr=USD")/1000/$I6</f>
        <v>#NAME?</v>
      </c>
      <c r="R6" s="67" t="e">
        <f ca="1">_xll.SNL.Clients.Office.Excel.Functions.SPG($L6, "SP_FCF_EST",R$2, "Options: Curr=USD")/1000/$I6</f>
        <v>#NAME?</v>
      </c>
      <c r="S6" s="63" t="e" cm="1">
        <f t="array" aca="1" ref="S6" ca="1">_xll.SNL.Clients.Office.Excel.Functions.SPG($L6, "SP_PE_FWD",S$2)</f>
        <v>#NAME?</v>
      </c>
      <c r="T6" s="64" t="e" cm="1">
        <f t="array" aca="1" ref="T6" ca="1">_xll.SNL.Clients.Office.Excel.Functions.SPG($L6, "SP_PE_FWD",T$2)</f>
        <v>#NAME?</v>
      </c>
      <c r="U6" s="65" t="e" cm="1">
        <f t="array" aca="1" ref="U6" ca="1">_xll.SNL.Clients.Office.Excel.Functions.SPG($L6, "SP_PE_FWD",U$2)</f>
        <v>#NAME?</v>
      </c>
      <c r="V6" s="68" t="e" cm="1">
        <f t="array" aca="1" ref="V6" ca="1">IF((_xll.SNL.Clients.Office.Excel.Functions.SPG($L6,$V$3,V$4,"Options: Curr=USD") / _xll.SNL.Clients.Office.Excel.Functions.SPG($L6,"SP_EBITDA_EST",V$2,"Options: Curr=USD")) &lt; 0, "NM", (_xll.SNL.Clients.Office.Excel.Functions.SPG($L6,$V$3,V$4,"Options: Curr=USD") / _xll.SNL.Clients.Office.Excel.Functions.SPG($L6,"SP_EBITDA_EST",V$2,"Options: Curr=USD")))</f>
        <v>#NAME?</v>
      </c>
      <c r="W6" s="69" t="e" cm="1">
        <f t="array" aca="1" ref="W6" ca="1">_xll.SNL.Clients.Office.Excel.Functions.SPG($L6, $W$3,W$4)</f>
        <v>#NAME?</v>
      </c>
      <c r="X6" s="63" t="e" cm="1">
        <f t="array" aca="1" ref="X6" ca="1">_xll.SNL.Clients.Office.Excel.Functions.SPG($L6, $X$3,X$2)</f>
        <v>#NAME?</v>
      </c>
      <c r="Y6" s="64" t="e" cm="1">
        <f t="array" aca="1" ref="Y6" ca="1">_xll.SNL.Clients.Office.Excel.Functions.SPG($L6, $X$3,Y$2)</f>
        <v>#NAME?</v>
      </c>
      <c r="Z6" s="65" t="e" cm="1">
        <f t="array" aca="1" ref="Z6" ca="1">_xll.SNL.Clients.Office.Excel.Functions.SPG($L6, $X$3,Z$2)</f>
        <v>#NAME?</v>
      </c>
      <c r="AA6" s="70" t="e" cm="1">
        <f t="array" aca="1" ref="AA6" ca="1">_xll.SNL.Clients.Office.Excel.Functions.SPG($L6, $AA$3)</f>
        <v>#NAME?</v>
      </c>
      <c r="AB6" s="71" t="e">
        <f ca="1">IF(ISNUMBER(SEARCH("na",_xll.SNL.Clients.Office.Excel.Functions.SPG($L6, $AB$3, AB$2))), 0,_xll.SNL.Clients.Office.Excel.Functions.SPG($L6, $AB$3, AB$2))</f>
        <v>#NAME?</v>
      </c>
      <c r="AC6" s="72" t="e">
        <f ca="1">IF(ISNUMBER(SEARCH("na",_xll.SNL.Clients.Office.Excel.Functions.SPG($L6, $AB$3, AC$2))), 0,_xll.SNL.Clients.Office.Excel.Functions.SPG($L6, $AB$3, AC$2))</f>
        <v>#NAME?</v>
      </c>
      <c r="AD6" s="72" t="e">
        <f ca="1">IF(ISNUMBER(SEARCH("na",_xll.SNL.Clients.Office.Excel.Functions.SPG($L6, $AB$3, AD$2))), 0,_xll.SNL.Clients.Office.Excel.Functions.SPG($L6, $AB$3, AD$2))</f>
        <v>#NAME?</v>
      </c>
      <c r="AE6" s="72">
        <f ca="1">IFERROR(_xll.SNL.Clients.Office.Excel.Functions.SPG($L6, $AE$3, AE$2,$AE$4)/1000,0)</f>
        <v>0</v>
      </c>
      <c r="AF6" s="72">
        <f ca="1">IFERROR(_xll.SNL.Clients.Office.Excel.Functions.SPG($L6, $AE$3, AF$2,$AE$4)/1000,0)</f>
        <v>0</v>
      </c>
      <c r="AG6" s="72">
        <f ca="1">IFERROR(_xll.SNL.Clients.Office.Excel.Functions.SPG($L6, $AE$3, AG$2,$AE$4)/1000,0)</f>
        <v>0</v>
      </c>
      <c r="AH6" s="73" t="e">
        <f t="shared" ref="AH6:AJ12" ca="1" si="0">$A6*1000/AE6</f>
        <v>#NAME?</v>
      </c>
      <c r="AI6" s="74" t="e">
        <f t="shared" ca="1" si="0"/>
        <v>#NAME?</v>
      </c>
      <c r="AJ6" s="75" t="e">
        <f t="shared" ca="1" si="0"/>
        <v>#NAME?</v>
      </c>
      <c r="AK6" s="76" t="e">
        <f ca="1">_xll.SNL.Clients.Office.Excel.Functions.SPG($L6,$AK$3,AK$2,$AL$4, "Options:Curr=USD")</f>
        <v>#NAME?</v>
      </c>
      <c r="AL6" s="77" t="e">
        <f ca="1">_xll.SNL.Clients.Office.Excel.Functions.SPG($L6,$AK$3,AL$2,$AL$4, "Options:Curr=USD")</f>
        <v>#NAME?</v>
      </c>
      <c r="AM6" s="75" t="str">
        <f ca="1">IFERROR(AVERAGE(_xll.SNL.Clients.Office.Excel.Functions.SPG($L6,$AM$4,$AL$4,AM$2),_xll.SNL.Clients.Office.Excel.Functions.SPG($L6,$AM$3,$AL$4,AM$2)),"NA")</f>
        <v>NA</v>
      </c>
      <c r="AO6" s="44" t="s">
        <v>70</v>
      </c>
      <c r="AP6" s="44"/>
      <c r="AQ6" s="44" t="s">
        <v>71</v>
      </c>
      <c r="AR6" s="44"/>
    </row>
    <row r="7" spans="1:44" ht="13.8" x14ac:dyDescent="0.25">
      <c r="A7" s="58" t="e">
        <f ca="1">_xll.SNL.Clients.Office.Excel.Functions.SPG($L7, A$3)</f>
        <v>#NAME?</v>
      </c>
      <c r="B7" s="58" t="e">
        <f ca="1">_xll.BDP($K7,B$3)</f>
        <v>#NAME?</v>
      </c>
      <c r="C7" s="58" t="e">
        <f ca="1">_xll.BDP($K7,C$3)</f>
        <v>#NAME?</v>
      </c>
      <c r="D7" s="58" t="e">
        <f ca="1">_xll.BDP($K7,D$3)</f>
        <v>#NAME?</v>
      </c>
      <c r="E7" s="59" t="s">
        <v>72</v>
      </c>
      <c r="F7" s="59" t="s">
        <v>65</v>
      </c>
      <c r="G7" s="59" t="s">
        <v>73</v>
      </c>
      <c r="H7" s="60" t="e">
        <f ca="1">_xll.SNL.Clients.Office.Excel.Functions.SPG($L7, "IQ_TEV", "Options: Curr=USD")</f>
        <v>#NAME?</v>
      </c>
      <c r="I7" s="60" t="e">
        <f ca="1">_xll.SNL.Clients.Office.Excel.Functions.SPG($L7, "SP_MARKETCAP", "Options: Curr=USD")</f>
        <v>#NAME?</v>
      </c>
      <c r="J7" s="61" t="s">
        <v>74</v>
      </c>
      <c r="K7" s="78" t="s">
        <v>75</v>
      </c>
      <c r="L7" s="78" t="s">
        <v>76</v>
      </c>
      <c r="M7" s="62" t="str" cm="1">
        <f t="array" aca="1" ref="M7" ca="1">IFERROR(_xll.SNL.Clients.Office.Excel.Functions.SPG($L7, $M$3)/100,"NA")</f>
        <v>NA</v>
      </c>
      <c r="N7" s="63" t="e" cm="1">
        <f t="array" aca="1" ref="N7" ca="1">_xll.SNL.Clients.Office.Excel.Functions.SPG($L7, "SP_PCFPS_FWD",N$2)</f>
        <v>#NAME?</v>
      </c>
      <c r="O7" s="64" t="e" cm="1">
        <f t="array" aca="1" ref="O7" ca="1">_xll.SNL.Clients.Office.Excel.Functions.SPG($L7, "SP_PCFPS_FWD",O$2)</f>
        <v>#NAME?</v>
      </c>
      <c r="P7" s="65" t="e" cm="1">
        <f t="array" aca="1" ref="P7" ca="1">_xll.SNL.Clients.Office.Excel.Functions.SPG($L7, "SP_PCFPS_FWD",P$2)</f>
        <v>#NAME?</v>
      </c>
      <c r="Q7" s="66" t="e">
        <f ca="1">_xll.SNL.Clients.Office.Excel.Functions.SPG($L7, "SP_FCF_EST",Q$2, "Options: Curr=USD")/1000/$I7</f>
        <v>#NAME?</v>
      </c>
      <c r="R7" s="66" t="e">
        <f ca="1">_xll.SNL.Clients.Office.Excel.Functions.SPG($L7, "SP_FCF_EST",R$2, "Options: Curr=USD")/1000/$I7</f>
        <v>#NAME?</v>
      </c>
      <c r="S7" s="63" t="e" cm="1">
        <f t="array" aca="1" ref="S7" ca="1">_xll.SNL.Clients.Office.Excel.Functions.SPG($L7, "SP_PE_FWD",S$2)</f>
        <v>#NAME?</v>
      </c>
      <c r="T7" s="64" t="e" cm="1">
        <f t="array" aca="1" ref="T7" ca="1">_xll.SNL.Clients.Office.Excel.Functions.SPG($L7, "SP_PE_FWD",T$2)</f>
        <v>#NAME?</v>
      </c>
      <c r="U7" s="65" t="e" cm="1">
        <f t="array" aca="1" ref="U7" ca="1">_xll.SNL.Clients.Office.Excel.Functions.SPG($L7, "SP_PE_FWD",U$2)</f>
        <v>#NAME?</v>
      </c>
      <c r="V7" s="68" t="e" cm="1">
        <f t="array" aca="1" ref="V7" ca="1">IF((_xll.SNL.Clients.Office.Excel.Functions.SPG($L7,$V$3,V$4,"Options: Curr=USD") / _xll.SNL.Clients.Office.Excel.Functions.SPG($L7,"SP_EBITDA_EST",V$2,"Options: Curr=USD")) &lt; 0, "NM", (_xll.SNL.Clients.Office.Excel.Functions.SPG($L7,$V$3,V$4,"Options: Curr=USD") / _xll.SNL.Clients.Office.Excel.Functions.SPG($L7,"SP_EBITDA_EST",V$2,"Options: Curr=USD")))</f>
        <v>#NAME?</v>
      </c>
      <c r="W7" s="69" t="e" cm="1">
        <f t="array" aca="1" ref="W7" ca="1">_xll.SNL.Clients.Office.Excel.Functions.SPG($L7, $W$3,W$4)</f>
        <v>#NAME?</v>
      </c>
      <c r="X7" s="63" t="e" cm="1">
        <f t="array" aca="1" ref="X7" ca="1">_xll.SNL.Clients.Office.Excel.Functions.SPG($L7, $X$3,X$2)</f>
        <v>#NAME?</v>
      </c>
      <c r="Y7" s="64" t="e" cm="1">
        <f t="array" aca="1" ref="Y7" ca="1">_xll.SNL.Clients.Office.Excel.Functions.SPG($L7, $X$3,Y$2)</f>
        <v>#NAME?</v>
      </c>
      <c r="Z7" s="65" t="e" cm="1">
        <f t="array" aca="1" ref="Z7" ca="1">_xll.SNL.Clients.Office.Excel.Functions.SPG($L7, $X$3,Z$2)</f>
        <v>#NAME?</v>
      </c>
      <c r="AA7" s="70" t="e" cm="1">
        <f t="array" aca="1" ref="AA7" ca="1">_xll.SNL.Clients.Office.Excel.Functions.SPG($L7, $AA$3)</f>
        <v>#NAME?</v>
      </c>
      <c r="AB7" s="71" t="e">
        <f ca="1">IF(ISNUMBER(SEARCH("na",_xll.SNL.Clients.Office.Excel.Functions.SPG($L7, $AB$3, AB$2))), 0,_xll.SNL.Clients.Office.Excel.Functions.SPG($L7, $AB$3, AB$2))</f>
        <v>#NAME?</v>
      </c>
      <c r="AC7" s="72" t="e">
        <f ca="1">IF(ISNUMBER(SEARCH("na",_xll.SNL.Clients.Office.Excel.Functions.SPG($L7, $AB$3, AC$2))), 0,_xll.SNL.Clients.Office.Excel.Functions.SPG($L7, $AB$3, AC$2))</f>
        <v>#NAME?</v>
      </c>
      <c r="AD7" s="72" t="e">
        <f ca="1">IF(ISNUMBER(SEARCH("na",_xll.SNL.Clients.Office.Excel.Functions.SPG($L7, $AB$3, AD$2))), 0,_xll.SNL.Clients.Office.Excel.Functions.SPG($L7, $AB$3, AD$2))</f>
        <v>#NAME?</v>
      </c>
      <c r="AE7" s="72">
        <f ca="1">IFERROR(_xll.SNL.Clients.Office.Excel.Functions.SPG($L7, $AE$3, AE$2,$AE$4)/1000,0)</f>
        <v>0</v>
      </c>
      <c r="AF7" s="72">
        <f ca="1">IFERROR(_xll.SNL.Clients.Office.Excel.Functions.SPG($L7, $AE$3, AF$2,$AE$4)/1000,0)</f>
        <v>0</v>
      </c>
      <c r="AG7" s="72">
        <f ca="1">IFERROR(_xll.SNL.Clients.Office.Excel.Functions.SPG($L7, $AE$3, AG$2,$AE$4)/1000,0)</f>
        <v>0</v>
      </c>
      <c r="AH7" s="79" t="e">
        <f t="shared" ca="1" si="0"/>
        <v>#NAME?</v>
      </c>
      <c r="AI7" s="74" t="e">
        <f t="shared" ca="1" si="0"/>
        <v>#NAME?</v>
      </c>
      <c r="AJ7" s="80" t="e">
        <f t="shared" ca="1" si="0"/>
        <v>#NAME?</v>
      </c>
      <c r="AK7" s="81" t="e">
        <f ca="1">_xll.SNL.Clients.Office.Excel.Functions.SPG($L7,$AK$3,AK$2,$AL$4, "Options:Curr=USD")</f>
        <v>#NAME?</v>
      </c>
      <c r="AL7" s="82" t="e">
        <f ca="1">_xll.SNL.Clients.Office.Excel.Functions.SPG($L7,$AK$3,AL$2,$AL$4, "Options:Curr=USD")</f>
        <v>#NAME?</v>
      </c>
      <c r="AM7" s="80" t="str">
        <f ca="1">IFERROR(AVERAGE(_xll.SNL.Clients.Office.Excel.Functions.SPG($L7,$AM$4,$AL$4,AM$2),_xll.SNL.Clients.Office.Excel.Functions.SPG($L7,$AM$3,$AL$4,AM$2)),"NA")</f>
        <v>NA</v>
      </c>
      <c r="AO7" s="44" t="s">
        <v>70</v>
      </c>
      <c r="AP7" s="44"/>
      <c r="AQ7" s="83" t="s">
        <v>77</v>
      </c>
      <c r="AR7" s="44"/>
    </row>
    <row r="8" spans="1:44" ht="13.8" x14ac:dyDescent="0.25">
      <c r="A8" s="58" t="e">
        <f ca="1">_xll.SNL.Clients.Office.Excel.Functions.SPG($L8, A$3)</f>
        <v>#NAME?</v>
      </c>
      <c r="B8" s="58" t="e">
        <f ca="1">_xll.BDP($K8,B$3)</f>
        <v>#NAME?</v>
      </c>
      <c r="C8" s="58" t="e">
        <f ca="1">_xll.BDP($K8,C$3)</f>
        <v>#NAME?</v>
      </c>
      <c r="D8" s="58" t="e">
        <f ca="1">_xll.BDP($K8,D$3)</f>
        <v>#NAME?</v>
      </c>
      <c r="E8" s="59" t="s">
        <v>78</v>
      </c>
      <c r="F8" s="59" t="s">
        <v>65</v>
      </c>
      <c r="G8" s="59" t="s">
        <v>73</v>
      </c>
      <c r="H8" s="60" t="e">
        <f ca="1">_xll.SNL.Clients.Office.Excel.Functions.SPG($L8, "IQ_TEV", "Options: Curr=USD")</f>
        <v>#NAME?</v>
      </c>
      <c r="I8" s="60" t="e">
        <f ca="1">_xll.SNL.Clients.Office.Excel.Functions.SPG($L8, "SP_MARKETCAP", "Options: Curr=USD")</f>
        <v>#NAME?</v>
      </c>
      <c r="J8" s="61" t="s">
        <v>79</v>
      </c>
      <c r="K8" s="78" t="s">
        <v>80</v>
      </c>
      <c r="L8" s="3" t="s">
        <v>81</v>
      </c>
      <c r="M8" s="62" t="str" cm="1">
        <f t="array" aca="1" ref="M8" ca="1">IFERROR(_xll.SNL.Clients.Office.Excel.Functions.SPG($L8, $M$3)/100,"NA")</f>
        <v>NA</v>
      </c>
      <c r="N8" s="63" t="e" cm="1">
        <f t="array" aca="1" ref="N8" ca="1">_xll.SNL.Clients.Office.Excel.Functions.SPG($L8, "SP_PCFPS_FWD",N$2)</f>
        <v>#NAME?</v>
      </c>
      <c r="O8" s="64" t="e" cm="1">
        <f t="array" aca="1" ref="O8" ca="1">_xll.SNL.Clients.Office.Excel.Functions.SPG($L8, "SP_PCFPS_FWD",O$2)</f>
        <v>#NAME?</v>
      </c>
      <c r="P8" s="65" t="e" cm="1">
        <f t="array" aca="1" ref="P8" ca="1">_xll.SNL.Clients.Office.Excel.Functions.SPG($L8, "SP_PCFPS_FWD",P$2)</f>
        <v>#NAME?</v>
      </c>
      <c r="Q8" s="66" t="e">
        <f ca="1">_xll.SNL.Clients.Office.Excel.Functions.SPG($L8, "SP_FCF_EST",Q$2, "Options: Curr=USD")/1000/$I8</f>
        <v>#NAME?</v>
      </c>
      <c r="R8" s="66" t="e">
        <f ca="1">_xll.SNL.Clients.Office.Excel.Functions.SPG($L8, "SP_FCF_EST",R$2, "Options: Curr=USD")/1000/$I8</f>
        <v>#NAME?</v>
      </c>
      <c r="S8" s="63" t="e" cm="1">
        <f t="array" aca="1" ref="S8" ca="1">_xll.SNL.Clients.Office.Excel.Functions.SPG($L8, "SP_PE_FWD",S$2)</f>
        <v>#NAME?</v>
      </c>
      <c r="T8" s="64" t="e" cm="1">
        <f t="array" aca="1" ref="T8" ca="1">_xll.SNL.Clients.Office.Excel.Functions.SPG($L8, "SP_PE_FWD",T$2)</f>
        <v>#NAME?</v>
      </c>
      <c r="U8" s="65" t="e" cm="1">
        <f t="array" aca="1" ref="U8" ca="1">_xll.SNL.Clients.Office.Excel.Functions.SPG($L8, "SP_PE_FWD",U$2)</f>
        <v>#NAME?</v>
      </c>
      <c r="V8" s="68" t="e" cm="1">
        <f t="array" aca="1" ref="V8" ca="1">IF((_xll.SNL.Clients.Office.Excel.Functions.SPG($L8,$V$3,V$4,"Options: Curr=USD") / _xll.SNL.Clients.Office.Excel.Functions.SPG($L8,"SP_EBITDA_EST",V$2,"Options: Curr=USD")) &lt; 0, "NM", (_xll.SNL.Clients.Office.Excel.Functions.SPG($L8,$V$3,V$4,"Options: Curr=USD") / _xll.SNL.Clients.Office.Excel.Functions.SPG($L8,"SP_EBITDA_EST",V$2,"Options: Curr=USD")))</f>
        <v>#NAME?</v>
      </c>
      <c r="W8" s="69" t="e" cm="1">
        <f t="array" aca="1" ref="W8" ca="1">_xll.SNL.Clients.Office.Excel.Functions.SPG($L8, $W$3,W$4)</f>
        <v>#NAME?</v>
      </c>
      <c r="X8" s="63" t="e" cm="1">
        <f t="array" aca="1" ref="X8" ca="1">_xll.SNL.Clients.Office.Excel.Functions.SPG($L8, $X$3,X$2)</f>
        <v>#NAME?</v>
      </c>
      <c r="Y8" s="64" t="e" cm="1">
        <f t="array" aca="1" ref="Y8" ca="1">_xll.SNL.Clients.Office.Excel.Functions.SPG($L8, $X$3,Y$2)</f>
        <v>#NAME?</v>
      </c>
      <c r="Z8" s="65" t="e" cm="1">
        <f t="array" aca="1" ref="Z8" ca="1">_xll.SNL.Clients.Office.Excel.Functions.SPG($L8, $X$3,Z$2)</f>
        <v>#NAME?</v>
      </c>
      <c r="AA8" s="70" t="e" cm="1">
        <f t="array" aca="1" ref="AA8" ca="1">_xll.SNL.Clients.Office.Excel.Functions.SPG($L8, $AA$3)</f>
        <v>#NAME?</v>
      </c>
      <c r="AB8" s="71" t="e">
        <f ca="1">IF(ISNUMBER(SEARCH("na",_xll.SNL.Clients.Office.Excel.Functions.SPG($L8, $AB$3, AB$2))), 0,_xll.SNL.Clients.Office.Excel.Functions.SPG($L8, $AB$3, AB$2))</f>
        <v>#NAME?</v>
      </c>
      <c r="AC8" s="72" t="e">
        <f ca="1">IF(ISNUMBER(SEARCH("na",_xll.SNL.Clients.Office.Excel.Functions.SPG($L8, $AB$3, AC$2))), 0,_xll.SNL.Clients.Office.Excel.Functions.SPG($L8, $AB$3, AC$2))</f>
        <v>#NAME?</v>
      </c>
      <c r="AD8" s="72" t="e">
        <f ca="1">IF(ISNUMBER(SEARCH("na",_xll.SNL.Clients.Office.Excel.Functions.SPG($L8, $AB$3, AD$2))), 0,_xll.SNL.Clients.Office.Excel.Functions.SPG($L8, $AB$3, AD$2))</f>
        <v>#NAME?</v>
      </c>
      <c r="AE8" s="72">
        <f ca="1">IFERROR(_xll.SNL.Clients.Office.Excel.Functions.SPG($L8, $AE$3, AE$2,$AE$4)/1000,0)</f>
        <v>0</v>
      </c>
      <c r="AF8" s="72">
        <f ca="1">IFERROR(_xll.SNL.Clients.Office.Excel.Functions.SPG($L8, $AE$3, AF$2,$AE$4)/1000,0)</f>
        <v>0</v>
      </c>
      <c r="AG8" s="72">
        <f ca="1">IFERROR(_xll.SNL.Clients.Office.Excel.Functions.SPG($L8, $AE$3, AG$2,$AE$4)/1000,0)</f>
        <v>0</v>
      </c>
      <c r="AH8" s="79" t="e">
        <f t="shared" ca="1" si="0"/>
        <v>#NAME?</v>
      </c>
      <c r="AI8" s="74" t="e">
        <f t="shared" ca="1" si="0"/>
        <v>#NAME?</v>
      </c>
      <c r="AJ8" s="80" t="e">
        <f t="shared" ca="1" si="0"/>
        <v>#NAME?</v>
      </c>
      <c r="AK8" s="81" t="e">
        <f ca="1">_xll.SNL.Clients.Office.Excel.Functions.SPG($L8,$AK$3,AK$2,$AL$4, "Options:Curr=USD")</f>
        <v>#NAME?</v>
      </c>
      <c r="AL8" s="82" t="e">
        <f ca="1">_xll.SNL.Clients.Office.Excel.Functions.SPG($L8,$AK$3,AL$2,$AL$4, "Options:Curr=USD")</f>
        <v>#NAME?</v>
      </c>
      <c r="AM8" s="80" t="str">
        <f ca="1">IFERROR(AVERAGE(_xll.SNL.Clients.Office.Excel.Functions.SPG($L8,$AM$4,$AL$4,AM$2),_xll.SNL.Clients.Office.Excel.Functions.SPG($L8,$AM$3,$AL$4,AM$2)),"NA")</f>
        <v>NA</v>
      </c>
      <c r="AO8" s="44" t="s">
        <v>70</v>
      </c>
      <c r="AP8" s="44"/>
      <c r="AQ8" s="83" t="s">
        <v>71</v>
      </c>
      <c r="AR8" s="44"/>
    </row>
    <row r="9" spans="1:44" ht="13.8" x14ac:dyDescent="0.25">
      <c r="A9" s="58" t="e">
        <f ca="1">_xll.SNL.Clients.Office.Excel.Functions.SPG($L9, A$3)</f>
        <v>#NAME?</v>
      </c>
      <c r="B9" s="58" t="e">
        <f ca="1">_xll.BDP($K9,B$3)</f>
        <v>#NAME?</v>
      </c>
      <c r="C9" s="58" t="e">
        <f ca="1">_xll.BDP($K9,C$3)</f>
        <v>#NAME?</v>
      </c>
      <c r="D9" s="58" t="e">
        <f ca="1">_xll.BDP($K9,D$3)</f>
        <v>#NAME?</v>
      </c>
      <c r="E9" s="59" t="s">
        <v>82</v>
      </c>
      <c r="F9" s="59" t="s">
        <v>65</v>
      </c>
      <c r="G9" s="59" t="s">
        <v>83</v>
      </c>
      <c r="H9" s="60" t="e">
        <f ca="1">_xll.SNL.Clients.Office.Excel.Functions.SPG($L9, "IQ_TEV", "Options: Curr=USD")</f>
        <v>#NAME?</v>
      </c>
      <c r="I9" s="60" t="e">
        <f ca="1">_xll.SNL.Clients.Office.Excel.Functions.SPG($L9, "SP_MARKETCAP", "Options: Curr=USD")</f>
        <v>#NAME?</v>
      </c>
      <c r="J9" s="61" t="s">
        <v>84</v>
      </c>
      <c r="K9" s="78" t="s">
        <v>85</v>
      </c>
      <c r="L9" s="78" t="s">
        <v>86</v>
      </c>
      <c r="M9" s="62" t="str" cm="1">
        <f t="array" aca="1" ref="M9" ca="1">IFERROR(_xll.SNL.Clients.Office.Excel.Functions.SPG($L9, $M$3)/100,"NA")</f>
        <v>NA</v>
      </c>
      <c r="N9" s="63" t="e" cm="1">
        <f t="array" aca="1" ref="N9" ca="1">_xll.SNL.Clients.Office.Excel.Functions.SPG($L9, "SP_PCFPS_FWD",N$2)</f>
        <v>#NAME?</v>
      </c>
      <c r="O9" s="64" t="e" cm="1">
        <f t="array" aca="1" ref="O9" ca="1">_xll.SNL.Clients.Office.Excel.Functions.SPG($L9, "SP_PCFPS_FWD",O$2)</f>
        <v>#NAME?</v>
      </c>
      <c r="P9" s="65" t="e" cm="1">
        <f t="array" aca="1" ref="P9" ca="1">_xll.SNL.Clients.Office.Excel.Functions.SPG($L9, "SP_PCFPS_FWD",P$2)</f>
        <v>#NAME?</v>
      </c>
      <c r="Q9" s="66" t="e">
        <f ca="1">_xll.SNL.Clients.Office.Excel.Functions.SPG($L9, "SP_FCF_EST",Q$2, "Options: Curr=USD")/1000/$I9</f>
        <v>#NAME?</v>
      </c>
      <c r="R9" s="66" t="e">
        <f ca="1">_xll.SNL.Clients.Office.Excel.Functions.SPG($L9, "SP_FCF_EST",R$2, "Options: Curr=USD")/1000/$I9</f>
        <v>#NAME?</v>
      </c>
      <c r="S9" s="63" t="e" cm="1">
        <f t="array" aca="1" ref="S9" ca="1">_xll.SNL.Clients.Office.Excel.Functions.SPG($L9, "SP_PE_FWD",S$2)</f>
        <v>#NAME?</v>
      </c>
      <c r="T9" s="64" t="e" cm="1">
        <f t="array" aca="1" ref="T9" ca="1">_xll.SNL.Clients.Office.Excel.Functions.SPG($L9, "SP_PE_FWD",T$2)</f>
        <v>#NAME?</v>
      </c>
      <c r="U9" s="65" t="e" cm="1">
        <f t="array" aca="1" ref="U9" ca="1">_xll.SNL.Clients.Office.Excel.Functions.SPG($L9, "SP_PE_FWD",U$2)</f>
        <v>#NAME?</v>
      </c>
      <c r="V9" s="68" t="e" cm="1">
        <f t="array" aca="1" ref="V9" ca="1">IF((_xll.SNL.Clients.Office.Excel.Functions.SPG($L9,$V$3,V$4,"Options: Curr=USD") / _xll.SNL.Clients.Office.Excel.Functions.SPG($L9,"SP_EBITDA_EST",V$2,"Options: Curr=USD")) &lt; 0, "NM", (_xll.SNL.Clients.Office.Excel.Functions.SPG($L9,$V$3,V$4,"Options: Curr=USD") / _xll.SNL.Clients.Office.Excel.Functions.SPG($L9,"SP_EBITDA_EST",V$2,"Options: Curr=USD")))</f>
        <v>#NAME?</v>
      </c>
      <c r="W9" s="69" t="e" cm="1">
        <f t="array" aca="1" ref="W9" ca="1">_xll.SNL.Clients.Office.Excel.Functions.SPG($L9, $W$3,W$4)</f>
        <v>#NAME?</v>
      </c>
      <c r="X9" s="63" t="e" cm="1">
        <f t="array" aca="1" ref="X9" ca="1">_xll.SNL.Clients.Office.Excel.Functions.SPG($L9, $X$3,X$2)</f>
        <v>#NAME?</v>
      </c>
      <c r="Y9" s="64" t="e" cm="1">
        <f t="array" aca="1" ref="Y9" ca="1">_xll.SNL.Clients.Office.Excel.Functions.SPG($L9, $X$3,Y$2)</f>
        <v>#NAME?</v>
      </c>
      <c r="Z9" s="65" t="e" cm="1">
        <f t="array" aca="1" ref="Z9" ca="1">_xll.SNL.Clients.Office.Excel.Functions.SPG($L9, $X$3,Z$2)</f>
        <v>#NAME?</v>
      </c>
      <c r="AA9" s="70" t="e" cm="1">
        <f t="array" aca="1" ref="AA9" ca="1">_xll.SNL.Clients.Office.Excel.Functions.SPG($L9, $AA$3)</f>
        <v>#NAME?</v>
      </c>
      <c r="AB9" s="71" t="e">
        <f ca="1">IF(ISNUMBER(SEARCH("na",_xll.SNL.Clients.Office.Excel.Functions.SPG($L9, $AB$3, AB$2))), 0,_xll.SNL.Clients.Office.Excel.Functions.SPG($L9, $AB$3, AB$2))</f>
        <v>#NAME?</v>
      </c>
      <c r="AC9" s="72" t="e">
        <f ca="1">IF(ISNUMBER(SEARCH("na",_xll.SNL.Clients.Office.Excel.Functions.SPG($L9, $AB$3, AC$2))), 0,_xll.SNL.Clients.Office.Excel.Functions.SPG($L9, $AB$3, AC$2))</f>
        <v>#NAME?</v>
      </c>
      <c r="AD9" s="72" t="e">
        <f ca="1">IF(ISNUMBER(SEARCH("na",_xll.SNL.Clients.Office.Excel.Functions.SPG($L9, $AB$3, AD$2))), 0,_xll.SNL.Clients.Office.Excel.Functions.SPG($L9, $AB$3, AD$2))</f>
        <v>#NAME?</v>
      </c>
      <c r="AE9" s="72">
        <f ca="1">IFERROR(_xll.SNL.Clients.Office.Excel.Functions.SPG($L9, $AE$3, AE$2,$AE$4)/1000,0)</f>
        <v>0</v>
      </c>
      <c r="AF9" s="72">
        <f ca="1">IFERROR(_xll.SNL.Clients.Office.Excel.Functions.SPG($L9, $AE$3, AF$2,$AE$4)/1000,0)</f>
        <v>0</v>
      </c>
      <c r="AG9" s="72">
        <f ca="1">IFERROR(_xll.SNL.Clients.Office.Excel.Functions.SPG($L9, $AE$3, AG$2,$AE$4)/1000,0)</f>
        <v>0</v>
      </c>
      <c r="AH9" s="79" t="e">
        <f t="shared" ca="1" si="0"/>
        <v>#NAME?</v>
      </c>
      <c r="AI9" s="74" t="e">
        <f t="shared" ca="1" si="0"/>
        <v>#NAME?</v>
      </c>
      <c r="AJ9" s="80" t="e">
        <f t="shared" ca="1" si="0"/>
        <v>#NAME?</v>
      </c>
      <c r="AK9" s="81" t="e">
        <f ca="1">_xll.SNL.Clients.Office.Excel.Functions.SPG($L9,$AK$3,AK$2,$AL$4, "Options:Curr=USD")</f>
        <v>#NAME?</v>
      </c>
      <c r="AL9" s="82" t="e">
        <f ca="1">_xll.SNL.Clients.Office.Excel.Functions.SPG($L9,$AK$3,AL$2,$AL$4, "Options:Curr=USD")</f>
        <v>#NAME?</v>
      </c>
      <c r="AM9" s="80" t="str">
        <f ca="1">IFERROR(AVERAGE(_xll.SNL.Clients.Office.Excel.Functions.SPG($L9,$AM$4,$AL$4,AM$2),_xll.SNL.Clients.Office.Excel.Functions.SPG($L9,$AM$3,$AL$4,AM$2)),"NA")</f>
        <v>NA</v>
      </c>
      <c r="AO9" s="44" t="s">
        <v>70</v>
      </c>
      <c r="AP9" s="44"/>
      <c r="AQ9" s="83" t="s">
        <v>77</v>
      </c>
      <c r="AR9" s="44"/>
    </row>
    <row r="10" spans="1:44" ht="13.8" x14ac:dyDescent="0.25">
      <c r="A10" s="58" t="e">
        <f ca="1">_xll.SNL.Clients.Office.Excel.Functions.SPG($L10, A$3)</f>
        <v>#NAME?</v>
      </c>
      <c r="B10" s="58" t="e">
        <f ca="1">_xll.BDP($K10,B$3)</f>
        <v>#NAME?</v>
      </c>
      <c r="C10" s="58" t="e">
        <f ca="1">_xll.BDP($K10,C$3)</f>
        <v>#NAME?</v>
      </c>
      <c r="D10" s="58" t="e">
        <f ca="1">_xll.BDP($K10,D$3)</f>
        <v>#NAME?</v>
      </c>
      <c r="E10" s="59" t="s">
        <v>87</v>
      </c>
      <c r="F10" s="59" t="s">
        <v>88</v>
      </c>
      <c r="G10" s="59" t="s">
        <v>89</v>
      </c>
      <c r="H10" s="60" t="e">
        <f ca="1">_xll.SNL.Clients.Office.Excel.Functions.SPG($L10, "IQ_TEV", "Options: Curr=USD")</f>
        <v>#NAME?</v>
      </c>
      <c r="I10" s="60" t="e">
        <f ca="1">_xll.SNL.Clients.Office.Excel.Functions.SPG($L10, "SP_MARKETCAP", "Options: Curr=USD")</f>
        <v>#NAME?</v>
      </c>
      <c r="J10" s="61" t="s">
        <v>90</v>
      </c>
      <c r="K10" s="78" t="s">
        <v>91</v>
      </c>
      <c r="L10" s="3" t="s">
        <v>92</v>
      </c>
      <c r="M10" s="62" t="str" cm="1">
        <f t="array" aca="1" ref="M10" ca="1">IFERROR(_xll.SNL.Clients.Office.Excel.Functions.SPG($L10, $M$3)/100,"NA")</f>
        <v>NA</v>
      </c>
      <c r="N10" s="63" t="e" cm="1">
        <f t="array" aca="1" ref="N10" ca="1">_xll.SNL.Clients.Office.Excel.Functions.SPG($L10, "SP_PCFPS_FWD",N$2)</f>
        <v>#NAME?</v>
      </c>
      <c r="O10" s="64" t="e" cm="1">
        <f t="array" aca="1" ref="O10" ca="1">_xll.SNL.Clients.Office.Excel.Functions.SPG($L10, "SP_PCFPS_FWD",O$2)</f>
        <v>#NAME?</v>
      </c>
      <c r="P10" s="65" t="e" cm="1">
        <f t="array" aca="1" ref="P10" ca="1">_xll.SNL.Clients.Office.Excel.Functions.SPG($L10, "SP_PCFPS_FWD",P$2)</f>
        <v>#NAME?</v>
      </c>
      <c r="Q10" s="66" t="e">
        <f ca="1">_xll.SNL.Clients.Office.Excel.Functions.SPG($L10, "SP_FCF_EST",Q$2, "Options: Curr=USD")/1000/$I10</f>
        <v>#NAME?</v>
      </c>
      <c r="R10" s="66" t="e">
        <f ca="1">_xll.SNL.Clients.Office.Excel.Functions.SPG($L10, "SP_FCF_EST",R$2, "Options: Curr=USD")/1000/$I10</f>
        <v>#NAME?</v>
      </c>
      <c r="S10" s="63" t="e" cm="1">
        <f t="array" aca="1" ref="S10" ca="1">_xll.SNL.Clients.Office.Excel.Functions.SPG($L10, "SP_PE_FWD",S$2)</f>
        <v>#NAME?</v>
      </c>
      <c r="T10" s="64" t="e" cm="1">
        <f t="array" aca="1" ref="T10" ca="1">_xll.SNL.Clients.Office.Excel.Functions.SPG($L10, "SP_PE_FWD",T$2)</f>
        <v>#NAME?</v>
      </c>
      <c r="U10" s="65" t="e" cm="1">
        <f t="array" aca="1" ref="U10" ca="1">_xll.SNL.Clients.Office.Excel.Functions.SPG($L10, "SP_PE_FWD",U$2)</f>
        <v>#NAME?</v>
      </c>
      <c r="V10" s="68" t="e" cm="1">
        <f t="array" aca="1" ref="V10" ca="1">IF((_xll.SNL.Clients.Office.Excel.Functions.SPG($L10,$V$3,V$4,"Options: Curr=USD") / _xll.SNL.Clients.Office.Excel.Functions.SPG($L10,"SP_EBITDA_EST",V$2,"Options: Curr=USD")) &lt; 0, "NM", (_xll.SNL.Clients.Office.Excel.Functions.SPG($L10,$V$3,V$4,"Options: Curr=USD") / _xll.SNL.Clients.Office.Excel.Functions.SPG($L10,"SP_EBITDA_EST",V$2,"Options: Curr=USD")))</f>
        <v>#NAME?</v>
      </c>
      <c r="W10" s="69" t="e" cm="1">
        <f t="array" aca="1" ref="W10" ca="1">_xll.SNL.Clients.Office.Excel.Functions.SPG($L10, $W$3,W$4)</f>
        <v>#NAME?</v>
      </c>
      <c r="X10" s="63" t="e" cm="1">
        <f t="array" aca="1" ref="X10" ca="1">_xll.SNL.Clients.Office.Excel.Functions.SPG($L10, $X$3,X$2)</f>
        <v>#NAME?</v>
      </c>
      <c r="Y10" s="64" t="e" cm="1">
        <f t="array" aca="1" ref="Y10" ca="1">_xll.SNL.Clients.Office.Excel.Functions.SPG($L10, $X$3,Y$2)</f>
        <v>#NAME?</v>
      </c>
      <c r="Z10" s="65" t="e" cm="1">
        <f t="array" aca="1" ref="Z10" ca="1">_xll.SNL.Clients.Office.Excel.Functions.SPG($L10, $X$3,Z$2)</f>
        <v>#NAME?</v>
      </c>
      <c r="AA10" s="70" t="e" cm="1">
        <f t="array" aca="1" ref="AA10" ca="1">_xll.SNL.Clients.Office.Excel.Functions.SPG($L10, $AA$3)</f>
        <v>#NAME?</v>
      </c>
      <c r="AB10" s="71" t="e">
        <f ca="1">IF(ISNUMBER(SEARCH("na",_xll.SNL.Clients.Office.Excel.Functions.SPG($L10, $AB$3, AB$2))), 0,_xll.SNL.Clients.Office.Excel.Functions.SPG($L10, $AB$3, AB$2))</f>
        <v>#NAME?</v>
      </c>
      <c r="AC10" s="72" t="e">
        <f ca="1">IF(ISNUMBER(SEARCH("na",_xll.SNL.Clients.Office.Excel.Functions.SPG($L10, $AB$3, AC$2))), 0,_xll.SNL.Clients.Office.Excel.Functions.SPG($L10, $AB$3, AC$2))</f>
        <v>#NAME?</v>
      </c>
      <c r="AD10" s="72" t="e">
        <f ca="1">IF(ISNUMBER(SEARCH("na",_xll.SNL.Clients.Office.Excel.Functions.SPG($L10, $AB$3, AD$2))), 0,_xll.SNL.Clients.Office.Excel.Functions.SPG($L10, $AB$3, AD$2))</f>
        <v>#NAME?</v>
      </c>
      <c r="AE10" s="72">
        <f ca="1">IFERROR(_xll.SNL.Clients.Office.Excel.Functions.SPG($L10, $AE$3, AE$2,$AE$4)/1000,0)</f>
        <v>0</v>
      </c>
      <c r="AF10" s="72">
        <f ca="1">IFERROR(_xll.SNL.Clients.Office.Excel.Functions.SPG($L10, $AE$3, AF$2,$AE$4)/1000,0)</f>
        <v>0</v>
      </c>
      <c r="AG10" s="72">
        <f ca="1">IFERROR(_xll.SNL.Clients.Office.Excel.Functions.SPG($L10, $AE$3, AG$2,$AE$4)/1000,0)</f>
        <v>0</v>
      </c>
      <c r="AH10" s="79" t="e">
        <f t="shared" ca="1" si="0"/>
        <v>#NAME?</v>
      </c>
      <c r="AI10" s="74" t="e">
        <f t="shared" ca="1" si="0"/>
        <v>#NAME?</v>
      </c>
      <c r="AJ10" s="80" t="e">
        <f t="shared" ca="1" si="0"/>
        <v>#NAME?</v>
      </c>
      <c r="AK10" s="81" t="e">
        <f ca="1">_xll.SNL.Clients.Office.Excel.Functions.SPG($L10,$AK$3,AK$2,$AL$4, "Options:Curr=USD")</f>
        <v>#NAME?</v>
      </c>
      <c r="AL10" s="82" t="e">
        <f ca="1">_xll.SNL.Clients.Office.Excel.Functions.SPG($L10,$AK$3,AL$2,$AL$4, "Options:Curr=USD")</f>
        <v>#NAME?</v>
      </c>
      <c r="AM10" s="80" t="str">
        <f ca="1">IFERROR(AVERAGE(_xll.SNL.Clients.Office.Excel.Functions.SPG($L10,$AM$4,$AL$4,AM$2),_xll.SNL.Clients.Office.Excel.Functions.SPG($L10,$AM$3,$AL$4,AM$2)),"NA")</f>
        <v>NA</v>
      </c>
      <c r="AO10" s="44" t="s">
        <v>70</v>
      </c>
      <c r="AP10" s="44"/>
      <c r="AQ10" s="83" t="s">
        <v>77</v>
      </c>
      <c r="AR10" s="44"/>
    </row>
    <row r="11" spans="1:44" ht="13.8" x14ac:dyDescent="0.25">
      <c r="A11" s="58" t="e">
        <f ca="1">_xll.SNL.Clients.Office.Excel.Functions.SPG($L11, A$3)</f>
        <v>#NAME?</v>
      </c>
      <c r="B11" s="58" t="e">
        <f ca="1">_xll.BDP($K11,B$3)</f>
        <v>#NAME?</v>
      </c>
      <c r="C11" s="58" t="e">
        <f ca="1">_xll.BDP($K11,C$3)</f>
        <v>#NAME?</v>
      </c>
      <c r="D11" s="58" t="e">
        <f ca="1">_xll.BDP($K11,D$3)</f>
        <v>#NAME?</v>
      </c>
      <c r="E11" s="59" t="s">
        <v>93</v>
      </c>
      <c r="F11" s="59" t="s">
        <v>65</v>
      </c>
      <c r="G11" s="59" t="s">
        <v>66</v>
      </c>
      <c r="H11" s="60" t="e">
        <f ca="1">_xll.SNL.Clients.Office.Excel.Functions.SPG($L11, "IQ_TEV", "Options: Curr=USD")</f>
        <v>#NAME?</v>
      </c>
      <c r="I11" s="60" t="e">
        <f ca="1">_xll.SNL.Clients.Office.Excel.Functions.SPG($L11, "SP_MARKETCAP", "Options: Curr=USD")</f>
        <v>#NAME?</v>
      </c>
      <c r="J11" s="61" t="s">
        <v>94</v>
      </c>
      <c r="K11" s="78" t="s">
        <v>95</v>
      </c>
      <c r="L11" s="78" t="s">
        <v>96</v>
      </c>
      <c r="M11" s="62" t="str" cm="1">
        <f t="array" aca="1" ref="M11" ca="1">IFERROR(_xll.SNL.Clients.Office.Excel.Functions.SPG($L11, $M$3)/100,"NA")</f>
        <v>NA</v>
      </c>
      <c r="N11" s="63" t="e" cm="1">
        <f t="array" aca="1" ref="N11" ca="1">_xll.SNL.Clients.Office.Excel.Functions.SPG($L11, "SP_PCFPS_FWD",N$2)</f>
        <v>#NAME?</v>
      </c>
      <c r="O11" s="64" t="e" cm="1">
        <f t="array" aca="1" ref="O11" ca="1">_xll.SNL.Clients.Office.Excel.Functions.SPG($L11, "SP_PCFPS_FWD",O$2)</f>
        <v>#NAME?</v>
      </c>
      <c r="P11" s="65" t="e" cm="1">
        <f t="array" aca="1" ref="P11" ca="1">_xll.SNL.Clients.Office.Excel.Functions.SPG($L11, "SP_PCFPS_FWD",P$2)</f>
        <v>#NAME?</v>
      </c>
      <c r="Q11" s="66" t="e">
        <f ca="1">_xll.SNL.Clients.Office.Excel.Functions.SPG($L11, "SP_FCF_EST",Q$2, "Options: Curr=USD")/1000/$I11</f>
        <v>#NAME?</v>
      </c>
      <c r="R11" s="66" t="e">
        <f ca="1">_xll.SNL.Clients.Office.Excel.Functions.SPG($L11, "SP_FCF_EST",R$2, "Options: Curr=USD")/1000/$I11</f>
        <v>#NAME?</v>
      </c>
      <c r="S11" s="63" t="e" cm="1">
        <f t="array" aca="1" ref="S11" ca="1">_xll.SNL.Clients.Office.Excel.Functions.SPG($L11, "SP_PE_FWD",S$2)</f>
        <v>#NAME?</v>
      </c>
      <c r="T11" s="64" t="e" cm="1">
        <f t="array" aca="1" ref="T11" ca="1">_xll.SNL.Clients.Office.Excel.Functions.SPG($L11, "SP_PE_FWD",T$2)</f>
        <v>#NAME?</v>
      </c>
      <c r="U11" s="65" t="e" cm="1">
        <f t="array" aca="1" ref="U11" ca="1">_xll.SNL.Clients.Office.Excel.Functions.SPG($L11, "SP_PE_FWD",U$2)</f>
        <v>#NAME?</v>
      </c>
      <c r="V11" s="68" t="e" cm="1">
        <f t="array" aca="1" ref="V11" ca="1">IF((_xll.SNL.Clients.Office.Excel.Functions.SPG($L11,$V$3,V$4,"Options: Curr=USD") / _xll.SNL.Clients.Office.Excel.Functions.SPG($L11,"SP_EBITDA_EST",V$2,"Options: Curr=USD")) &lt; 0, "NM", (_xll.SNL.Clients.Office.Excel.Functions.SPG($L11,$V$3,V$4,"Options: Curr=USD") / _xll.SNL.Clients.Office.Excel.Functions.SPG($L11,"SP_EBITDA_EST",V$2,"Options: Curr=USD")))</f>
        <v>#NAME?</v>
      </c>
      <c r="W11" s="69" t="e" cm="1">
        <f t="array" aca="1" ref="W11" ca="1">_xll.SNL.Clients.Office.Excel.Functions.SPG($L11, $W$3,W$4)</f>
        <v>#NAME?</v>
      </c>
      <c r="X11" s="63" t="e" cm="1">
        <f t="array" aca="1" ref="X11" ca="1">_xll.SNL.Clients.Office.Excel.Functions.SPG($L11, $X$3,X$2)</f>
        <v>#NAME?</v>
      </c>
      <c r="Y11" s="64" t="e" cm="1">
        <f t="array" aca="1" ref="Y11" ca="1">_xll.SNL.Clients.Office.Excel.Functions.SPG($L11, $X$3,Y$2)</f>
        <v>#NAME?</v>
      </c>
      <c r="Z11" s="65" t="e" cm="1">
        <f t="array" aca="1" ref="Z11" ca="1">_xll.SNL.Clients.Office.Excel.Functions.SPG($L11, $X$3,Z$2)</f>
        <v>#NAME?</v>
      </c>
      <c r="AA11" s="70" t="e" cm="1">
        <f t="array" aca="1" ref="AA11" ca="1">_xll.SNL.Clients.Office.Excel.Functions.SPG($L11, $AA$3)</f>
        <v>#NAME?</v>
      </c>
      <c r="AB11" s="71" t="e">
        <f ca="1">IF(ISNUMBER(SEARCH("na",_xll.SNL.Clients.Office.Excel.Functions.SPG($L11, $AB$3, AB$2))), 0,_xll.SNL.Clients.Office.Excel.Functions.SPG($L11, $AB$3, AB$2))</f>
        <v>#NAME?</v>
      </c>
      <c r="AC11" s="72" t="e">
        <f ca="1">IF(ISNUMBER(SEARCH("na",_xll.SNL.Clients.Office.Excel.Functions.SPG($L11, $AB$3, AC$2))), 0,_xll.SNL.Clients.Office.Excel.Functions.SPG($L11, $AB$3, AC$2))</f>
        <v>#NAME?</v>
      </c>
      <c r="AD11" s="72" t="e">
        <f ca="1">IF(ISNUMBER(SEARCH("na",_xll.SNL.Clients.Office.Excel.Functions.SPG($L11, $AB$3, AD$2))), 0,_xll.SNL.Clients.Office.Excel.Functions.SPG($L11, $AB$3, AD$2))</f>
        <v>#NAME?</v>
      </c>
      <c r="AE11" s="72">
        <f ca="1">IFERROR(_xll.SNL.Clients.Office.Excel.Functions.SPG($L11, $AE$3, AE$2,$AE$4)/1000,0)</f>
        <v>0</v>
      </c>
      <c r="AF11" s="72">
        <f ca="1">IFERROR(_xll.SNL.Clients.Office.Excel.Functions.SPG($L11, $AE$3, AF$2,$AE$4)/1000,0)</f>
        <v>0</v>
      </c>
      <c r="AG11" s="72">
        <f ca="1">IFERROR(_xll.SNL.Clients.Office.Excel.Functions.SPG($L11, $AE$3, AG$2,$AE$4)/1000,0)</f>
        <v>0</v>
      </c>
      <c r="AH11" s="79" t="e">
        <f t="shared" ca="1" si="0"/>
        <v>#NAME?</v>
      </c>
      <c r="AI11" s="74" t="e">
        <f t="shared" ca="1" si="0"/>
        <v>#NAME?</v>
      </c>
      <c r="AJ11" s="80" t="e">
        <f t="shared" ca="1" si="0"/>
        <v>#NAME?</v>
      </c>
      <c r="AK11" s="81" t="e">
        <f ca="1">_xll.SNL.Clients.Office.Excel.Functions.SPG($L11,$AK$3,AK$2,$AL$4, "Options:Curr=USD")</f>
        <v>#NAME?</v>
      </c>
      <c r="AL11" s="82" t="e">
        <f ca="1">_xll.SNL.Clients.Office.Excel.Functions.SPG($L11,$AK$3,AL$2,$AL$4, "Options:Curr=USD")</f>
        <v>#NAME?</v>
      </c>
      <c r="AM11" s="80" t="str">
        <f ca="1">IFERROR(AVERAGE(_xll.SNL.Clients.Office.Excel.Functions.SPG($L11,$AM$4,$AL$4,AM$2),_xll.SNL.Clients.Office.Excel.Functions.SPG($L11,$AM$3,$AL$4,AM$2)),"NA")</f>
        <v>NA</v>
      </c>
      <c r="AO11" s="44" t="s">
        <v>70</v>
      </c>
      <c r="AP11" s="44"/>
      <c r="AQ11" s="44" t="s">
        <v>71</v>
      </c>
      <c r="AR11" s="44"/>
    </row>
    <row r="12" spans="1:44" ht="13.8" x14ac:dyDescent="0.25">
      <c r="A12" s="58" t="e">
        <f ca="1">_xll.SNL.Clients.Office.Excel.Functions.SPG($L12, A$3)</f>
        <v>#NAME?</v>
      </c>
      <c r="B12" s="58" t="e">
        <f ca="1">_xll.BDP($K12,B$3)</f>
        <v>#NAME?</v>
      </c>
      <c r="C12" s="58" t="e">
        <f ca="1">_xll.BDP($K12,C$3)</f>
        <v>#NAME?</v>
      </c>
      <c r="D12" s="58" t="e">
        <f ca="1">_xll.BDP($K12,D$3)</f>
        <v>#NAME?</v>
      </c>
      <c r="E12" s="59" t="s">
        <v>78</v>
      </c>
      <c r="F12" s="59" t="s">
        <v>65</v>
      </c>
      <c r="G12" s="59" t="s">
        <v>73</v>
      </c>
      <c r="H12" s="60" t="e">
        <f ca="1">_xll.SNL.Clients.Office.Excel.Functions.SPG($L12, "IQ_TEV", "Options: Curr=USD")</f>
        <v>#NAME?</v>
      </c>
      <c r="I12" s="60" t="e">
        <f ca="1">_xll.SNL.Clients.Office.Excel.Functions.SPG($L12, "SP_MARKETCAP", "Options: Curr=USD")</f>
        <v>#NAME?</v>
      </c>
      <c r="J12" s="84" t="s">
        <v>97</v>
      </c>
      <c r="K12" s="85" t="s">
        <v>98</v>
      </c>
      <c r="L12" s="85" t="s">
        <v>99</v>
      </c>
      <c r="M12" s="62" t="str" cm="1">
        <f t="array" aca="1" ref="M12" ca="1">IFERROR(_xll.SNL.Clients.Office.Excel.Functions.SPG($L12, $M$3)/100,"NA")</f>
        <v>NA</v>
      </c>
      <c r="N12" s="63" t="e" cm="1">
        <f t="array" aca="1" ref="N12" ca="1">_xll.SNL.Clients.Office.Excel.Functions.SPG($L12, "SP_PCFPS_FWD",N$2)</f>
        <v>#NAME?</v>
      </c>
      <c r="O12" s="64" t="e" cm="1">
        <f t="array" aca="1" ref="O12" ca="1">_xll.SNL.Clients.Office.Excel.Functions.SPG($L12, "SP_PCFPS_FWD",O$2)</f>
        <v>#NAME?</v>
      </c>
      <c r="P12" s="65" t="e" cm="1">
        <f t="array" aca="1" ref="P12" ca="1">_xll.SNL.Clients.Office.Excel.Functions.SPG($L12, "SP_PCFPS_FWD",P$2)</f>
        <v>#NAME?</v>
      </c>
      <c r="Q12" s="66" t="e">
        <f ca="1">_xll.SNL.Clients.Office.Excel.Functions.SPG($L12, "SP_FCF_EST",Q$2, "Options: Curr=USD")/1000/$I12</f>
        <v>#NAME?</v>
      </c>
      <c r="R12" s="66" t="e">
        <f ca="1">_xll.SNL.Clients.Office.Excel.Functions.SPG($L12, "SP_FCF_EST",R$2, "Options: Curr=USD")/1000/$I12</f>
        <v>#NAME?</v>
      </c>
      <c r="S12" s="63" t="e" cm="1">
        <f t="array" aca="1" ref="S12" ca="1">_xll.SNL.Clients.Office.Excel.Functions.SPG($L12, "SP_PE_FWD",S$2)</f>
        <v>#NAME?</v>
      </c>
      <c r="T12" s="64" t="e" cm="1">
        <f t="array" aca="1" ref="T12" ca="1">_xll.SNL.Clients.Office.Excel.Functions.SPG($L12, "SP_PE_FWD",T$2)</f>
        <v>#NAME?</v>
      </c>
      <c r="U12" s="65" t="e" cm="1">
        <f t="array" aca="1" ref="U12" ca="1">_xll.SNL.Clients.Office.Excel.Functions.SPG($L12, "SP_PE_FWD",U$2)</f>
        <v>#NAME?</v>
      </c>
      <c r="V12" s="68" t="e" cm="1">
        <f t="array" aca="1" ref="V12" ca="1">IF((_xll.SNL.Clients.Office.Excel.Functions.SPG($L12,$V$3,V$4,"Options: Curr=USD") / _xll.SNL.Clients.Office.Excel.Functions.SPG($L12,"SP_EBITDA_EST",V$2,"Options: Curr=USD")) &lt; 0, "NM", (_xll.SNL.Clients.Office.Excel.Functions.SPG($L12,$V$3,V$4,"Options: Curr=USD") / _xll.SNL.Clients.Office.Excel.Functions.SPG($L12,"SP_EBITDA_EST",V$2,"Options: Curr=USD")))</f>
        <v>#NAME?</v>
      </c>
      <c r="W12" s="69" t="e" cm="1">
        <f t="array" aca="1" ref="W12" ca="1">_xll.SNL.Clients.Office.Excel.Functions.SPG($L12, $W$3,W$4)</f>
        <v>#NAME?</v>
      </c>
      <c r="X12" s="63" t="e" cm="1">
        <f t="array" aca="1" ref="X12" ca="1">_xll.SNL.Clients.Office.Excel.Functions.SPG($L12, $X$3,X$2)</f>
        <v>#NAME?</v>
      </c>
      <c r="Y12" s="64" t="e" cm="1">
        <f t="array" aca="1" ref="Y12" ca="1">_xll.SNL.Clients.Office.Excel.Functions.SPG($L12, $X$3,Y$2)</f>
        <v>#NAME?</v>
      </c>
      <c r="Z12" s="65" t="e" cm="1">
        <f t="array" aca="1" ref="Z12" ca="1">_xll.SNL.Clients.Office.Excel.Functions.SPG($L12, $X$3,Z$2)</f>
        <v>#NAME?</v>
      </c>
      <c r="AA12" s="70" t="e" cm="1">
        <f t="array" aca="1" ref="AA12" ca="1">_xll.SNL.Clients.Office.Excel.Functions.SPG($L12, $AA$3)</f>
        <v>#NAME?</v>
      </c>
      <c r="AB12" s="71" t="e">
        <f ca="1">IF(ISNUMBER(SEARCH("na",_xll.SNL.Clients.Office.Excel.Functions.SPG($L12, $AB$3, AB$2))), 0,_xll.SNL.Clients.Office.Excel.Functions.SPG($L12, $AB$3, AB$2))</f>
        <v>#NAME?</v>
      </c>
      <c r="AC12" s="72" t="e">
        <f ca="1">IF(ISNUMBER(SEARCH("na",_xll.SNL.Clients.Office.Excel.Functions.SPG($L12, $AB$3, AC$2))), 0,_xll.SNL.Clients.Office.Excel.Functions.SPG($L12, $AB$3, AC$2))</f>
        <v>#NAME?</v>
      </c>
      <c r="AD12" s="72" t="e">
        <f ca="1">IF(ISNUMBER(SEARCH("na",_xll.SNL.Clients.Office.Excel.Functions.SPG($L12, $AB$3, AD$2))), 0,_xll.SNL.Clients.Office.Excel.Functions.SPG($L12, $AB$3, AD$2))</f>
        <v>#NAME?</v>
      </c>
      <c r="AE12" s="72">
        <f ca="1">IFERROR(_xll.SNL.Clients.Office.Excel.Functions.SPG($L12, $AE$3, AE$2,$AE$4)/1000,0)</f>
        <v>0</v>
      </c>
      <c r="AF12" s="72">
        <f ca="1">IFERROR(_xll.SNL.Clients.Office.Excel.Functions.SPG($L12, $AE$3, AF$2,$AE$4)/1000,0)</f>
        <v>0</v>
      </c>
      <c r="AG12" s="72">
        <f ca="1">IFERROR(_xll.SNL.Clients.Office.Excel.Functions.SPG($L12, $AE$3, AG$2,$AE$4)/1000,0)</f>
        <v>0</v>
      </c>
      <c r="AH12" s="79" t="e">
        <f t="shared" ca="1" si="0"/>
        <v>#NAME?</v>
      </c>
      <c r="AI12" s="74" t="e">
        <f t="shared" ca="1" si="0"/>
        <v>#NAME?</v>
      </c>
      <c r="AJ12" s="80" t="e">
        <f t="shared" ca="1" si="0"/>
        <v>#NAME?</v>
      </c>
      <c r="AK12" s="81" t="e">
        <f ca="1">_xll.SNL.Clients.Office.Excel.Functions.SPG($L12,$AK$3,AK$2,$AL$4, "Options:Curr=USD")</f>
        <v>#NAME?</v>
      </c>
      <c r="AL12" s="82" t="e">
        <f ca="1">_xll.SNL.Clients.Office.Excel.Functions.SPG($L12,$AK$3,AL$2,$AL$4, "Options:Curr=USD")</f>
        <v>#NAME?</v>
      </c>
      <c r="AM12" s="80" t="str">
        <f ca="1">IFERROR(AVERAGE(_xll.SNL.Clients.Office.Excel.Functions.SPG($L12,$AM$4,$AL$4,AM$2),_xll.SNL.Clients.Office.Excel.Functions.SPG($L12,$AM$3,$AL$4,AM$2)),"NA")</f>
        <v>NA</v>
      </c>
      <c r="AO12" s="86" t="s">
        <v>70</v>
      </c>
      <c r="AP12" s="86"/>
      <c r="AQ12" s="87" t="s">
        <v>77</v>
      </c>
      <c r="AR12" s="86"/>
    </row>
    <row r="13" spans="1:44" x14ac:dyDescent="0.25">
      <c r="A13" s="58"/>
      <c r="B13" s="58"/>
      <c r="C13" s="58"/>
      <c r="D13" s="58"/>
      <c r="E13" s="58"/>
      <c r="F13" s="58"/>
      <c r="G13" s="58"/>
      <c r="J13" s="88"/>
      <c r="K13" s="88"/>
      <c r="L13" s="88" t="s">
        <v>100</v>
      </c>
      <c r="M13" s="89" t="e" cm="1">
        <f t="array" aca="1" ref="M13" ca="1">AVERAGE(IFERROR(M6:M12, ""))</f>
        <v>#DIV/0!</v>
      </c>
      <c r="N13" s="90" t="e" cm="1">
        <f t="array" aca="1" ref="N13" ca="1">AVERAGE(IFERROR(N6:N12, ""))</f>
        <v>#DIV/0!</v>
      </c>
      <c r="O13" s="91" t="e" cm="1">
        <f t="array" aca="1" ref="O13" ca="1">AVERAGE(IFERROR(O6:O12, ""))</f>
        <v>#DIV/0!</v>
      </c>
      <c r="P13" s="92" t="e" cm="1">
        <f t="array" aca="1" ref="P13" ca="1">AVERAGE(IFERROR(P6:P12, ""))</f>
        <v>#DIV/0!</v>
      </c>
      <c r="Q13" s="91" t="e" cm="1">
        <f t="array" aca="1" ref="Q13" ca="1">AVERAGE(IFERROR(Q6:Q12, ""))</f>
        <v>#DIV/0!</v>
      </c>
      <c r="R13" s="91" t="e" cm="1">
        <f t="array" aca="1" ref="R13" ca="1">AVERAGE(IFERROR(R6:R12, ""))</f>
        <v>#DIV/0!</v>
      </c>
      <c r="S13" s="90" t="e" cm="1">
        <f t="array" aca="1" ref="S13" ca="1">AVERAGE(IFERROR(S6:S12, ""))</f>
        <v>#DIV/0!</v>
      </c>
      <c r="T13" s="91" t="e" cm="1">
        <f t="array" aca="1" ref="T13" ca="1">AVERAGE(IFERROR(T6:T12, ""))</f>
        <v>#DIV/0!</v>
      </c>
      <c r="U13" s="92" t="e" cm="1">
        <f t="array" aca="1" ref="U13" ca="1">AVERAGE(IFERROR(U6:U12, ""))</f>
        <v>#DIV/0!</v>
      </c>
      <c r="V13" s="91"/>
      <c r="W13" s="91"/>
      <c r="X13" s="91" t="e" cm="1">
        <f t="array" aca="1" ref="X13" ca="1">AVERAGE(IFERROR(X6:X12, ""))</f>
        <v>#DIV/0!</v>
      </c>
      <c r="Y13" s="91" t="e" cm="1">
        <f t="array" aca="1" ref="Y13" ca="1">AVERAGE(IFERROR(Y6:Y12, ""))</f>
        <v>#DIV/0!</v>
      </c>
      <c r="Z13" s="91" t="e" cm="1">
        <f t="array" aca="1" ref="Z13" ca="1">AVERAGE(IFERROR(Z6:Z12, ""))</f>
        <v>#DIV/0!</v>
      </c>
      <c r="AA13" s="93" t="e" cm="1">
        <f t="array" aca="1" ref="AA13" ca="1">AVERAGE(IFERROR(AA6:AA12, ""))</f>
        <v>#DIV/0!</v>
      </c>
      <c r="AB13" s="94" t="e" cm="1">
        <f t="array" aca="1" ref="AB13" ca="1">AVERAGE(IFERROR(AB6:AB12, ""))</f>
        <v>#DIV/0!</v>
      </c>
      <c r="AC13" s="94" t="e" cm="1">
        <f t="array" aca="1" ref="AC13" ca="1">AVERAGE(IFERROR(AC6:AC12, ""))</f>
        <v>#DIV/0!</v>
      </c>
      <c r="AD13" s="94" t="e" cm="1">
        <f t="array" aca="1" ref="AD13" ca="1">AVERAGE(IFERROR(AD6:AD12, ""))</f>
        <v>#DIV/0!</v>
      </c>
      <c r="AE13" s="95"/>
      <c r="AF13" s="95"/>
      <c r="AH13" s="91" t="e" cm="1">
        <f t="array" aca="1" ref="AH13" ca="1">AVERAGE(IFERROR(AH6:AH12, ""))</f>
        <v>#DIV/0!</v>
      </c>
      <c r="AI13" s="91" t="e" cm="1">
        <f t="array" aca="1" ref="AI13" ca="1">AVERAGE(IFERROR(AI6:AI12, ""))</f>
        <v>#DIV/0!</v>
      </c>
      <c r="AJ13" s="91" t="e" cm="1">
        <f t="array" aca="1" ref="AJ13" ca="1">AVERAGE(IFERROR(AJ6:AJ12, ""))</f>
        <v>#DIV/0!</v>
      </c>
      <c r="AK13" s="90" t="e" cm="1">
        <f t="array" aca="1" ref="AK13" ca="1">AVERAGE(IFERROR(AK6:AK12, ""))</f>
        <v>#DIV/0!</v>
      </c>
      <c r="AL13" s="91" t="e" cm="1">
        <f t="array" aca="1" ref="AL13" ca="1">AVERAGE(IFERROR(AL6:AL12, ""))</f>
        <v>#DIV/0!</v>
      </c>
      <c r="AM13" s="92" t="e" cm="1">
        <f t="array" aca="1" ref="AM13" ca="1">AVERAGE(IFERROR(AM6:AM12, ""))</f>
        <v>#DIV/0!</v>
      </c>
    </row>
    <row r="14" spans="1:44" x14ac:dyDescent="0.25">
      <c r="A14" s="58"/>
      <c r="B14" s="58"/>
      <c r="C14" s="58"/>
      <c r="D14" s="58"/>
      <c r="E14" s="58"/>
      <c r="F14" s="58"/>
      <c r="G14" s="58"/>
      <c r="AE14" s="96"/>
      <c r="AF14" s="96"/>
      <c r="AG14" s="97"/>
      <c r="AH14" s="96"/>
      <c r="AI14" s="96"/>
      <c r="AJ14" s="96"/>
    </row>
    <row r="15" spans="1:44" x14ac:dyDescent="0.25">
      <c r="A15" s="58"/>
      <c r="B15" s="58"/>
      <c r="C15" s="58"/>
      <c r="D15" s="58"/>
      <c r="E15" s="58"/>
      <c r="F15" s="58"/>
      <c r="G15" s="58"/>
    </row>
    <row r="16" spans="1:44" x14ac:dyDescent="0.25">
      <c r="A16" s="58"/>
      <c r="B16" s="58"/>
      <c r="C16" s="58"/>
      <c r="D16" s="58"/>
      <c r="E16" s="58"/>
      <c r="F16" s="58"/>
      <c r="G16" s="58"/>
    </row>
    <row r="17" spans="1:7" x14ac:dyDescent="0.25">
      <c r="A17" s="58"/>
      <c r="B17" s="58"/>
      <c r="C17" s="58"/>
      <c r="D17" s="58"/>
      <c r="E17" s="58"/>
      <c r="F17" s="58"/>
      <c r="G17" s="58"/>
    </row>
    <row r="18" spans="1:7" x14ac:dyDescent="0.25">
      <c r="A18" s="58"/>
      <c r="B18" s="58"/>
      <c r="C18" s="58"/>
      <c r="D18" s="58"/>
      <c r="E18" s="58"/>
      <c r="F18" s="58"/>
      <c r="G18" s="58"/>
    </row>
    <row r="19" spans="1:7" x14ac:dyDescent="0.25">
      <c r="A19" s="58"/>
      <c r="B19" s="58"/>
      <c r="C19" s="58"/>
      <c r="D19" s="58"/>
      <c r="E19" s="58"/>
      <c r="F19" s="58"/>
      <c r="G19" s="58"/>
    </row>
    <row r="20" spans="1:7" x14ac:dyDescent="0.25">
      <c r="A20" s="58"/>
      <c r="B20" s="58"/>
      <c r="C20" s="58"/>
      <c r="D20" s="58"/>
      <c r="E20" s="58"/>
      <c r="F20" s="58"/>
      <c r="G20" s="58"/>
    </row>
    <row r="21" spans="1:7" x14ac:dyDescent="0.25">
      <c r="A21" s="58"/>
      <c r="B21" s="58"/>
      <c r="C21" s="58"/>
      <c r="D21" s="58"/>
      <c r="E21" s="58"/>
      <c r="F21" s="58"/>
      <c r="G21" s="58"/>
    </row>
    <row r="22" spans="1:7" x14ac:dyDescent="0.25">
      <c r="A22" s="58"/>
      <c r="B22" s="58"/>
      <c r="C22" s="58"/>
      <c r="D22" s="58"/>
      <c r="E22" s="58"/>
      <c r="F22" s="58"/>
      <c r="G22" s="58"/>
    </row>
    <row r="23" spans="1:7" x14ac:dyDescent="0.25">
      <c r="A23" s="58"/>
      <c r="B23" s="58"/>
      <c r="C23" s="58"/>
      <c r="D23" s="58"/>
      <c r="E23" s="58"/>
      <c r="F23" s="58"/>
      <c r="G23" s="58"/>
    </row>
    <row r="24" spans="1:7" x14ac:dyDescent="0.25">
      <c r="A24" s="58"/>
      <c r="B24" s="58"/>
      <c r="C24" s="58"/>
      <c r="D24" s="58"/>
      <c r="E24" s="58"/>
      <c r="F24" s="58"/>
      <c r="G24" s="58"/>
    </row>
    <row r="25" spans="1:7" x14ac:dyDescent="0.25">
      <c r="A25" s="58"/>
      <c r="B25" s="58"/>
      <c r="C25" s="58"/>
      <c r="D25" s="58"/>
      <c r="E25" s="58"/>
      <c r="F25" s="58"/>
      <c r="G25" s="58"/>
    </row>
    <row r="28" spans="1:7" x14ac:dyDescent="0.25">
      <c r="A28" s="58"/>
      <c r="B28" s="58"/>
      <c r="C28" s="58"/>
      <c r="D28" s="58"/>
      <c r="E28" s="58"/>
      <c r="F28" s="58"/>
      <c r="G28" s="58"/>
    </row>
    <row r="29" spans="1:7" x14ac:dyDescent="0.25">
      <c r="A29" s="58"/>
      <c r="B29" s="58"/>
      <c r="C29" s="58"/>
      <c r="D29" s="58"/>
      <c r="E29" s="58"/>
      <c r="F29" s="58"/>
      <c r="G29" s="58"/>
    </row>
    <row r="30" spans="1:7" x14ac:dyDescent="0.25">
      <c r="A30" s="58"/>
      <c r="B30" s="58"/>
      <c r="C30" s="58"/>
      <c r="D30" s="58"/>
      <c r="E30" s="58"/>
      <c r="F30" s="58"/>
      <c r="G30" s="58"/>
    </row>
    <row r="31" spans="1:7" x14ac:dyDescent="0.25">
      <c r="A31" s="58"/>
      <c r="B31" s="58"/>
      <c r="C31" s="58"/>
      <c r="D31" s="58"/>
      <c r="E31" s="58"/>
      <c r="F31" s="58"/>
      <c r="G31" s="58"/>
    </row>
    <row r="32" spans="1:7" x14ac:dyDescent="0.25">
      <c r="A32" s="58"/>
      <c r="B32" s="58"/>
      <c r="C32" s="58"/>
      <c r="D32" s="58"/>
      <c r="E32" s="58"/>
      <c r="F32" s="58"/>
      <c r="G32" s="58"/>
    </row>
    <row r="33" spans="1:7" x14ac:dyDescent="0.25">
      <c r="A33" s="58"/>
      <c r="B33" s="58"/>
      <c r="C33" s="58"/>
      <c r="D33" s="58"/>
      <c r="E33" s="58"/>
      <c r="F33" s="58"/>
      <c r="G33" s="58"/>
    </row>
    <row r="34" spans="1:7" x14ac:dyDescent="0.25">
      <c r="A34" s="58"/>
      <c r="B34" s="58"/>
      <c r="C34" s="58"/>
      <c r="D34" s="58"/>
      <c r="E34" s="58"/>
      <c r="F34" s="58"/>
      <c r="G34" s="58"/>
    </row>
    <row r="35" spans="1:7" x14ac:dyDescent="0.25">
      <c r="A35" s="58"/>
      <c r="B35" s="58"/>
      <c r="C35" s="58"/>
      <c r="D35" s="58"/>
      <c r="E35" s="58"/>
      <c r="F35" s="58"/>
      <c r="G35" s="58"/>
    </row>
    <row r="36" spans="1:7" x14ac:dyDescent="0.25">
      <c r="A36" s="58"/>
      <c r="B36" s="58"/>
      <c r="C36" s="58"/>
      <c r="D36" s="58"/>
      <c r="E36" s="58"/>
      <c r="F36" s="58"/>
      <c r="G36" s="58"/>
    </row>
    <row r="37" spans="1:7" x14ac:dyDescent="0.25">
      <c r="A37" s="58"/>
      <c r="B37" s="58"/>
      <c r="C37" s="58"/>
      <c r="D37" s="58"/>
      <c r="E37" s="58"/>
      <c r="F37" s="58"/>
      <c r="G37" s="58"/>
    </row>
    <row r="38" spans="1:7" x14ac:dyDescent="0.25">
      <c r="A38" s="58"/>
      <c r="B38" s="58"/>
      <c r="C38" s="58"/>
      <c r="D38" s="58"/>
      <c r="E38" s="58"/>
      <c r="F38" s="58"/>
      <c r="G38" s="58"/>
    </row>
    <row r="39" spans="1:7" x14ac:dyDescent="0.25">
      <c r="A39" s="58"/>
      <c r="B39" s="58"/>
      <c r="C39" s="58"/>
      <c r="D39" s="58"/>
      <c r="E39" s="58"/>
      <c r="F39" s="58"/>
      <c r="G39" s="58"/>
    </row>
    <row r="40" spans="1:7" x14ac:dyDescent="0.25">
      <c r="A40" s="58"/>
      <c r="B40" s="58"/>
      <c r="C40" s="58"/>
      <c r="D40" s="58"/>
      <c r="E40" s="58"/>
      <c r="F40" s="58"/>
      <c r="G40" s="58"/>
    </row>
    <row r="41" spans="1:7" x14ac:dyDescent="0.25">
      <c r="A41" s="58"/>
      <c r="B41" s="58"/>
      <c r="C41" s="58"/>
      <c r="D41" s="58"/>
      <c r="E41" s="58"/>
      <c r="F41" s="58"/>
      <c r="G41" s="58"/>
    </row>
    <row r="42" spans="1:7" x14ac:dyDescent="0.25">
      <c r="A42" s="58"/>
      <c r="B42" s="58"/>
      <c r="C42" s="58"/>
      <c r="D42" s="58"/>
      <c r="E42" s="58"/>
      <c r="F42" s="58"/>
      <c r="G42" s="58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58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x14ac:dyDescent="0.25">
      <c r="A46" s="58"/>
      <c r="B46" s="58"/>
      <c r="C46" s="58"/>
      <c r="D46" s="58"/>
      <c r="E46" s="58"/>
      <c r="F46" s="58"/>
      <c r="G46" s="58"/>
    </row>
    <row r="47" spans="1:7" x14ac:dyDescent="0.25">
      <c r="A47" s="58"/>
      <c r="B47" s="58"/>
      <c r="C47" s="58"/>
      <c r="D47" s="58"/>
      <c r="E47" s="58"/>
      <c r="F47" s="58"/>
      <c r="G47" s="58"/>
    </row>
    <row r="48" spans="1:7" x14ac:dyDescent="0.25">
      <c r="A48" s="58"/>
      <c r="B48" s="58"/>
      <c r="C48" s="58"/>
      <c r="D48" s="58"/>
      <c r="E48" s="58"/>
      <c r="F48" s="58"/>
      <c r="G48" s="58"/>
    </row>
    <row r="49" spans="1:7" x14ac:dyDescent="0.25">
      <c r="A49" s="58"/>
      <c r="B49" s="58"/>
      <c r="C49" s="58"/>
      <c r="D49" s="58"/>
      <c r="E49" s="58"/>
      <c r="F49" s="58"/>
      <c r="G49" s="58"/>
    </row>
    <row r="50" spans="1:7" x14ac:dyDescent="0.25">
      <c r="A50" s="58"/>
      <c r="B50" s="58"/>
      <c r="C50" s="58"/>
      <c r="D50" s="58"/>
      <c r="E50" s="58"/>
      <c r="F50" s="58"/>
      <c r="G50" s="58"/>
    </row>
    <row r="51" spans="1:7" x14ac:dyDescent="0.25">
      <c r="A51" s="58"/>
      <c r="B51" s="58"/>
      <c r="C51" s="58"/>
      <c r="D51" s="58"/>
      <c r="E51" s="58"/>
      <c r="F51" s="58"/>
      <c r="G51" s="58"/>
    </row>
    <row r="52" spans="1:7" x14ac:dyDescent="0.25">
      <c r="A52" s="58"/>
      <c r="B52" s="58"/>
      <c r="C52" s="58"/>
      <c r="D52" s="58"/>
      <c r="E52" s="58"/>
      <c r="F52" s="58"/>
      <c r="G52" s="58"/>
    </row>
    <row r="53" spans="1:7" x14ac:dyDescent="0.25">
      <c r="A53" s="58"/>
      <c r="B53" s="58"/>
      <c r="C53" s="58"/>
      <c r="D53" s="58"/>
      <c r="E53" s="58"/>
      <c r="F53" s="58"/>
      <c r="G53" s="58"/>
    </row>
    <row r="54" spans="1:7" x14ac:dyDescent="0.25">
      <c r="A54" s="58"/>
      <c r="B54" s="58"/>
      <c r="C54" s="58"/>
      <c r="D54" s="58"/>
      <c r="E54" s="58"/>
      <c r="F54" s="58"/>
      <c r="G54" s="58"/>
    </row>
    <row r="55" spans="1:7" x14ac:dyDescent="0.25">
      <c r="A55" s="58"/>
      <c r="B55" s="58"/>
      <c r="C55" s="58"/>
      <c r="D55" s="58"/>
      <c r="E55" s="58"/>
      <c r="F55" s="58"/>
      <c r="G55" s="58"/>
    </row>
    <row r="56" spans="1:7" x14ac:dyDescent="0.25">
      <c r="A56" s="58"/>
      <c r="B56" s="58"/>
      <c r="C56" s="58"/>
      <c r="D56" s="58"/>
      <c r="E56" s="58"/>
      <c r="F56" s="58"/>
      <c r="G56" s="58"/>
    </row>
    <row r="57" spans="1:7" x14ac:dyDescent="0.25">
      <c r="A57" s="58"/>
      <c r="B57" s="58"/>
      <c r="C57" s="58"/>
      <c r="D57" s="58"/>
      <c r="E57" s="58"/>
      <c r="F57" s="58"/>
      <c r="G57" s="58"/>
    </row>
    <row r="58" spans="1:7" x14ac:dyDescent="0.25">
      <c r="A58" s="58"/>
      <c r="B58" s="58"/>
      <c r="C58" s="58"/>
      <c r="D58" s="58"/>
      <c r="E58" s="58"/>
      <c r="F58" s="58"/>
      <c r="G58" s="58"/>
    </row>
    <row r="59" spans="1:7" x14ac:dyDescent="0.25">
      <c r="A59" s="58"/>
      <c r="B59" s="58"/>
      <c r="C59" s="58"/>
      <c r="D59" s="58"/>
      <c r="E59" s="58"/>
      <c r="F59" s="58"/>
      <c r="G59" s="58"/>
    </row>
    <row r="60" spans="1:7" x14ac:dyDescent="0.25">
      <c r="A60" s="58"/>
      <c r="B60" s="58"/>
      <c r="C60" s="58"/>
      <c r="D60" s="58"/>
      <c r="E60" s="58"/>
      <c r="F60" s="58"/>
      <c r="G60" s="58"/>
    </row>
    <row r="61" spans="1:7" x14ac:dyDescent="0.25">
      <c r="A61" s="58"/>
      <c r="B61" s="58"/>
      <c r="C61" s="58"/>
      <c r="D61" s="58"/>
      <c r="E61" s="58"/>
      <c r="F61" s="58"/>
      <c r="G61" s="58"/>
    </row>
    <row r="62" spans="1:7" x14ac:dyDescent="0.25">
      <c r="A62" s="58"/>
      <c r="B62" s="58"/>
      <c r="C62" s="58"/>
      <c r="D62" s="58"/>
      <c r="E62" s="58"/>
      <c r="F62" s="58"/>
      <c r="G62" s="58"/>
    </row>
    <row r="63" spans="1:7" x14ac:dyDescent="0.25">
      <c r="A63" s="58"/>
      <c r="B63" s="58"/>
      <c r="C63" s="58"/>
      <c r="D63" s="58"/>
      <c r="E63" s="58"/>
      <c r="F63" s="58"/>
      <c r="G63" s="58"/>
    </row>
    <row r="65" spans="1:7" x14ac:dyDescent="0.25">
      <c r="A65" s="97"/>
      <c r="B65" s="97"/>
      <c r="C65" s="97"/>
      <c r="D65" s="97"/>
      <c r="E65" s="97"/>
      <c r="F65" s="97"/>
      <c r="G65" s="97"/>
    </row>
  </sheetData>
  <mergeCells count="15">
    <mergeCell ref="AB1:AD1"/>
    <mergeCell ref="AH1:AJ1"/>
    <mergeCell ref="AK1:AM1"/>
    <mergeCell ref="I1:I2"/>
    <mergeCell ref="M1:M2"/>
    <mergeCell ref="N1:P1"/>
    <mergeCell ref="Q1:R1"/>
    <mergeCell ref="S1:U1"/>
    <mergeCell ref="X1:Z1"/>
    <mergeCell ref="A1:A2"/>
    <mergeCell ref="B1:B2"/>
    <mergeCell ref="C1:C2"/>
    <mergeCell ref="E1:E2"/>
    <mergeCell ref="F1:F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Iron 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SU</dc:creator>
  <cp:lastModifiedBy>H SU</cp:lastModifiedBy>
  <dcterms:created xsi:type="dcterms:W3CDTF">2026-02-20T13:12:02Z</dcterms:created>
  <dcterms:modified xsi:type="dcterms:W3CDTF">2026-02-20T13:12:03Z</dcterms:modified>
</cp:coreProperties>
</file>