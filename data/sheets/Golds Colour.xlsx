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FA641531-F1AA-4883-8D35-CC0EF4E9A4C5}" xr6:coauthVersionLast="47" xr6:coauthVersionMax="47" xr10:uidLastSave="{00000000-0000-0000-0000-000000000000}"/>
  <bookViews>
    <workbookView xWindow="-108" yWindow="-108" windowWidth="23256" windowHeight="12456" xr2:uid="{EE0AE8E4-A333-4A97-9776-5A2EF301FD15}"/>
  </bookViews>
  <sheets>
    <sheet name="Golds Colour" sheetId="1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_xlnm.Print_Area" localSheetId="0">'Golds Colour'!$B$2:$F$66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6" i="1" l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51" i="1"/>
  <c r="F51" i="1"/>
  <c r="E51" i="1"/>
  <c r="D51" i="1"/>
  <c r="C51" i="1"/>
  <c r="G50" i="1"/>
  <c r="F50" i="1"/>
  <c r="E50" i="1"/>
  <c r="D50" i="1"/>
  <c r="C50" i="1"/>
  <c r="G49" i="1"/>
  <c r="F49" i="1"/>
  <c r="E49" i="1"/>
  <c r="D49" i="1"/>
  <c r="C49" i="1"/>
  <c r="G48" i="1"/>
  <c r="F48" i="1"/>
  <c r="E48" i="1"/>
  <c r="D48" i="1"/>
  <c r="C48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C35" i="1"/>
  <c r="G34" i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<sst xmlns="http://schemas.openxmlformats.org/spreadsheetml/2006/main" count="72" uniqueCount="71">
  <si>
    <t>Conviction</t>
  </si>
  <si>
    <t>P/NAV 25 Filter</t>
  </si>
  <si>
    <t>P/CF 25 Filter</t>
  </si>
  <si>
    <t>EV/Prodn 25 filter</t>
  </si>
  <si>
    <t>EV/Reserves filter</t>
  </si>
  <si>
    <t>P/NAV v historical since 2018</t>
  </si>
  <si>
    <t>Senior Producers</t>
  </si>
  <si>
    <t>Agnico Eagle</t>
  </si>
  <si>
    <t>AngloGold</t>
  </si>
  <si>
    <t>Barrick</t>
  </si>
  <si>
    <t>Gold Fields</t>
  </si>
  <si>
    <t>Kinross</t>
  </si>
  <si>
    <t>Newmont</t>
  </si>
  <si>
    <t>Northern Star</t>
  </si>
  <si>
    <t>Intermediate Producers</t>
  </si>
  <si>
    <t>Alamos</t>
  </si>
  <si>
    <t>Allied Gold</t>
  </si>
  <si>
    <t>Buy</t>
  </si>
  <si>
    <t>B2Gold</t>
  </si>
  <si>
    <t>Centerra</t>
  </si>
  <si>
    <t>Coeur Mining</t>
  </si>
  <si>
    <t>Dundee Precious Metals</t>
  </si>
  <si>
    <t>Eldorado</t>
  </si>
  <si>
    <t>Endeavour Mining</t>
  </si>
  <si>
    <t>Equinox Gold</t>
  </si>
  <si>
    <t>Evolution Mining</t>
  </si>
  <si>
    <t>Fresnillo PLC</t>
  </si>
  <si>
    <t>Harmony</t>
  </si>
  <si>
    <t>Hecla</t>
  </si>
  <si>
    <t>IAMGOLD</t>
  </si>
  <si>
    <t>Lundin Gold</t>
  </si>
  <si>
    <t>New Gold</t>
  </si>
  <si>
    <t>OceanaGold</t>
  </si>
  <si>
    <t>Pan American Silver</t>
  </si>
  <si>
    <t>Perseus</t>
  </si>
  <si>
    <t>Regis</t>
  </si>
  <si>
    <t>Sibanye Gold</t>
  </si>
  <si>
    <t>SSR Mining</t>
  </si>
  <si>
    <t>Torex</t>
  </si>
  <si>
    <t>Junior Producers</t>
  </si>
  <si>
    <t>Aris Mining</t>
  </si>
  <si>
    <t>Aura Minerals</t>
  </si>
  <si>
    <t>Bellevue Gold</t>
  </si>
  <si>
    <t>Capricorn Metals</t>
  </si>
  <si>
    <t>Catalyst Metals</t>
  </si>
  <si>
    <t>DRD Gold</t>
  </si>
  <si>
    <t>Emerald Resources</t>
  </si>
  <si>
    <t>Fortuna Mining</t>
  </si>
  <si>
    <t xml:space="preserve">G Mining </t>
  </si>
  <si>
    <t>Genesis Minerals</t>
  </si>
  <si>
    <t>Gold Road Resources</t>
  </si>
  <si>
    <t>Hochschild</t>
  </si>
  <si>
    <t>K92</t>
  </si>
  <si>
    <t>Mandalay Resources</t>
  </si>
  <si>
    <t>Orezone Gold</t>
  </si>
  <si>
    <t>Ora Banda Mining</t>
  </si>
  <si>
    <t>Pan African Resources</t>
  </si>
  <si>
    <t>Ramelius</t>
  </si>
  <si>
    <t>Resolute Mining</t>
  </si>
  <si>
    <t>Wesdome</t>
  </si>
  <si>
    <t>West African Resources</t>
  </si>
  <si>
    <t>Westgold</t>
  </si>
  <si>
    <t>Alkane Resources</t>
  </si>
  <si>
    <t>Anglo Asian Mining</t>
  </si>
  <si>
    <t>Discovery Silver</t>
  </si>
  <si>
    <t>Galiano Gold</t>
  </si>
  <si>
    <t>Jaguar Mining</t>
  </si>
  <si>
    <t>McEwen Mining</t>
  </si>
  <si>
    <t>Orla Mining</t>
  </si>
  <si>
    <t>St Barbara</t>
  </si>
  <si>
    <t>Thor 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</si>
</sst>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i/>
      <sz val="1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7030A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vertical="top"/>
    </xf>
    <xf numFmtId="9" fontId="1" fillId="2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top"/>
    </xf>
    <xf numFmtId="164" fontId="0" fillId="2" borderId="4" xfId="0" applyNumberFormat="1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9" fontId="7" fillId="0" borderId="5" xfId="1" applyFont="1" applyBorder="1" applyAlignment="1">
      <alignment horizontal="center" vertical="top"/>
    </xf>
    <xf numFmtId="9" fontId="7" fillId="0" borderId="1" xfId="1" applyFont="1" applyBorder="1" applyAlignment="1">
      <alignment horizontal="center" vertical="top"/>
    </xf>
    <xf numFmtId="9" fontId="0" fillId="0" borderId="1" xfId="1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164" fontId="0" fillId="2" borderId="6" xfId="0" applyNumberFormat="1" applyFill="1" applyBorder="1" applyAlignment="1">
      <alignment horizontal="center" vertical="top"/>
    </xf>
    <xf numFmtId="9" fontId="7" fillId="0" borderId="7" xfId="1" applyFont="1" applyBorder="1" applyAlignment="1">
      <alignment horizontal="center" vertical="top"/>
    </xf>
    <xf numFmtId="9" fontId="7" fillId="0" borderId="8" xfId="1" applyFont="1" applyBorder="1" applyAlignment="1">
      <alignment horizontal="center" vertical="top"/>
    </xf>
    <xf numFmtId="2" fontId="0" fillId="0" borderId="0" xfId="0" applyNumberFormat="1" applyAlignment="1">
      <alignment horizontal="left" vertical="top"/>
    </xf>
    <xf numFmtId="0" fontId="2" fillId="3" borderId="9" xfId="0" applyFont="1" applyFill="1" applyBorder="1" applyAlignment="1">
      <alignment horizontal="right" vertical="top"/>
    </xf>
    <xf numFmtId="2" fontId="2" fillId="3" borderId="0" xfId="0" applyNumberFormat="1" applyFont="1" applyFill="1" applyAlignment="1">
      <alignment horizontal="center" vertical="top"/>
    </xf>
    <xf numFmtId="164" fontId="2" fillId="3" borderId="0" xfId="0" applyNumberFormat="1" applyFont="1" applyFill="1" applyAlignment="1">
      <alignment horizontal="center" vertical="top"/>
    </xf>
    <xf numFmtId="3" fontId="2" fillId="3" borderId="9" xfId="0" applyNumberFormat="1" applyFont="1" applyFill="1" applyBorder="1" applyAlignment="1">
      <alignment horizontal="center" vertical="top"/>
    </xf>
    <xf numFmtId="0" fontId="0" fillId="3" borderId="0" xfId="0" applyFill="1" applyAlignment="1">
      <alignment horizontal="left" vertical="top"/>
    </xf>
  </cellXfs>
  <cellStyles count="2">
    <cellStyle name="常规" xfId="0" builtinId="0"/>
    <cellStyle name="百分比" xfId="1" builtinId="5"/>
  </cellStyles>
  <dxfs count="1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>
        <row r="6">
          <cell r="M6">
            <v>1.4772817</v>
          </cell>
          <cell r="O6">
            <v>17.243268305499999</v>
          </cell>
          <cell r="AQ6">
            <v>31581.375750122923</v>
          </cell>
          <cell r="BK6">
            <v>2065.8691534651357</v>
          </cell>
        </row>
        <row r="7">
          <cell r="M7">
            <v>1.57445875</v>
          </cell>
          <cell r="O7">
            <v>11.8357705732</v>
          </cell>
          <cell r="AQ7">
            <v>18128.165568390719</v>
          </cell>
          <cell r="BK7">
            <v>1652.8864258895155</v>
          </cell>
        </row>
        <row r="8">
          <cell r="M8">
            <v>0.94242056586819789</v>
          </cell>
          <cell r="O8">
            <v>11.521544287072199</v>
          </cell>
          <cell r="AQ8">
            <v>22612.071332788651</v>
          </cell>
          <cell r="BK8">
            <v>594.14887646624993</v>
          </cell>
        </row>
        <row r="9">
          <cell r="M9">
            <v>1.43496237</v>
          </cell>
          <cell r="O9">
            <v>10.1491071595</v>
          </cell>
          <cell r="AQ9">
            <v>19847.197005646885</v>
          </cell>
          <cell r="BK9">
            <v>938.41491978589715</v>
          </cell>
        </row>
        <row r="10">
          <cell r="M10">
            <v>1.1908203481703885</v>
          </cell>
          <cell r="O10">
            <v>11.846725331898099</v>
          </cell>
          <cell r="AQ10">
            <v>19175.651355328988</v>
          </cell>
          <cell r="BK10">
            <v>1759.1462184138179</v>
          </cell>
        </row>
        <row r="11">
          <cell r="M11">
            <v>1.28288545</v>
          </cell>
          <cell r="O11">
            <v>14.0093410587</v>
          </cell>
          <cell r="AQ11">
            <v>21464.737422946728</v>
          </cell>
          <cell r="BK11">
            <v>757.52801317392539</v>
          </cell>
        </row>
        <row r="12">
          <cell r="M12">
            <v>1.02523348</v>
          </cell>
          <cell r="O12">
            <v>8.1418757559999992</v>
          </cell>
          <cell r="AQ12">
            <v>18001.74504372113</v>
          </cell>
          <cell r="BK12">
            <v>1022.3039946734457</v>
          </cell>
        </row>
        <row r="13">
          <cell r="M13">
            <v>1.275437523434084</v>
          </cell>
          <cell r="O13">
            <v>12.106804638838613</v>
          </cell>
          <cell r="AQ13">
            <v>21544.42049699229</v>
          </cell>
          <cell r="BK13">
            <v>1255.7568002668554</v>
          </cell>
        </row>
        <row r="15">
          <cell r="M15">
            <v>0.99045596002542236</v>
          </cell>
          <cell r="O15">
            <v>19.246839802581999</v>
          </cell>
          <cell r="AQ15">
            <v>33292.476822245488</v>
          </cell>
          <cell r="BK15">
            <v>1305.0130863828356</v>
          </cell>
        </row>
        <row r="16">
          <cell r="M16">
            <v>0.55256418797986651</v>
          </cell>
          <cell r="O16">
            <v>8.8484975255503002</v>
          </cell>
          <cell r="AQ16">
            <v>10287.10764571061</v>
          </cell>
          <cell r="BK16">
            <v>418.41380811223405</v>
          </cell>
        </row>
        <row r="17">
          <cell r="M17">
            <v>0.66868918158773294</v>
          </cell>
          <cell r="O17">
            <v>7.7244956148444004</v>
          </cell>
          <cell r="AQ17">
            <v>7313.9200157482619</v>
          </cell>
          <cell r="BK17">
            <v>868.04729362744717</v>
          </cell>
        </row>
        <row r="18">
          <cell r="M18">
            <v>0.6982123430274606</v>
          </cell>
          <cell r="O18">
            <v>9.9770877843843007</v>
          </cell>
          <cell r="AQ18">
            <v>9492.0695661710015</v>
          </cell>
          <cell r="BK18">
            <v>394.53573660768285</v>
          </cell>
        </row>
        <row r="19">
          <cell r="M19">
            <v>1.6722268600000001</v>
          </cell>
          <cell r="O19">
            <v>16.522727272699999</v>
          </cell>
          <cell r="AQ19">
            <v>25412.637553321878</v>
          </cell>
          <cell r="BK19">
            <v>2421.5757581001062</v>
          </cell>
        </row>
        <row r="20">
          <cell r="M20">
            <v>0.95971320870499033</v>
          </cell>
          <cell r="O20">
            <v>14.4481062890821</v>
          </cell>
          <cell r="AQ20">
            <v>27120.910172319043</v>
          </cell>
          <cell r="BK20">
            <v>929.20377281047979</v>
          </cell>
        </row>
        <row r="21">
          <cell r="M21">
            <v>0.9407117549511641</v>
          </cell>
          <cell r="O21">
            <v>13.996539757997301</v>
          </cell>
          <cell r="AQ21">
            <v>19778.300450298917</v>
          </cell>
          <cell r="BK21">
            <v>605.4326229942593</v>
          </cell>
        </row>
        <row r="22">
          <cell r="M22">
            <v>0.95977120000000005</v>
          </cell>
          <cell r="O22">
            <v>8.7897754274000004</v>
          </cell>
          <cell r="AQ22">
            <v>13601.552180188039</v>
          </cell>
          <cell r="BK22">
            <v>993.46949153854814</v>
          </cell>
        </row>
        <row r="23">
          <cell r="M23">
            <v>0.9094245107278266</v>
          </cell>
          <cell r="O23">
            <v>11.300995663100499</v>
          </cell>
          <cell r="AQ23">
            <v>18812.502382156086</v>
          </cell>
          <cell r="BK23">
            <v>605.45176797180045</v>
          </cell>
        </row>
        <row r="24">
          <cell r="M24">
            <v>1.3928156599999999</v>
          </cell>
          <cell r="O24">
            <v>7.9420962163000004</v>
          </cell>
          <cell r="AQ24">
            <v>21963.688648498806</v>
          </cell>
          <cell r="BK24">
            <v>1437.7107369168018</v>
          </cell>
        </row>
        <row r="25">
          <cell r="M25">
            <v>1.8831849007017261</v>
          </cell>
          <cell r="O25" t="str">
            <v>NA</v>
          </cell>
          <cell r="AQ25">
            <v>34546.910346640834</v>
          </cell>
          <cell r="BK25">
            <v>3165.0792094816798</v>
          </cell>
        </row>
        <row r="26">
          <cell r="M26">
            <v>1.2759295500000001</v>
          </cell>
          <cell r="O26">
            <v>4.8036893536000003</v>
          </cell>
          <cell r="AQ26">
            <v>7670.2523087187637</v>
          </cell>
          <cell r="BK26">
            <v>304.33527842439804</v>
          </cell>
        </row>
        <row r="27">
          <cell r="M27">
            <v>2.4003522099999999</v>
          </cell>
          <cell r="O27">
            <v>28.1430563857</v>
          </cell>
          <cell r="AQ27">
            <v>47351.975174495965</v>
          </cell>
          <cell r="BK27">
            <v>2570.6876939826484</v>
          </cell>
        </row>
        <row r="28">
          <cell r="M28">
            <v>1.1398960894752606</v>
          </cell>
          <cell r="O28">
            <v>11.7508974468616</v>
          </cell>
          <cell r="AQ28">
            <v>18604.67419312337</v>
          </cell>
          <cell r="BK28">
            <v>1788.7544712106137</v>
          </cell>
        </row>
        <row r="29">
          <cell r="M29">
            <v>1.6989477099999999</v>
          </cell>
          <cell r="O29">
            <v>20.794609665399999</v>
          </cell>
          <cell r="AQ29">
            <v>36655.352125173857</v>
          </cell>
          <cell r="BK29">
            <v>3336.4773560310323</v>
          </cell>
        </row>
        <row r="30">
          <cell r="M30">
            <v>1.8669088810478716</v>
          </cell>
          <cell r="O30">
            <v>9.3916163537424993</v>
          </cell>
          <cell r="AQ30">
            <v>22332.095469278149</v>
          </cell>
          <cell r="BK30">
            <v>2468.831581975297</v>
          </cell>
        </row>
        <row r="31">
          <cell r="M31">
            <v>1.1857031566182323</v>
          </cell>
          <cell r="O31">
            <v>8.9767905869817994</v>
          </cell>
          <cell r="AQ31">
            <v>15595.862294690316</v>
          </cell>
          <cell r="BK31">
            <v>1752.9901037360446</v>
          </cell>
        </row>
        <row r="32">
          <cell r="M32">
            <v>1.3452823715911664</v>
          </cell>
          <cell r="O32">
            <v>15.9125122990854</v>
          </cell>
          <cell r="AQ32">
            <v>25910.752920868938</v>
          </cell>
          <cell r="BK32">
            <v>1861.7812367633946</v>
          </cell>
        </row>
        <row r="33">
          <cell r="M33">
            <v>0.82753798000000001</v>
          </cell>
          <cell r="O33">
            <v>6.1386138612999996</v>
          </cell>
          <cell r="AQ33">
            <v>10425.366009780913</v>
          </cell>
          <cell r="BK33">
            <v>831.45311139648163</v>
          </cell>
        </row>
        <row r="34">
          <cell r="M34">
            <v>1.1230934299999999</v>
          </cell>
          <cell r="O34">
            <v>4.1328867699999998</v>
          </cell>
          <cell r="AQ34">
            <v>10702.894881085576</v>
          </cell>
          <cell r="BK34">
            <v>1123.8744244672446</v>
          </cell>
        </row>
        <row r="35">
          <cell r="M35">
            <v>1.1155335399999999</v>
          </cell>
          <cell r="O35">
            <v>6.2518231119000003</v>
          </cell>
          <cell r="AQ35">
            <v>20566.933504176439</v>
          </cell>
          <cell r="BK35">
            <v>1595.0366748006911</v>
          </cell>
        </row>
        <row r="36">
          <cell r="M36">
            <v>0.74430204475224082</v>
          </cell>
          <cell r="O36">
            <v>11.7795094974137</v>
          </cell>
          <cell r="AQ36">
            <v>15585.295231587454</v>
          </cell>
          <cell r="BK36">
            <v>565.87495546289199</v>
          </cell>
        </row>
        <row r="37">
          <cell r="M37">
            <v>0.70524067000000001</v>
          </cell>
          <cell r="O37">
            <v>7.4080796124999999</v>
          </cell>
          <cell r="AQ37">
            <v>12563.40613344829</v>
          </cell>
          <cell r="BK37">
            <v>1023.9729638139729</v>
          </cell>
        </row>
        <row r="38">
          <cell r="M38">
            <v>1.176369452225694</v>
          </cell>
          <cell r="O38">
            <v>11.558238468110268</v>
          </cell>
          <cell r="AQ38">
            <v>20242.91026216204</v>
          </cell>
          <cell r="BK38">
            <v>1407.3044842003735</v>
          </cell>
        </row>
        <row r="40">
          <cell r="M40">
            <v>0.46317316472711068</v>
          </cell>
          <cell r="O40">
            <v>10.3893304433584</v>
          </cell>
          <cell r="AQ40">
            <v>17014.108804182728</v>
          </cell>
          <cell r="BK40">
            <v>463.30697480636076</v>
          </cell>
        </row>
        <row r="41">
          <cell r="M41">
            <v>1.1596680100000001</v>
          </cell>
          <cell r="O41">
            <v>15.2210350562</v>
          </cell>
          <cell r="AQ41" t="str">
            <v>NA</v>
          </cell>
          <cell r="BK41" t="e">
            <v>#VALUE!</v>
          </cell>
        </row>
        <row r="42">
          <cell r="M42">
            <v>0.93121398</v>
          </cell>
          <cell r="O42">
            <v>5.5521091810999996</v>
          </cell>
          <cell r="AQ42">
            <v>15939.102180845439</v>
          </cell>
          <cell r="BK42">
            <v>1565.285691069583</v>
          </cell>
        </row>
        <row r="43">
          <cell r="M43">
            <v>0.76674738000000009</v>
          </cell>
          <cell r="O43">
            <v>19.674696774899999</v>
          </cell>
          <cell r="AQ43">
            <v>34657.40226038851</v>
          </cell>
          <cell r="BK43">
            <v>1006.1049894593559</v>
          </cell>
        </row>
        <row r="44">
          <cell r="M44">
            <v>0.59031041000000006</v>
          </cell>
          <cell r="O44">
            <v>9.0201940861000001</v>
          </cell>
          <cell r="AQ44">
            <v>11953.556028465784</v>
          </cell>
          <cell r="BK44">
            <v>1167.3256316119925</v>
          </cell>
        </row>
        <row r="45">
          <cell r="M45">
            <v>0.76941287999999997</v>
          </cell>
          <cell r="O45">
            <v>19.573024740600001</v>
          </cell>
          <cell r="AQ45">
            <v>29375.817067342017</v>
          </cell>
          <cell r="BK45">
            <v>564.6044508367836</v>
          </cell>
        </row>
        <row r="46">
          <cell r="M46">
            <v>1.1157363599999999</v>
          </cell>
          <cell r="O46">
            <v>7.2299168974999999</v>
          </cell>
          <cell r="AQ46">
            <v>17493.081498572181</v>
          </cell>
          <cell r="BK46">
            <v>437.7257689114391</v>
          </cell>
        </row>
        <row r="47">
          <cell r="M47">
            <v>0.81852791999999996</v>
          </cell>
          <cell r="O47">
            <v>12.8275862068</v>
          </cell>
          <cell r="AQ47">
            <v>29386.853503738155</v>
          </cell>
          <cell r="BK47">
            <v>4430.6332974866755</v>
          </cell>
        </row>
        <row r="48">
          <cell r="M48">
            <v>0.76983219735986619</v>
          </cell>
          <cell r="O48">
            <v>6.775231223904</v>
          </cell>
          <cell r="AQ48">
            <v>11196.012749805921</v>
          </cell>
          <cell r="BK48">
            <v>1118.177493717061</v>
          </cell>
        </row>
        <row r="49">
          <cell r="M49">
            <v>0.94429439999999998</v>
          </cell>
          <cell r="O49">
            <v>25.7893340408</v>
          </cell>
          <cell r="AQ49">
            <v>46738.497660284884</v>
          </cell>
          <cell r="BK49">
            <v>1218.7170077760484</v>
          </cell>
        </row>
        <row r="50">
          <cell r="M50">
            <v>0.87515924</v>
          </cell>
          <cell r="O50">
            <v>11.316925958600001</v>
          </cell>
          <cell r="AQ50">
            <v>26204.65731470643</v>
          </cell>
          <cell r="BK50">
            <v>2792.9365509456879</v>
          </cell>
        </row>
        <row r="52">
          <cell r="M52">
            <v>1.0558252400000001</v>
          </cell>
          <cell r="O52" t="str">
            <v>NA</v>
          </cell>
          <cell r="AQ52">
            <v>7582.5993979047698</v>
          </cell>
          <cell r="BK52">
            <v>12613.72074547245</v>
          </cell>
        </row>
        <row r="53">
          <cell r="M53">
            <v>1.0528100869706576</v>
          </cell>
          <cell r="O53" t="str">
            <v>NA</v>
          </cell>
          <cell r="AQ53">
            <v>16039.959700490957</v>
          </cell>
          <cell r="BK53">
            <v>2152.0605170925837</v>
          </cell>
        </row>
        <row r="54">
          <cell r="M54">
            <v>0.85514960000000007</v>
          </cell>
          <cell r="O54">
            <v>16.0432299249</v>
          </cell>
          <cell r="AQ54">
            <v>28159.731003790082</v>
          </cell>
          <cell r="BK54">
            <v>3225.3708810404755</v>
          </cell>
        </row>
        <row r="55">
          <cell r="M55" t="str">
            <v>NA</v>
          </cell>
          <cell r="O55">
            <v>4.131717627694</v>
          </cell>
          <cell r="AQ55" t="str">
            <v>NA</v>
          </cell>
          <cell r="BK55" t="e">
            <v>#DIV/0!</v>
          </cell>
        </row>
        <row r="57">
          <cell r="M57">
            <v>0.43905866000000005</v>
          </cell>
          <cell r="O57">
            <v>7.3458114183000003</v>
          </cell>
          <cell r="AQ57">
            <v>8852.5557332029184</v>
          </cell>
          <cell r="BK57">
            <v>518.82435806328647</v>
          </cell>
        </row>
        <row r="58">
          <cell r="M58">
            <v>0.83108108000000003</v>
          </cell>
          <cell r="O58">
            <v>6.8574247656000002</v>
          </cell>
          <cell r="AQ58">
            <v>17470.830994992877</v>
          </cell>
          <cell r="BK58">
            <v>4883.7018622638207</v>
          </cell>
        </row>
        <row r="59">
          <cell r="M59" t="str">
            <v>NA</v>
          </cell>
          <cell r="O59" t="str">
            <v>#INVALID COMPANY ID</v>
          </cell>
          <cell r="AQ59" t="str">
            <v>NA</v>
          </cell>
          <cell r="BK59" t="e">
            <v>#VALUE!</v>
          </cell>
        </row>
        <row r="60">
          <cell r="M60">
            <v>0.84583646000000001</v>
          </cell>
          <cell r="O60">
            <v>4.6020139823999999</v>
          </cell>
          <cell r="AQ60">
            <v>18893.382850565162</v>
          </cell>
          <cell r="BK60">
            <v>2098.1357448317626</v>
          </cell>
        </row>
        <row r="61">
          <cell r="M61">
            <v>0.65901262999999999</v>
          </cell>
          <cell r="O61">
            <v>7.9519006982000002</v>
          </cell>
          <cell r="AQ61">
            <v>7477.4350246347758</v>
          </cell>
          <cell r="BK61">
            <v>345.03573243775327</v>
          </cell>
        </row>
        <row r="62">
          <cell r="M62">
            <v>1.0139330900000001</v>
          </cell>
          <cell r="O62">
            <v>8.6404464985999994</v>
          </cell>
          <cell r="AQ62">
            <v>13425.524985590515</v>
          </cell>
          <cell r="BK62">
            <v>2115.3960086197176</v>
          </cell>
        </row>
        <row r="63">
          <cell r="M63">
            <v>0.49652295000000002</v>
          </cell>
          <cell r="O63">
            <v>5.3543307086</v>
          </cell>
          <cell r="AQ63">
            <v>10202.907323565376</v>
          </cell>
          <cell r="BK63">
            <v>509.36413284568334</v>
          </cell>
        </row>
        <row r="64">
          <cell r="M64">
            <v>1.0195091236240474</v>
          </cell>
          <cell r="O64">
            <v>8.4890831525764998</v>
          </cell>
          <cell r="AQ64">
            <v>14526.933053086577</v>
          </cell>
          <cell r="BK64">
            <v>1269.4672511340395</v>
          </cell>
        </row>
        <row r="65">
          <cell r="M65">
            <v>0.94983089000000009</v>
          </cell>
          <cell r="O65">
            <v>6.7518248175000002</v>
          </cell>
          <cell r="AQ65">
            <v>21058.40832620758</v>
          </cell>
          <cell r="BK65">
            <v>1117.9891226969346</v>
          </cell>
        </row>
        <row r="66">
          <cell r="M66">
            <v>0.94059406000000001</v>
          </cell>
          <cell r="O66" t="str">
            <v>NA</v>
          </cell>
          <cell r="AQ66">
            <v>7409.2903604837056</v>
          </cell>
          <cell r="BK66">
            <v>885.5475808387763</v>
          </cell>
        </row>
        <row r="67">
          <cell r="M67">
            <v>0.59717892860534594</v>
          </cell>
          <cell r="O67">
            <v>5.6349397021251999</v>
          </cell>
          <cell r="AQ67">
            <v>5786.2577857597371</v>
          </cell>
          <cell r="BK67">
            <v>400.80100579902052</v>
          </cell>
        </row>
        <row r="68">
          <cell r="M68">
            <v>0.62190076486445012</v>
          </cell>
          <cell r="O68">
            <v>9.4294507934282006</v>
          </cell>
          <cell r="AQ68">
            <v>11140.826154291253</v>
          </cell>
          <cell r="BK68">
            <v>608.35803229320607</v>
          </cell>
        </row>
        <row r="69">
          <cell r="M69">
            <v>0.78008436000000003</v>
          </cell>
          <cell r="O69">
            <v>65.714950733099997</v>
          </cell>
          <cell r="AQ69">
            <v>12607.01601538596</v>
          </cell>
          <cell r="BK69">
            <v>201.06339083648822</v>
          </cell>
        </row>
        <row r="70">
          <cell r="M70">
            <v>1.027944479753373</v>
          </cell>
          <cell r="O70">
            <v>8.9870651673278008</v>
          </cell>
          <cell r="AQ70">
            <v>21555.322333054446</v>
          </cell>
          <cell r="BK70">
            <v>1292.5721777144183</v>
          </cell>
        </row>
        <row r="71">
          <cell r="M71">
            <v>0.61133603000000003</v>
          </cell>
          <cell r="O71">
            <v>105.5045871559</v>
          </cell>
          <cell r="AQ71">
            <v>11777.95867847085</v>
          </cell>
          <cell r="BK71">
            <v>149.87671355906315</v>
          </cell>
        </row>
        <row r="72">
          <cell r="M72">
            <v>0.66036439999999996</v>
          </cell>
          <cell r="O72">
            <v>3.3111111110999998</v>
          </cell>
          <cell r="AQ72">
            <v>6963.0272873780677</v>
          </cell>
          <cell r="BK72">
            <v>476.91967721767588</v>
          </cell>
        </row>
        <row r="73">
          <cell r="O73">
            <v>15.177714885232644</v>
          </cell>
          <cell r="AQ73">
            <v>16807.981575307935</v>
          </cell>
          <cell r="BK73">
            <v>1732.8317075026835</v>
          </cell>
        </row>
      </sheetData>
      <sheetData sheetId="2"/>
      <sheetData sheetId="3">
        <row r="2">
          <cell r="B2">
            <v>1.4975197897554919</v>
          </cell>
          <cell r="C2">
            <v>1.1668738025194936</v>
          </cell>
          <cell r="D2">
            <v>1.1374814754098903</v>
          </cell>
          <cell r="E2">
            <v>1.3276151345393303</v>
          </cell>
          <cell r="F2">
            <v>0.92137679191416233</v>
          </cell>
          <cell r="G2">
            <v>1.2683491146456409</v>
          </cell>
          <cell r="H2">
            <v>1.1118071443373478</v>
          </cell>
          <cell r="I2">
            <v>0.8889710869618489</v>
          </cell>
          <cell r="J2">
            <v>0.31165042054603526</v>
          </cell>
          <cell r="K2">
            <v>1.0311031733667351</v>
          </cell>
          <cell r="L2">
            <v>0.7000522019006381</v>
          </cell>
          <cell r="M2">
            <v>1.0855080036038243</v>
          </cell>
          <cell r="N2">
            <v>0.65489088299545151</v>
          </cell>
          <cell r="O2">
            <v>0.54368588399705153</v>
          </cell>
          <cell r="P2">
            <v>0.93645122200566966</v>
          </cell>
          <cell r="Q2">
            <v>0.59838579959023541</v>
          </cell>
          <cell r="R2">
            <v>1.2271659688306151</v>
          </cell>
          <cell r="S2">
            <v>1.3233970468997633</v>
          </cell>
          <cell r="T2">
            <v>1.1130246049114085</v>
          </cell>
          <cell r="U2">
            <v>1.3109474807264363</v>
          </cell>
          <cell r="V2">
            <v>0.63780425263757801</v>
          </cell>
          <cell r="W2">
            <v>1.0392321172678938</v>
          </cell>
          <cell r="X2">
            <v>0.83341302972139697</v>
          </cell>
          <cell r="Y2">
            <v>0.82579228465455523</v>
          </cell>
          <cell r="Z2">
            <v>1.1706819368323731</v>
          </cell>
          <cell r="AA2">
            <v>0.77632574124379883</v>
          </cell>
          <cell r="AB2">
            <v>0.95958360905031903</v>
          </cell>
          <cell r="AC2">
            <v>0.79965548999645364</v>
          </cell>
          <cell r="AD2">
            <v>0.84322769359387673</v>
          </cell>
          <cell r="AE2">
            <v>0.65325021826364016</v>
          </cell>
          <cell r="AF2">
            <v>0.33982063417883512</v>
          </cell>
          <cell r="AG2">
            <v>0.49758179470453273</v>
          </cell>
          <cell r="AH2">
            <v>0.73923343476849945</v>
          </cell>
          <cell r="AJ2">
            <v>1.1290168671683058</v>
          </cell>
          <cell r="AK2">
            <v>0.92313627439635448</v>
          </cell>
          <cell r="AL2">
            <v>0.85027469330935068</v>
          </cell>
          <cell r="AO2">
            <v>0.54176903337809157</v>
          </cell>
          <cell r="AP2">
            <v>0.78346364617577324</v>
          </cell>
          <cell r="AQ2">
            <v>0.92202832632399623</v>
          </cell>
          <cell r="AR2">
            <v>1.0006796493489527</v>
          </cell>
          <cell r="AS2">
            <v>0.59840759280598976</v>
          </cell>
          <cell r="AT2">
            <v>0.455801253683282</v>
          </cell>
          <cell r="AU2">
            <v>0.42560264163004974</v>
          </cell>
          <cell r="AV2">
            <v>0.76571276988652448</v>
          </cell>
          <cell r="AW2">
            <v>0.74323986691889787</v>
          </cell>
          <cell r="AX2">
            <v>0.89518445593905249</v>
          </cell>
          <cell r="AY2">
            <v>0.59482406510984931</v>
          </cell>
          <cell r="AZ2">
            <v>1.0192937367150969</v>
          </cell>
          <cell r="BA2">
            <v>0.57238828464642932</v>
          </cell>
          <cell r="BB2">
            <v>0.71757631015712497</v>
          </cell>
        </row>
        <row r="20">
          <cell r="AN20">
            <v>1.1428100261944174</v>
          </cell>
        </row>
        <row r="29">
          <cell r="AM29">
            <v>0.52500000000000002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D8E5-5250-4B5B-B59D-80C47CC90110}">
  <sheetPr>
    <pageSetUpPr fitToPage="1"/>
  </sheetPr>
  <dimension ref="A1:L67"/>
  <sheetViews>
    <sheetView showGridLines="0" tabSelected="1" zoomScale="85" zoomScaleNormal="85" workbookViewId="0">
      <pane xSplit="2" ySplit="2" topLeftCell="C3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I2678" sqref="I2678"/>
    </sheetView>
  </sheetViews>
  <sheetFormatPr defaultRowHeight="13.2" outlineLevelCol="1" x14ac:dyDescent="0.25"/>
  <cols>
    <col min="1" max="1" width="10.109375" style="1" hidden="1" customWidth="1" outlineLevel="1"/>
    <col min="2" max="2" width="27.109375" style="1" customWidth="1" collapsed="1"/>
    <col min="3" max="3" width="14.77734375" style="1" customWidth="1"/>
    <col min="4" max="4" width="13.33203125" style="1" bestFit="1" customWidth="1"/>
    <col min="5" max="5" width="16.44140625" style="1" bestFit="1" customWidth="1"/>
    <col min="6" max="6" width="16.109375" style="1" bestFit="1" customWidth="1"/>
    <col min="7" max="7" width="12" style="1" customWidth="1"/>
    <col min="8" max="16384" width="8.88671875" style="1"/>
  </cols>
  <sheetData>
    <row r="1" spans="1:7" x14ac:dyDescent="0.25">
      <c r="C1" s="2">
        <v>0.2</v>
      </c>
      <c r="D1" s="2">
        <v>0.2</v>
      </c>
      <c r="E1" s="2">
        <v>0.2</v>
      </c>
      <c r="F1" s="2">
        <v>0.2</v>
      </c>
      <c r="G1" s="2">
        <v>0.2</v>
      </c>
    </row>
    <row r="2" spans="1:7" ht="39.6" x14ac:dyDescent="0.25">
      <c r="A2" s="3" t="s">
        <v>0</v>
      </c>
      <c r="C2" s="4" t="s">
        <v>1</v>
      </c>
      <c r="D2" s="5" t="s">
        <v>2</v>
      </c>
      <c r="E2" s="5" t="s">
        <v>3</v>
      </c>
      <c r="F2" s="6" t="s">
        <v>4</v>
      </c>
      <c r="G2" s="6" t="s">
        <v>5</v>
      </c>
    </row>
    <row r="3" spans="1:7" ht="16.8" x14ac:dyDescent="0.25">
      <c r="B3" s="7" t="s">
        <v>6</v>
      </c>
      <c r="C3" s="8"/>
      <c r="D3" s="9"/>
      <c r="E3" s="9"/>
      <c r="F3" s="9"/>
      <c r="G3" s="9"/>
    </row>
    <row r="4" spans="1:7" ht="13.8" x14ac:dyDescent="0.25">
      <c r="B4" s="10" t="s">
        <v>7</v>
      </c>
      <c r="C4" s="11">
        <f>IF([1]Golds!M6=0, "", ([1]Golds!M6-[1]Golds!$M$13)/[1]Golds!$M$13)</f>
        <v>0.15825485204673576</v>
      </c>
      <c r="D4" s="11">
        <f>IF([1]Golds!O6=0, "", ([1]Golds!O6-[1]Golds!O$13)/[1]Golds!O$13)</f>
        <v>0.42426253829054267</v>
      </c>
      <c r="E4" s="11">
        <f>IF([1]Golds!AQ6=0, "", ([1]Golds!AQ6-[1]Golds!AQ$13)/[1]Golds!AQ$13)</f>
        <v>0.46587260281759924</v>
      </c>
      <c r="F4" s="11">
        <f>IF([1]Golds!BK6=0, "", ([1]Golds!BK6-[1]Golds!BK$13)/[1]Golds!BK$13)</f>
        <v>0.64511882637316942</v>
      </c>
      <c r="G4" s="11">
        <f>[1]Golds!M6/'[1]Gold PNAVs '!B2-1</f>
        <v>-1.3514405548387676E-2</v>
      </c>
    </row>
    <row r="5" spans="1:7" ht="13.8" x14ac:dyDescent="0.25">
      <c r="B5" s="10" t="s">
        <v>8</v>
      </c>
      <c r="C5" s="11">
        <f>IF([1]Golds!M7=0, "", ([1]Golds!M7-[1]Golds!$M$13)/[1]Golds!$M$13)</f>
        <v>0.23444600074240307</v>
      </c>
      <c r="D5" s="11">
        <f>IF([1]Golds!O7=0, "", ([1]Golds!O7-[1]Golds!O$13)/[1]Golds!O$13)</f>
        <v>-2.2386919895373225E-2</v>
      </c>
      <c r="E5" s="11">
        <f>IF([1]Golds!AQ7=0, "", ([1]Golds!AQ7-[1]Golds!AQ$13)/[1]Golds!AQ$13)</f>
        <v>-0.15856796561682862</v>
      </c>
      <c r="F5" s="11">
        <f>IF([1]Golds!BK7=0, "", ([1]Golds!BK7-[1]Golds!BK$13)/[1]Golds!BK$13)</f>
        <v>0.31624724272906013</v>
      </c>
      <c r="G5" s="11">
        <f>[1]Golds!M7/'[1]Gold PNAVs '!C2-1</f>
        <v>0.34929651055705957</v>
      </c>
    </row>
    <row r="6" spans="1:7" ht="13.8" x14ac:dyDescent="0.25">
      <c r="B6" s="10" t="s">
        <v>9</v>
      </c>
      <c r="C6" s="11">
        <f>IF([1]Golds!M8=0, "", ([1]Golds!M8-[1]Golds!$M$13)/[1]Golds!$M$13)</f>
        <v>-0.26110017264447904</v>
      </c>
      <c r="D6" s="11">
        <f>IF([1]Golds!O8=0, "", ([1]Golds!O8-[1]Golds!O$13)/[1]Golds!O$13)</f>
        <v>-4.8341438490623598E-2</v>
      </c>
      <c r="E6" s="11">
        <f>IF([1]Golds!AQ8=0, "", ([1]Golds!AQ8-[1]Golds!AQ$13)/[1]Golds!AQ$13)</f>
        <v>4.9555792690985152E-2</v>
      </c>
      <c r="F6" s="11">
        <f>IF([1]Golds!BK8=0, "", ([1]Golds!BK8-[1]Golds!BK$13)/[1]Golds!BK$13)</f>
        <v>-0.52685991719098002</v>
      </c>
      <c r="G6" s="11">
        <f>[1]Golds!M8/'[1]Gold PNAVs '!D2-1</f>
        <v>-0.17148491097088192</v>
      </c>
    </row>
    <row r="7" spans="1:7" ht="13.8" x14ac:dyDescent="0.25">
      <c r="B7" s="10" t="s">
        <v>10</v>
      </c>
      <c r="C7" s="11">
        <f>IF([1]Golds!M9=0, "", ([1]Golds!M9-[1]Golds!$M$13)/[1]Golds!$M$13)</f>
        <v>0.12507460666234699</v>
      </c>
      <c r="D7" s="11">
        <f>IF([1]Golds!O9=0, "", ([1]Golds!O9-[1]Golds!O$13)/[1]Golds!O$13)</f>
        <v>-0.16170224412957998</v>
      </c>
      <c r="E7" s="11">
        <f>IF([1]Golds!AQ9=0, "", ([1]Golds!AQ9-[1]Golds!AQ$13)/[1]Golds!AQ$13)</f>
        <v>-7.8777866946216815E-2</v>
      </c>
      <c r="F7" s="11">
        <f>IF([1]Golds!BK9=0, "", ([1]Golds!BK9-[1]Golds!BK$13)/[1]Golds!BK$13)</f>
        <v>-0.25270966513063781</v>
      </c>
      <c r="G7" s="11">
        <f>[1]Golds!M9/'[1]Gold PNAVs '!E2-1</f>
        <v>8.085719473054831E-2</v>
      </c>
    </row>
    <row r="8" spans="1:7" ht="13.8" x14ac:dyDescent="0.25">
      <c r="B8" s="10" t="s">
        <v>11</v>
      </c>
      <c r="C8" s="11">
        <f>IF([1]Golds!M10=0, "", ([1]Golds!M10-[1]Golds!$M$13)/[1]Golds!$M$13)</f>
        <v>-6.6343645775659668E-2</v>
      </c>
      <c r="D8" s="11">
        <f>IF([1]Golds!O10=0, "", ([1]Golds!O10-[1]Golds!O$13)/[1]Golds!O$13)</f>
        <v>-2.1482076790615676E-2</v>
      </c>
      <c r="E8" s="11">
        <f>IF([1]Golds!AQ10=0, "", ([1]Golds!AQ10-[1]Golds!AQ$13)/[1]Golds!AQ$13)</f>
        <v>-0.10994814838458962</v>
      </c>
      <c r="F8" s="11">
        <f>IF([1]Golds!BK10=0, "", ([1]Golds!BK10-[1]Golds!BK$13)/[1]Golds!BK$13)</f>
        <v>0.40086537300852315</v>
      </c>
      <c r="G8" s="11">
        <f>[1]Golds!M10/'[1]Gold PNAVs '!F2-1</f>
        <v>0.29243579675634823</v>
      </c>
    </row>
    <row r="9" spans="1:7" ht="13.8" x14ac:dyDescent="0.25">
      <c r="B9" s="10" t="s">
        <v>12</v>
      </c>
      <c r="C9" s="11">
        <f>IF([1]Golds!M11=0, "", ([1]Golds!M11-[1]Golds!$M$13)/[1]Golds!$M$13)</f>
        <v>5.8395071723016398E-3</v>
      </c>
      <c r="D9" s="11">
        <f>IF([1]Golds!O11=0, "", ([1]Golds!O11-[1]Golds!O$13)/[1]Golds!O$13)</f>
        <v>0.1571460411410335</v>
      </c>
      <c r="E9" s="11">
        <f>IF([1]Golds!AQ11=0, "", ([1]Golds!AQ11-[1]Golds!AQ$13)/[1]Golds!AQ$13)</f>
        <v>-3.6985480327348186E-3</v>
      </c>
      <c r="F9" s="11">
        <f>IF([1]Golds!BK11=0, "", ([1]Golds!BK11-[1]Golds!BK$13)/[1]Golds!BK$13)</f>
        <v>-0.39675579458303839</v>
      </c>
      <c r="G9" s="11">
        <f>[1]Golds!M11/'[1]Gold PNAVs '!G2-1</f>
        <v>1.1460831396109983E-2</v>
      </c>
    </row>
    <row r="10" spans="1:7" ht="13.8" x14ac:dyDescent="0.25">
      <c r="B10" s="10" t="s">
        <v>13</v>
      </c>
      <c r="C10" s="11">
        <f>IF([1]Golds!M12=0, "", ([1]Golds!M12-[1]Golds!$M$13)/[1]Golds!$M$13)</f>
        <v>-0.19617114820364998</v>
      </c>
      <c r="D10" s="11">
        <f>IF([1]Golds!O12=0, "", ([1]Golds!O12-[1]Golds!O$13)/[1]Golds!O$13)</f>
        <v>-0.32749590012538293</v>
      </c>
      <c r="E10" s="11">
        <f>IF([1]Golds!AQ12=0, "", ([1]Golds!AQ12-[1]Golds!AQ$13)/[1]Golds!AQ$13)</f>
        <v>-0.16443586652821485</v>
      </c>
      <c r="F10" s="11">
        <f>IF([1]Golds!BK12=0, "", ([1]Golds!BK12-[1]Golds!BK$13)/[1]Golds!BK$13)</f>
        <v>-0.18590606520609698</v>
      </c>
      <c r="G10" s="11">
        <f>[1]Golds!M12/'[1]Gold PNAVs '!H2-1</f>
        <v>-7.7867519360965143E-2</v>
      </c>
    </row>
    <row r="11" spans="1:7" ht="16.8" x14ac:dyDescent="0.25">
      <c r="B11" s="7" t="s">
        <v>14</v>
      </c>
      <c r="C11" s="8"/>
      <c r="D11" s="9"/>
      <c r="E11" s="9"/>
      <c r="F11" s="9"/>
      <c r="G11" s="9"/>
    </row>
    <row r="12" spans="1:7" ht="13.8" x14ac:dyDescent="0.25">
      <c r="B12" s="10" t="s">
        <v>15</v>
      </c>
      <c r="C12" s="12">
        <f>IF([1]Golds!M15=0, "", ([1]Golds!M15-[1]Golds!$M$38)/[1]Golds!$M$38)</f>
        <v>-0.15804005437961929</v>
      </c>
      <c r="D12" s="11">
        <f>IF([1]Golds!O15=0, "", ([1]Golds!O15-[1]Golds!O$38)/[1]Golds!O$38)</f>
        <v>0.66520528674719326</v>
      </c>
      <c r="E12" s="11">
        <f>IF([1]Golds!AQ15=0, "", ([1]Golds!AQ15-[1]Golds!AQ$38)/[1]Golds!AQ$38)</f>
        <v>0.64464873830299196</v>
      </c>
      <c r="F12" s="11">
        <f>IF([1]Golds!BK15=0, "", ([1]Golds!BK15-[1]Golds!BK$38)/[1]Golds!BK$38)</f>
        <v>-7.2686045533109783E-2</v>
      </c>
      <c r="G12" s="11">
        <f>[1]Golds!M15/'[1]Gold PNAVs '!I2-1</f>
        <v>0.11415992550489862</v>
      </c>
    </row>
    <row r="13" spans="1:7" ht="13.8" x14ac:dyDescent="0.25">
      <c r="B13" s="10" t="s">
        <v>16</v>
      </c>
      <c r="C13" s="12">
        <f>IF([1]Golds!M16=0, "", ([1]Golds!M16-[1]Golds!$M$38)/[1]Golds!$M$38)</f>
        <v>-0.53028006045684573</v>
      </c>
      <c r="D13" s="11">
        <f>IF([1]Golds!O16=0, "", ([1]Golds!O16-[1]Golds!O$38)/[1]Golds!O$38)</f>
        <v>-0.23444238064790518</v>
      </c>
      <c r="E13" s="11">
        <f>IF([1]Golds!AQ16=0, "", ([1]Golds!AQ16-[1]Golds!AQ$38)/[1]Golds!AQ$38)</f>
        <v>-0.49181676387020168</v>
      </c>
      <c r="F13" s="11">
        <f>IF([1]Golds!BK16=0, "", ([1]Golds!BK16-[1]Golds!BK$38)/[1]Golds!BK$38)</f>
        <v>-0.70268423584966011</v>
      </c>
      <c r="G13" s="11">
        <f>[1]Golds!M16/'[1]Gold PNAVs '!J2-1</f>
        <v>0.77302564524614459</v>
      </c>
    </row>
    <row r="14" spans="1:7" ht="13.8" x14ac:dyDescent="0.25">
      <c r="A14" s="1" t="s">
        <v>17</v>
      </c>
      <c r="B14" s="10" t="s">
        <v>18</v>
      </c>
      <c r="C14" s="12">
        <f>IF([1]Golds!M17=0, "", ([1]Golds!M17-[1]Golds!$M$38)/[1]Golds!$M$38)</f>
        <v>-0.43156532981830553</v>
      </c>
      <c r="D14" s="11">
        <f>IF([1]Golds!O17=0, "", ([1]Golds!O17-[1]Golds!O$38)/[1]Golds!O$38)</f>
        <v>-0.33168919847460732</v>
      </c>
      <c r="E14" s="11">
        <f>IF([1]Golds!AQ17=0, "", ([1]Golds!AQ17-[1]Golds!AQ$38)/[1]Golds!AQ$38)</f>
        <v>-0.63869226701955939</v>
      </c>
      <c r="F14" s="11">
        <f>IF([1]Golds!BK17=0, "", ([1]Golds!BK17-[1]Golds!BK$38)/[1]Golds!BK$38)</f>
        <v>-0.38318444702414972</v>
      </c>
      <c r="G14" s="11">
        <f>[1]Golds!M17/'[1]Gold PNAVs '!K2-1</f>
        <v>-0.35148179264705015</v>
      </c>
    </row>
    <row r="15" spans="1:7" ht="13.8" x14ac:dyDescent="0.25">
      <c r="B15" s="10" t="s">
        <v>19</v>
      </c>
      <c r="C15" s="12">
        <f>IF([1]Golds!M18=0, "", ([1]Golds!M18-[1]Golds!$M$38)/[1]Golds!$M$38)</f>
        <v>-0.4064684851290204</v>
      </c>
      <c r="D15" s="11">
        <f>IF([1]Golds!O18=0, "", ([1]Golds!O18-[1]Golds!O$38)/[1]Golds!O$38)</f>
        <v>-0.13679858640124426</v>
      </c>
      <c r="E15" s="11">
        <f>IF([1]Golds!AQ18=0, "", ([1]Golds!AQ18-[1]Golds!AQ$38)/[1]Golds!AQ$38)</f>
        <v>-0.53109165415243986</v>
      </c>
      <c r="F15" s="11">
        <f>IF([1]Golds!BK18=0, "", ([1]Golds!BK18-[1]Golds!BK$38)/[1]Golds!BK$38)</f>
        <v>-0.71965147483214553</v>
      </c>
      <c r="G15" s="11">
        <f>[1]Golds!M18/'[1]Gold PNAVs '!L2-1</f>
        <v>-2.6281738250123476E-3</v>
      </c>
    </row>
    <row r="16" spans="1:7" ht="13.8" x14ac:dyDescent="0.25">
      <c r="B16" s="10" t="s">
        <v>20</v>
      </c>
      <c r="C16" s="12">
        <f>IF([1]Golds!M19=0, "", ([1]Golds!M19-[1]Golds!$M$38)/[1]Golds!$M$38)</f>
        <v>0.42151503240426941</v>
      </c>
      <c r="D16" s="11">
        <f>IF([1]Golds!O19=0, "", ([1]Golds!O19-[1]Golds!O$38)/[1]Golds!O$38)</f>
        <v>0.42951949973060277</v>
      </c>
      <c r="E16" s="11">
        <f>IF([1]Golds!AQ19=0, "", ([1]Golds!AQ19-[1]Golds!AQ$38)/[1]Golds!AQ$38)</f>
        <v>0.25538458770046862</v>
      </c>
      <c r="F16" s="11">
        <f>IF([1]Golds!BK19=0, "", ([1]Golds!BK19-[1]Golds!BK$38)/[1]Golds!BK$38)</f>
        <v>0.72071913739125104</v>
      </c>
      <c r="G16" s="11">
        <f>[1]Golds!M19/'[1]Gold PNAVs '!M2-1</f>
        <v>0.54050164019823255</v>
      </c>
    </row>
    <row r="17" spans="1:7" ht="13.8" x14ac:dyDescent="0.25">
      <c r="B17" s="10" t="s">
        <v>21</v>
      </c>
      <c r="C17" s="12">
        <f>IF([1]Golds!M20=0, "", ([1]Golds!M20-[1]Golds!$M$38)/[1]Golds!$M$38)</f>
        <v>-0.18417363959153266</v>
      </c>
      <c r="D17" s="11">
        <f>IF([1]Golds!O20=0, "", ([1]Golds!O20-[1]Golds!O$38)/[1]Golds!O$38)</f>
        <v>0.2500266653041564</v>
      </c>
      <c r="E17" s="11">
        <f>IF([1]Golds!AQ20=0, "", ([1]Golds!AQ20-[1]Golds!AQ$38)/[1]Golds!AQ$38)</f>
        <v>0.33977327474564417</v>
      </c>
      <c r="F17" s="11">
        <f>IF([1]Golds!BK20=0, "", ([1]Golds!BK20-[1]Golds!BK$38)/[1]Golds!BK$38)</f>
        <v>-0.33972798122756581</v>
      </c>
      <c r="G17" s="11">
        <f>[1]Golds!M20/'[1]Gold PNAVs '!N2-1</f>
        <v>0.46545513706846942</v>
      </c>
    </row>
    <row r="18" spans="1:7" ht="13.8" x14ac:dyDescent="0.25">
      <c r="B18" s="10" t="s">
        <v>22</v>
      </c>
      <c r="C18" s="12">
        <f>IF([1]Golds!M21=0, "", ([1]Golds!M21-[1]Golds!$M$38)/[1]Golds!$M$38)</f>
        <v>-0.20032626385245292</v>
      </c>
      <c r="D18" s="11">
        <f>IF([1]Golds!O21=0, "", ([1]Golds!O21-[1]Golds!O$38)/[1]Golds!O$38)</f>
        <v>0.21095786322582133</v>
      </c>
      <c r="E18" s="11">
        <f>IF([1]Golds!AQ21=0, "", ([1]Golds!AQ21-[1]Golds!AQ$38)/[1]Golds!AQ$38)</f>
        <v>-2.2951730054920516E-2</v>
      </c>
      <c r="F18" s="11">
        <f>IF([1]Golds!BK21=0, "", ([1]Golds!BK21-[1]Golds!BK$38)/[1]Golds!BK$38)</f>
        <v>-0.56979272801915037</v>
      </c>
      <c r="G18" s="11">
        <f>[1]Golds!M21/'[1]Gold PNAVs '!O2-1</f>
        <v>0.7302486281881575</v>
      </c>
    </row>
    <row r="19" spans="1:7" ht="13.8" x14ac:dyDescent="0.25">
      <c r="B19" s="10" t="s">
        <v>23</v>
      </c>
      <c r="C19" s="12">
        <f>IF([1]Golds!M22=0, "", ([1]Golds!M22-[1]Golds!$M$38)/[1]Golds!$M$38)</f>
        <v>-0.18412434275294171</v>
      </c>
      <c r="D19" s="11">
        <f>IF([1]Golds!O22=0, "", ([1]Golds!O22-[1]Golds!O$38)/[1]Golds!O$38)</f>
        <v>-0.23952292110502732</v>
      </c>
      <c r="E19" s="11">
        <f>IF([1]Golds!AQ22=0, "", ([1]Golds!AQ22-[1]Golds!AQ$38)/[1]Golds!AQ$38)</f>
        <v>-0.3280831657090334</v>
      </c>
      <c r="F19" s="11">
        <f>IF([1]Golds!BK22=0, "", ([1]Golds!BK22-[1]Golds!BK$38)/[1]Golds!BK$38)</f>
        <v>-0.29406215734256347</v>
      </c>
      <c r="G19" s="11">
        <f>[1]Golds!M22/'[1]Gold PNAVs '!P2-1</f>
        <v>2.4902501535941424E-2</v>
      </c>
    </row>
    <row r="20" spans="1:7" ht="13.8" x14ac:dyDescent="0.25">
      <c r="A20" s="1" t="s">
        <v>17</v>
      </c>
      <c r="B20" s="10" t="s">
        <v>24</v>
      </c>
      <c r="C20" s="12">
        <f>IF([1]Golds!M23=0, "", ([1]Golds!M23-[1]Golds!$M$38)/[1]Golds!$M$38)</f>
        <v>-0.22692270782177054</v>
      </c>
      <c r="D20" s="11">
        <f>IF([1]Golds!O23=0, "", ([1]Golds!O23-[1]Golds!O$38)/[1]Golds!O$38)</f>
        <v>-2.2256229244578575E-2</v>
      </c>
      <c r="E20" s="11">
        <f>IF([1]Golds!AQ23=0, "", ([1]Golds!AQ23-[1]Golds!AQ$38)/[1]Golds!AQ$38)</f>
        <v>-7.0662165740054989E-2</v>
      </c>
      <c r="F20" s="11">
        <f>IF([1]Golds!BK23=0, "", ([1]Golds!BK23-[1]Golds!BK$38)/[1]Golds!BK$38)</f>
        <v>-0.56977912401393616</v>
      </c>
      <c r="G20" s="11">
        <f>[1]Golds!M23/'[1]Gold PNAVs '!Q2-1</f>
        <v>0.51979627750288415</v>
      </c>
    </row>
    <row r="21" spans="1:7" ht="13.8" x14ac:dyDescent="0.25">
      <c r="B21" s="10" t="s">
        <v>25</v>
      </c>
      <c r="C21" s="12">
        <f>IF([1]Golds!M24=0, "", ([1]Golds!M24-[1]Golds!$M$38)/[1]Golds!$M$38)</f>
        <v>0.18399509385830201</v>
      </c>
      <c r="D21" s="11">
        <f>IF([1]Golds!O24=0, "", ([1]Golds!O24-[1]Golds!O$38)/[1]Golds!O$38)</f>
        <v>-0.31286274822823362</v>
      </c>
      <c r="E21" s="11">
        <f>IF([1]Golds!AQ24=0, "", ([1]Golds!AQ24-[1]Golds!AQ$38)/[1]Golds!AQ$38)</f>
        <v>8.5006472095726135E-2</v>
      </c>
      <c r="F21" s="11">
        <f>IF([1]Golds!BK24=0, "", ([1]Golds!BK24-[1]Golds!BK$38)/[1]Golds!BK$38)</f>
        <v>2.1606022760387242E-2</v>
      </c>
      <c r="G21" s="11">
        <f>[1]Golds!M24/'[1]Gold PNAVs '!R2-1</f>
        <v>0.13498556460723465</v>
      </c>
    </row>
    <row r="22" spans="1:7" ht="13.8" x14ac:dyDescent="0.25">
      <c r="B22" s="10" t="s">
        <v>26</v>
      </c>
      <c r="C22" s="12">
        <f>IF([1]Golds!M25=0, "", ([1]Golds!M25-[1]Golds!$M$38)/[1]Golds!$M$38)</f>
        <v>0.60084478319182411</v>
      </c>
      <c r="D22" s="11" t="e">
        <f>IF([1]Golds!O25=0, "", ([1]Golds!O25-[1]Golds!O$38)/[1]Golds!O$38)</f>
        <v>#VALUE!</v>
      </c>
      <c r="E22" s="11">
        <f>IF([1]Golds!AQ25=0, "", ([1]Golds!AQ25-[1]Golds!AQ$38)/[1]Golds!AQ$38)</f>
        <v>0.70661776884995475</v>
      </c>
      <c r="F22" s="11">
        <f>IF([1]Golds!BK25=0, "", ([1]Golds!BK25-[1]Golds!BK$38)/[1]Golds!BK$38)</f>
        <v>1.2490365411434534</v>
      </c>
      <c r="G22" s="11">
        <f>[1]Golds!M25/'[1]Gold PNAVs '!S2-1</f>
        <v>0.42299312599596739</v>
      </c>
    </row>
    <row r="23" spans="1:7" ht="13.8" x14ac:dyDescent="0.25">
      <c r="B23" s="10" t="s">
        <v>27</v>
      </c>
      <c r="C23" s="12">
        <f>IF([1]Golds!M26=0, "", ([1]Golds!M26-[1]Golds!$M$38)/[1]Golds!$M$38)</f>
        <v>8.4633358666308542E-2</v>
      </c>
      <c r="D23" s="11">
        <f>IF([1]Golds!O26=0, "", ([1]Golds!O26-[1]Golds!O$38)/[1]Golds!O$38)</f>
        <v>-0.58439260732908316</v>
      </c>
      <c r="E23" s="11">
        <f>IF([1]Golds!AQ26=0, "", ([1]Golds!AQ26-[1]Golds!AQ$38)/[1]Golds!AQ$38)</f>
        <v>-0.62108944764449381</v>
      </c>
      <c r="F23" s="11">
        <f>IF([1]Golds!BK26=0, "", ([1]Golds!BK26-[1]Golds!BK$38)/[1]Golds!BK$38)</f>
        <v>-0.78374596127481222</v>
      </c>
      <c r="G23" s="11">
        <f>[1]Golds!M26/'[1]Gold PNAVs '!T2-1</f>
        <v>0.14636239340060042</v>
      </c>
    </row>
    <row r="24" spans="1:7" ht="13.8" x14ac:dyDescent="0.25">
      <c r="B24" s="10" t="s">
        <v>28</v>
      </c>
      <c r="C24" s="12">
        <f>IF([1]Golds!M27=0, "", ([1]Golds!M27-[1]Golds!$M$38)/[1]Golds!$M$38)</f>
        <v>1.040474789156185</v>
      </c>
      <c r="D24" s="11">
        <f>IF([1]Golds!O27=0, "", ([1]Golds!O27-[1]Golds!O$38)/[1]Golds!O$38)</f>
        <v>1.4348914813747817</v>
      </c>
      <c r="E24" s="11">
        <f>IF([1]Golds!AQ27=0, "", ([1]Golds!AQ27-[1]Golds!AQ$38)/[1]Golds!AQ$38)</f>
        <v>1.3391881187660091</v>
      </c>
      <c r="F24" s="11">
        <f>IF([1]Golds!BK27=0, "", ([1]Golds!BK27-[1]Golds!BK$38)/[1]Golds!BK$38)</f>
        <v>0.82667484033727501</v>
      </c>
      <c r="G24" s="11">
        <f>[1]Golds!M27/'[1]Gold PNAVs '!U2-1</f>
        <v>0.8310056240162198</v>
      </c>
    </row>
    <row r="25" spans="1:7" ht="13.8" x14ac:dyDescent="0.25">
      <c r="B25" s="10" t="s">
        <v>29</v>
      </c>
      <c r="C25" s="12">
        <f>IF([1]Golds!M28=0, "", ([1]Golds!M28-[1]Golds!$M$38)/[1]Golds!$M$38)</f>
        <v>-3.1005023703587126E-2</v>
      </c>
      <c r="D25" s="11">
        <f>IF([1]Golds!O28=0, "", ([1]Golds!O28-[1]Golds!O$38)/[1]Golds!O$38)</f>
        <v>1.666854160198265E-2</v>
      </c>
      <c r="E25" s="11">
        <f>IF([1]Golds!AQ28=0, "", ([1]Golds!AQ28-[1]Golds!AQ$38)/[1]Golds!AQ$38)</f>
        <v>-8.0928880670920827E-2</v>
      </c>
      <c r="F25" s="11">
        <f>IF([1]Golds!BK28=0, "", ([1]Golds!BK28-[1]Golds!BK$38)/[1]Golds!BK$38)</f>
        <v>0.27105007572471357</v>
      </c>
      <c r="G25" s="11">
        <f>[1]Golds!M28/'[1]Gold PNAVs '!V2-1</f>
        <v>0.7872193306352695</v>
      </c>
    </row>
    <row r="26" spans="1:7" ht="13.8" x14ac:dyDescent="0.25">
      <c r="B26" s="10" t="s">
        <v>30</v>
      </c>
      <c r="C26" s="12">
        <f>IF([1]Golds!M29=0, "", ([1]Golds!M29-[1]Golds!$M$38)/[1]Golds!$M$38)</f>
        <v>0.44422970758513536</v>
      </c>
      <c r="D26" s="11">
        <f>IF([1]Golds!O29=0, "", ([1]Golds!O29-[1]Golds!O$38)/[1]Golds!O$38)</f>
        <v>0.79911581879655114</v>
      </c>
      <c r="E26" s="11">
        <f>IF([1]Golds!AQ29=0, "", ([1]Golds!AQ29-[1]Golds!AQ$38)/[1]Golds!AQ$38)</f>
        <v>0.81077481698320231</v>
      </c>
      <c r="F26" s="11">
        <f>IF([1]Golds!BK29=0, "", ([1]Golds!BK29-[1]Golds!BK$38)/[1]Golds!BK$38)</f>
        <v>1.3708283413356772</v>
      </c>
      <c r="G26" s="11">
        <f>[1]Golds!M29/'[1]Gold PNAVs '!W2-1</f>
        <v>0.63481062774164077</v>
      </c>
    </row>
    <row r="27" spans="1:7" ht="13.8" x14ac:dyDescent="0.25">
      <c r="B27" s="10" t="s">
        <v>31</v>
      </c>
      <c r="C27" s="12">
        <f>IF([1]Golds!M30=0, "", ([1]Golds!M30-[1]Golds!$M$38)/[1]Golds!$M$38)</f>
        <v>0.58700897708256128</v>
      </c>
      <c r="D27" s="11">
        <f>IF([1]Golds!O30=0, "", ([1]Golds!O30-[1]Golds!O$38)/[1]Golds!O$38)</f>
        <v>-0.18745262267650756</v>
      </c>
      <c r="E27" s="11">
        <f>IF([1]Golds!AQ30=0, "", ([1]Golds!AQ30-[1]Golds!AQ$38)/[1]Golds!AQ$38)</f>
        <v>0.10320577328355816</v>
      </c>
      <c r="F27" s="11">
        <f>IF([1]Golds!BK30=0, "", ([1]Golds!BK30-[1]Golds!BK$38)/[1]Golds!BK$38)</f>
        <v>0.75429809944653181</v>
      </c>
      <c r="G27" s="11">
        <f>[1]Golds!M30/'[1]Gold PNAVs '!X2-1</f>
        <v>1.2400764260572741</v>
      </c>
    </row>
    <row r="28" spans="1:7" ht="13.8" x14ac:dyDescent="0.25">
      <c r="B28" s="10" t="s">
        <v>32</v>
      </c>
      <c r="C28" s="12">
        <f>IF([1]Golds!M31=0, "", ([1]Golds!M31-[1]Golds!$M$38)/[1]Golds!$M$38)</f>
        <v>7.934330813231286E-3</v>
      </c>
      <c r="D28" s="11">
        <f>IF([1]Golds!O31=0, "", ([1]Golds!O31-[1]Golds!O$38)/[1]Golds!O$38)</f>
        <v>-0.22334267356144336</v>
      </c>
      <c r="E28" s="11">
        <f>IF([1]Golds!AQ31=0, "", ([1]Golds!AQ31-[1]Golds!AQ$38)/[1]Golds!AQ$38)</f>
        <v>-0.22956422309286062</v>
      </c>
      <c r="F28" s="11">
        <f>IF([1]Golds!BK31=0, "", ([1]Golds!BK31-[1]Golds!BK$38)/[1]Golds!BK$38)</f>
        <v>0.24563669299475635</v>
      </c>
      <c r="G28" s="11">
        <f>[1]Golds!M31/'[1]Gold PNAVs '!Y2-1</f>
        <v>0.43583704843432236</v>
      </c>
    </row>
    <row r="29" spans="1:7" ht="13.8" x14ac:dyDescent="0.25">
      <c r="B29" s="10" t="s">
        <v>33</v>
      </c>
      <c r="C29" s="12">
        <f>IF([1]Golds!M32=0, "", ([1]Golds!M32-[1]Golds!$M$38)/[1]Golds!$M$38)</f>
        <v>0.14358832511834499</v>
      </c>
      <c r="D29" s="11">
        <f>IF([1]Golds!O32=0, "", ([1]Golds!O32-[1]Golds!O$38)/[1]Golds!O$38)</f>
        <v>0.37672469234726214</v>
      </c>
      <c r="E29" s="11">
        <f>IF([1]Golds!AQ32=0, "", ([1]Golds!AQ32-[1]Golds!AQ$38)/[1]Golds!AQ$38)</f>
        <v>0.27999149259191275</v>
      </c>
      <c r="F29" s="11">
        <f>IF([1]Golds!BK32=0, "", ([1]Golds!BK32-[1]Golds!BK$38)/[1]Golds!BK$38)</f>
        <v>0.32294130919454406</v>
      </c>
      <c r="G29" s="11">
        <f>[1]Golds!M32/'[1]Gold PNAVs '!Z2-1</f>
        <v>0.14914421181830684</v>
      </c>
    </row>
    <row r="30" spans="1:7" ht="13.8" x14ac:dyDescent="0.25">
      <c r="B30" s="10" t="s">
        <v>34</v>
      </c>
      <c r="C30" s="12">
        <f>IF([1]Golds!M33=0, "", ([1]Golds!M33-[1]Golds!$M$38)/[1]Golds!$M$38)</f>
        <v>-0.29653224296644559</v>
      </c>
      <c r="D30" s="11">
        <f>IF([1]Golds!O33=0, "", ([1]Golds!O33-[1]Golds!O$38)/[1]Golds!O$38)</f>
        <v>-0.4688971093444102</v>
      </c>
      <c r="E30" s="11">
        <f>IF([1]Golds!AQ33=0, "", ([1]Golds!AQ33-[1]Golds!AQ$38)/[1]Golds!AQ$38)</f>
        <v>-0.48498679909341091</v>
      </c>
      <c r="F30" s="11">
        <f>IF([1]Golds!BK33=0, "", ([1]Golds!BK33-[1]Golds!BK$38)/[1]Golds!BK$38)</f>
        <v>-0.40918747809653222</v>
      </c>
      <c r="G30" s="11">
        <f>[1]Golds!M33/'[1]Gold PNAVs '!AA2-1</f>
        <v>6.5967461898340352E-2</v>
      </c>
    </row>
    <row r="31" spans="1:7" ht="13.8" x14ac:dyDescent="0.25">
      <c r="B31" s="10" t="s">
        <v>35</v>
      </c>
      <c r="C31" s="12">
        <f>IF([1]Golds!M34=0, "", ([1]Golds!M34-[1]Golds!$M$38)/[1]Golds!$M$38)</f>
        <v>-4.5288512146329271E-2</v>
      </c>
      <c r="D31" s="11">
        <f>IF([1]Golds!O34=0, "", ([1]Golds!O34-[1]Golds!O$38)/[1]Golds!O$38)</f>
        <v>-0.64242935622042829</v>
      </c>
      <c r="E31" s="11">
        <f>IF([1]Golds!AQ34=0, "", ([1]Golds!AQ34-[1]Golds!AQ$38)/[1]Golds!AQ$38)</f>
        <v>-0.47127686965587251</v>
      </c>
      <c r="F31" s="11">
        <f>IF([1]Golds!BK34=0, "", ([1]Golds!BK34-[1]Golds!BK$38)/[1]Golds!BK$38)</f>
        <v>-0.20139924438183901</v>
      </c>
      <c r="G31" s="11">
        <f>[1]Golds!M34/'[1]Gold PNAVs '!AB2-1</f>
        <v>0.1703966380912898</v>
      </c>
    </row>
    <row r="32" spans="1:7" ht="13.8" x14ac:dyDescent="0.25">
      <c r="B32" s="10" t="s">
        <v>36</v>
      </c>
      <c r="C32" s="12">
        <f>IF([1]Golds!M35=0, "", ([1]Golds!M35-[1]Golds!$M$38)/[1]Golds!$M$38)</f>
        <v>-5.1714971100781618E-2</v>
      </c>
      <c r="D32" s="11">
        <f>IF([1]Golds!O35=0, "", ([1]Golds!O35-[1]Golds!O$38)/[1]Golds!O$38)</f>
        <v>-0.45910242904668574</v>
      </c>
      <c r="E32" s="11">
        <f>IF([1]Golds!AQ35=0, "", ([1]Golds!AQ35-[1]Golds!AQ$38)/[1]Golds!AQ$38)</f>
        <v>1.6006751885871928E-2</v>
      </c>
      <c r="F32" s="11">
        <f>IF([1]Golds!BK35=0, "", ([1]Golds!BK35-[1]Golds!BK$38)/[1]Golds!BK$38)</f>
        <v>0.13339841712149914</v>
      </c>
      <c r="G32" s="11">
        <f>[1]Golds!M35/'[1]Gold PNAVs '!AC2-1</f>
        <v>0.39501767192887915</v>
      </c>
    </row>
    <row r="33" spans="2:7" ht="13.8" x14ac:dyDescent="0.25">
      <c r="B33" s="10" t="s">
        <v>37</v>
      </c>
      <c r="C33" s="12">
        <f>IF([1]Golds!M36=0, "", ([1]Golds!M36-[1]Golds!$M$38)/[1]Golds!$M$38)</f>
        <v>-0.36728887056356363</v>
      </c>
      <c r="D33" s="11">
        <f>IF([1]Golds!O36=0, "", ([1]Golds!O36-[1]Golds!O$38)/[1]Golds!O$38)</f>
        <v>1.9144009696108077E-2</v>
      </c>
      <c r="E33" s="11">
        <f>IF([1]Golds!AQ36=0, "", ([1]Golds!AQ36-[1]Golds!AQ$38)/[1]Golds!AQ$38)</f>
        <v>-0.23008623613179674</v>
      </c>
      <c r="F33" s="11">
        <f>IF([1]Golds!BK36=0, "", ([1]Golds!BK36-[1]Golds!BK$38)/[1]Golds!BK$38)</f>
        <v>-0.59790154737947798</v>
      </c>
      <c r="G33" s="11">
        <f>[1]Golds!M36/'[1]Gold PNAVs '!AD2-1</f>
        <v>-0.11731783668063611</v>
      </c>
    </row>
    <row r="34" spans="2:7" ht="13.8" x14ac:dyDescent="0.25">
      <c r="B34" s="10" t="s">
        <v>38</v>
      </c>
      <c r="C34" s="13">
        <f>IF([1]Golds!M37=0, "", ([1]Golds!M37-[1]Golds!$M$38)/[1]Golds!$M$38)</f>
        <v>-0.400493893592967</v>
      </c>
      <c r="D34" s="11">
        <f>IF([1]Golds!O37=0, "", ([1]Golds!O37-[1]Golds!O$38)/[1]Golds!O$38)</f>
        <v>-0.35906499654430513</v>
      </c>
      <c r="E34" s="11">
        <f>IF([1]Golds!AQ37=0, "", ([1]Golds!AQ37-[1]Golds!AQ$38)/[1]Golds!AQ$38)</f>
        <v>-0.37936759236977136</v>
      </c>
      <c r="F34" s="11">
        <f>IF([1]Golds!BK37=0, "", ([1]Golds!BK37-[1]Golds!BK$38)/[1]Golds!BK$38)</f>
        <v>-0.27238705247514966</v>
      </c>
      <c r="G34" s="11">
        <f>[1]Golds!M37/'[1]Gold PNAVs '!AE2-1</f>
        <v>7.9587346904455902E-2</v>
      </c>
    </row>
    <row r="35" spans="2:7" ht="16.8" x14ac:dyDescent="0.25">
      <c r="B35" s="14" t="s">
        <v>39</v>
      </c>
      <c r="C35" s="15" t="str">
        <f>IF([1]Golds!M39=0, "", ([1]Golds!M39-[1]Golds!$M$38)/[1]Golds!$M$38)</f>
        <v/>
      </c>
      <c r="D35" s="9"/>
      <c r="E35" s="9"/>
      <c r="F35" s="9"/>
      <c r="G35" s="9"/>
    </row>
    <row r="36" spans="2:7" ht="13.8" x14ac:dyDescent="0.25">
      <c r="B36" s="10" t="s">
        <v>40</v>
      </c>
      <c r="C36" s="16">
        <f>IF([1]Golds!M40=0, "", ([1]Golds!M40-[1]Golds!$M$38)/[1]Golds!$M$38)</f>
        <v>-0.60626896265387897</v>
      </c>
      <c r="D36" s="11">
        <f>IF([1]Golds!O40=0, "", ([1]Golds!O40-[1]Golds!O$73)/[1]Golds!O$73)</f>
        <v>-0.31548783714030398</v>
      </c>
      <c r="E36" s="11">
        <f>IF([1]Golds!AQ40=0, "", ([1]Golds!AQ40-[1]Golds!AQ$73)/[1]Golds!AQ$73)</f>
        <v>1.2263651524797487E-2</v>
      </c>
      <c r="F36" s="11">
        <f>IF([1]Golds!BK40=0, "", ([1]Golds!BK40-[1]Golds!BK$73)/[1]Golds!BK$73)</f>
        <v>-0.73263013782563569</v>
      </c>
      <c r="G36" s="11">
        <f>[1]Golds!M40/'[1]Gold PNAVs '!AF2-1</f>
        <v>0.3629930561643282</v>
      </c>
    </row>
    <row r="37" spans="2:7" ht="13.8" x14ac:dyDescent="0.25">
      <c r="B37" s="10" t="s">
        <v>41</v>
      </c>
      <c r="C37" s="16">
        <f>IF([1]Golds!M41=0, "", ([1]Golds!M41-[1]Golds!$M$38)/[1]Golds!$M$38)</f>
        <v>-1.4197446383952548E-2</v>
      </c>
      <c r="D37" s="11">
        <f>IF([1]Golds!O41=0, "", ([1]Golds!O41-[1]Golds!O$73)/[1]Golds!O$73)</f>
        <v>2.8541958585283703E-3</v>
      </c>
      <c r="E37" s="11" t="e">
        <f>IF([1]Golds!AQ41=0, "", ([1]Golds!AQ41-[1]Golds!AQ$73)/[1]Golds!AQ$73)</f>
        <v>#VALUE!</v>
      </c>
      <c r="F37" s="11" t="e">
        <f>IF([1]Golds!BK41=0, "", ([1]Golds!BK41-[1]Golds!BK$73)/[1]Golds!BK$73)</f>
        <v>#VALUE!</v>
      </c>
      <c r="G37" s="11">
        <f>[1]Golds!M41/'[1]Gold PNAVs '!AG2-1</f>
        <v>1.3306077962289966</v>
      </c>
    </row>
    <row r="38" spans="2:7" ht="13.8" x14ac:dyDescent="0.25">
      <c r="B38" s="10" t="s">
        <v>42</v>
      </c>
      <c r="C38" s="16">
        <f>IF([1]Golds!M42=0, "", ([1]Golds!M42-[1]Golds!$M$38)/[1]Golds!$M$38)</f>
        <v>-0.20840006663030838</v>
      </c>
      <c r="D38" s="11">
        <f>IF([1]Golds!O42=0, "", ([1]Golds!O42-[1]Golds!O$73)/[1]Golds!O$73)</f>
        <v>-0.63419334049409537</v>
      </c>
      <c r="E38" s="11">
        <f>IF([1]Golds!AQ42=0, "", ([1]Golds!AQ42-[1]Golds!AQ$73)/[1]Golds!AQ$73)</f>
        <v>-5.1694451863211144E-2</v>
      </c>
      <c r="F38" s="11">
        <f>IF([1]Golds!BK42=0, "", ([1]Golds!BK42-[1]Golds!BK$73)/[1]Golds!BK$73)</f>
        <v>-9.6689145118751249E-2</v>
      </c>
      <c r="G38" s="11">
        <f>[1]Golds!M42/'[1]Gold PNAVs '!AH2-1</f>
        <v>0.25970219446529996</v>
      </c>
    </row>
    <row r="39" spans="2:7" ht="13.8" x14ac:dyDescent="0.25">
      <c r="B39" s="10" t="s">
        <v>43</v>
      </c>
      <c r="C39" s="16">
        <f>IF([1]Golds!M43=0, "", ([1]Golds!M43-[1]Golds!$M$38)/[1]Golds!$M$38)</f>
        <v>-0.34820869536410343</v>
      </c>
      <c r="D39" s="11">
        <f>IF([1]Golds!O43=0, "", ([1]Golds!O43-[1]Golds!O$73)/[1]Golds!O$73)</f>
        <v>0.29628846790650626</v>
      </c>
      <c r="E39" s="11">
        <f>IF([1]Golds!AQ43=0, "", ([1]Golds!AQ43-[1]Golds!AQ$73)/[1]Golds!AQ$73)</f>
        <v>1.061960985922461</v>
      </c>
      <c r="F39" s="11">
        <f>IF([1]Golds!BK43=0, "", ([1]Golds!BK43-[1]Golds!BK$73)/[1]Golds!BK$73)</f>
        <v>-0.4193867845889484</v>
      </c>
      <c r="G39" s="11">
        <f>[1]Golds!M43/'[1]Gold PNAVs '!AJ2-1</f>
        <v>-0.32087163416514408</v>
      </c>
    </row>
    <row r="40" spans="2:7" ht="13.8" x14ac:dyDescent="0.25">
      <c r="B40" s="10" t="s">
        <v>44</v>
      </c>
      <c r="C40" s="16">
        <f>IF([1]Golds!M44=0, "", ([1]Golds!M44-[1]Golds!$M$38)/[1]Golds!$M$38)</f>
        <v>-0.49819301335721422</v>
      </c>
      <c r="D40" s="11">
        <f>IF([1]Golds!O44=0, "", ([1]Golds!O44-[1]Golds!O$73)/[1]Golds!O$73)</f>
        <v>-0.40569485233404168</v>
      </c>
      <c r="E40" s="11">
        <f>IF([1]Golds!AQ44=0, "", ([1]Golds!AQ44-[1]Golds!AQ$73)/[1]Golds!AQ$73)</f>
        <v>-0.28881668658975873</v>
      </c>
      <c r="F40" s="11">
        <f>IF([1]Golds!BK44=0, "", ([1]Golds!BK44-[1]Golds!BK$73)/[1]Golds!BK$73)</f>
        <v>-0.3263479502609547</v>
      </c>
      <c r="G40" s="11">
        <f>[1]Golds!M44/'[1]Gold PNAVs '!AK2-1</f>
        <v>-0.36053817147851941</v>
      </c>
    </row>
    <row r="41" spans="2:7" ht="13.8" x14ac:dyDescent="0.25">
      <c r="B41" s="10" t="s">
        <v>45</v>
      </c>
      <c r="C41" s="16">
        <f>IF([1]Golds!M46=0, "", ([1]Golds!M46-[1]Golds!$M$38)/[1]Golds!$M$38)</f>
        <v>-5.1542559279294582E-2</v>
      </c>
      <c r="D41" s="11">
        <f>IF([1]Golds!O46=0, "", ([1]Golds!O46-[1]Golds!O$73)/[1]Golds!O$73)</f>
        <v>-0.52364918222739565</v>
      </c>
      <c r="E41" s="11">
        <f>IF([1]Golds!AQ46=0, "", ([1]Golds!AQ46-[1]Golds!AQ$73)/[1]Golds!AQ$73)</f>
        <v>4.076039232876745E-2</v>
      </c>
      <c r="F41" s="11">
        <f>IF([1]Golds!BK46=0, "", ([1]Golds!BK46-[1]Golds!BK$73)/[1]Golds!BK$73)</f>
        <v>-0.74739279814871395</v>
      </c>
      <c r="G41" s="11">
        <f>[1]Golds!M46/'[1]Gold PNAVs '!AL2-1</f>
        <v>0.31220694768351498</v>
      </c>
    </row>
    <row r="42" spans="2:7" ht="13.8" x14ac:dyDescent="0.25">
      <c r="B42" s="10" t="s">
        <v>46</v>
      </c>
      <c r="C42" s="16">
        <f>IF([1]Golds!M47=0, "", ([1]Golds!M47-[1]Golds!$M$38)/[1]Golds!$M$38)</f>
        <v>-0.30419145239504219</v>
      </c>
      <c r="D42" s="11">
        <f>IF([1]Golds!O47=0, "", ([1]Golds!O47-[1]Golds!O$73)/[1]Golds!O$73)</f>
        <v>-0.15484074488177618</v>
      </c>
      <c r="E42" s="11">
        <f>IF([1]Golds!AQ47=0, "", ([1]Golds!AQ47-[1]Golds!AQ$73)/[1]Golds!AQ$73)</f>
        <v>0.74838682277647406</v>
      </c>
      <c r="F42" s="11">
        <f>IF([1]Golds!BK47=0, "", ([1]Golds!BK47-[1]Golds!BK$73)/[1]Golds!BK$73)</f>
        <v>1.5568745529662547</v>
      </c>
      <c r="G42" s="11">
        <f>[1]Golds!M47/'[1]Gold PNAVs '!AM29-1</f>
        <v>0.55910079999999995</v>
      </c>
    </row>
    <row r="43" spans="2:7" ht="13.8" x14ac:dyDescent="0.25">
      <c r="B43" s="10" t="s">
        <v>47</v>
      </c>
      <c r="C43" s="16">
        <f>IF([1]Golds!M48=0, "", ([1]Golds!M48-[1]Golds!$M$38)/[1]Golds!$M$38)</f>
        <v>-0.34558637517886776</v>
      </c>
      <c r="D43" s="11">
        <f>IF([1]Golds!O48=0, "", ([1]Golds!O48-[1]Golds!O$73)/[1]Golds!O$73)</f>
        <v>-0.55360663478426198</v>
      </c>
      <c r="E43" s="11">
        <f>IF([1]Golds!AQ48=0, "", ([1]Golds!AQ48-[1]Golds!AQ$73)/[1]Golds!AQ$73)</f>
        <v>-0.33388713572523049</v>
      </c>
      <c r="F43" s="11">
        <f>IF([1]Golds!BK48=0, "", ([1]Golds!BK48-[1]Golds!BK$73)/[1]Golds!BK$73)</f>
        <v>-0.35471085341082992</v>
      </c>
      <c r="G43" s="11">
        <f>[1]Golds!M48/'[1]Gold PNAVs '!AN20-1</f>
        <v>-0.32636905547335426</v>
      </c>
    </row>
    <row r="44" spans="2:7" ht="13.8" x14ac:dyDescent="0.25">
      <c r="B44" s="10" t="s">
        <v>48</v>
      </c>
      <c r="C44" s="16">
        <f>IF([1]Golds!M49=0, "", ([1]Golds!M49-[1]Golds!$M$38)/[1]Golds!$M$38)</f>
        <v>-0.19728075375181447</v>
      </c>
      <c r="D44" s="11">
        <f>IF([1]Golds!O49=0, "", ([1]Golds!O49-[1]Golds!O$73)/[1]Golds!O$73)</f>
        <v>0.69915789272679441</v>
      </c>
      <c r="E44" s="11">
        <f>IF([1]Golds!AQ49=0, "", ([1]Golds!AQ49-[1]Golds!AQ$73)/[1]Golds!AQ$73)</f>
        <v>1.7807323235614982</v>
      </c>
      <c r="F44" s="11">
        <f>IF([1]Golds!BK49=0, "", ([1]Golds!BK49-[1]Golds!BK$73)/[1]Golds!BK$73)</f>
        <v>-0.29669049654427504</v>
      </c>
      <c r="G44" s="11">
        <f>[1]Golds!M49/'[1]Gold PNAVs '!AO2-1</f>
        <v>0.74298334128114085</v>
      </c>
    </row>
    <row r="45" spans="2:7" ht="13.8" x14ac:dyDescent="0.25">
      <c r="B45" s="10" t="s">
        <v>49</v>
      </c>
      <c r="C45" s="16">
        <f>IF([1]Golds!M50=0, "", ([1]Golds!M50-[1]Golds!$M$38)/[1]Golds!$M$38)</f>
        <v>-0.25605069194529279</v>
      </c>
      <c r="D45" s="11">
        <f>IF([1]Golds!O50=0, "", ([1]Golds!O50-[1]Golds!O$73)/[1]Golds!O$73)</f>
        <v>-0.25437221319719538</v>
      </c>
      <c r="E45" s="11">
        <f>IF([1]Golds!AQ50=0, "", ([1]Golds!AQ50-[1]Golds!AQ$73)/[1]Golds!AQ$73)</f>
        <v>0.55906033078967965</v>
      </c>
      <c r="F45" s="11">
        <f>IF([1]Golds!BK50=0, "", ([1]Golds!BK50-[1]Golds!BK$73)/[1]Golds!BK$73)</f>
        <v>0.61177599581831454</v>
      </c>
      <c r="G45" s="11">
        <f>[1]Golds!M50/'[1]Gold PNAVs '!AP2-1</f>
        <v>0.11703873469025572</v>
      </c>
    </row>
    <row r="46" spans="2:7" ht="13.8" x14ac:dyDescent="0.25">
      <c r="B46" s="10" t="s">
        <v>50</v>
      </c>
      <c r="C46" s="16">
        <f>IF([1]Golds!M52=0, "", ([1]Golds!M52-[1]Golds!$M$38)/[1]Golds!$M$38)</f>
        <v>-0.1024713894071492</v>
      </c>
      <c r="D46" s="11" t="e">
        <f>IF([1]Golds!O52=0, "", ([1]Golds!O52-[1]Golds!O$73)/[1]Golds!O$73)</f>
        <v>#VALUE!</v>
      </c>
      <c r="E46" s="11">
        <f>IF([1]Golds!AQ52=0, "", ([1]Golds!AQ52-[1]Golds!AQ$73)/[1]Golds!AQ$73)</f>
        <v>-0.54886912721012715</v>
      </c>
      <c r="F46" s="11">
        <f>IF([1]Golds!BK52=0, "", ([1]Golds!BK52-[1]Golds!BK$73)/[1]Golds!BK$73)</f>
        <v>6.2792531962905089</v>
      </c>
      <c r="G46" s="11">
        <f>[1]Golds!M52/'[1]Gold PNAVs '!AQ2-1</f>
        <v>0.14511150021760644</v>
      </c>
    </row>
    <row r="47" spans="2:7" ht="13.8" x14ac:dyDescent="0.25">
      <c r="B47" s="10" t="s">
        <v>51</v>
      </c>
      <c r="C47" s="16">
        <f>IF([1]Golds!M53=0, "", ([1]Golds!M53-[1]Golds!$M$38)/[1]Golds!$M$38)</f>
        <v>-0.10503448982057616</v>
      </c>
      <c r="D47" s="11" t="e">
        <f>IF([1]Golds!O53=0, "", ([1]Golds!O53-[1]Golds!O$73)/[1]Golds!O$73)</f>
        <v>#VALUE!</v>
      </c>
      <c r="E47" s="11">
        <f>IF([1]Golds!AQ53=0, "", ([1]Golds!AQ53-[1]Golds!AQ$73)/[1]Golds!AQ$73)</f>
        <v>-4.5693878909604087E-2</v>
      </c>
      <c r="F47" s="11">
        <f>IF([1]Golds!BK53=0, "", ([1]Golds!BK53-[1]Golds!BK$73)/[1]Golds!BK$73)</f>
        <v>0.24193278999614048</v>
      </c>
      <c r="G47" s="11">
        <f>[1]Golds!M53/'[1]Gold PNAVs '!AR2-1</f>
        <v>5.2095031267620273E-2</v>
      </c>
    </row>
    <row r="48" spans="2:7" ht="13.8" x14ac:dyDescent="0.25">
      <c r="B48" s="10" t="s">
        <v>52</v>
      </c>
      <c r="C48" s="16">
        <f>IF([1]Golds!M54=0, "", ([1]Golds!M54-[1]Golds!$M$38)/[1]Golds!$M$38)</f>
        <v>-0.27306034819073649</v>
      </c>
      <c r="D48" s="11">
        <f>IF([1]Golds!O54=0, "", ([1]Golds!O54-[1]Golds!O$73)/[1]Golds!O$73)</f>
        <v>5.7025385323944251E-2</v>
      </c>
      <c r="E48" s="11">
        <f>IF([1]Golds!AQ54=0, "", ([1]Golds!AQ54-[1]Golds!AQ$73)/[1]Golds!AQ$73)</f>
        <v>0.67537850262512411</v>
      </c>
      <c r="F48" s="11">
        <f>IF([1]Golds!BK54=0, "", ([1]Golds!BK54-[1]Golds!BK$73)/[1]Golds!BK$73)</f>
        <v>0.86132956078510625</v>
      </c>
      <c r="G48" s="11">
        <f>[1]Golds!M54/'[1]Gold PNAVs '!AS2-1</f>
        <v>0.42904202800991009</v>
      </c>
    </row>
    <row r="49" spans="2:12" ht="13.8" x14ac:dyDescent="0.25">
      <c r="B49" s="10" t="s">
        <v>53</v>
      </c>
      <c r="C49" s="16" t="e">
        <f>IF([1]Golds!M55=0, "", ([1]Golds!M55-[1]Golds!$M$38)/[1]Golds!$M$38)</f>
        <v>#VALUE!</v>
      </c>
      <c r="D49" s="11">
        <f>IF([1]Golds!O55=0, "", ([1]Golds!O55-[1]Golds!O$73)/[1]Golds!O$73)</f>
        <v>-0.72777735917848818</v>
      </c>
      <c r="E49" s="11" t="e">
        <f>IF([1]Golds!AQ55=0, "", ([1]Golds!AQ55-[1]Golds!AQ$73)/[1]Golds!AQ$73)</f>
        <v>#VALUE!</v>
      </c>
      <c r="F49" s="11" t="e">
        <f>IF([1]Golds!BK55=0, "", ([1]Golds!BK55-[1]Golds!BK$73)/[1]Golds!BK$73)</f>
        <v>#DIV/0!</v>
      </c>
      <c r="G49" s="11" t="e">
        <f>[1]Golds!M55/'[1]Gold PNAVs '!AT2-1</f>
        <v>#VALUE!</v>
      </c>
    </row>
    <row r="50" spans="2:12" ht="13.8" x14ac:dyDescent="0.25">
      <c r="B50" s="10" t="s">
        <v>54</v>
      </c>
      <c r="C50" s="16">
        <f>IF([1]Golds!M57=0, "", ([1]Golds!M57-[1]Golds!$M$38)/[1]Golds!$M$38)</f>
        <v>-0.62676805388876777</v>
      </c>
      <c r="D50" s="11">
        <f>IF([1]Golds!O57=0, "", ([1]Golds!O57-[1]Golds!O$73)/[1]Golds!O$73)</f>
        <v>-0.51601334760562656</v>
      </c>
      <c r="E50" s="11">
        <f>IF([1]Golds!AQ57=0, "", ([1]Golds!AQ57-[1]Golds!AQ$73)/[1]Golds!AQ$73)</f>
        <v>-0.473312384741787</v>
      </c>
      <c r="F50" s="11">
        <f>IF([1]Golds!BK57=0, "", ([1]Golds!BK57-[1]Golds!BK$73)/[1]Golds!BK$73)</f>
        <v>-0.70059160631876705</v>
      </c>
      <c r="G50" s="11">
        <f>[1]Golds!M57/'[1]Gold PNAVs '!AU2-1</f>
        <v>3.1616388278075558E-2</v>
      </c>
    </row>
    <row r="51" spans="2:12" ht="13.8" x14ac:dyDescent="0.25">
      <c r="B51" s="10" t="s">
        <v>55</v>
      </c>
      <c r="C51" s="16">
        <f>IF([1]Golds!M58=0, "", ([1]Golds!M58-[1]Golds!$M$38)/[1]Golds!$M$38)</f>
        <v>-0.29352034904715307</v>
      </c>
      <c r="D51" s="11">
        <f>IF([1]Golds!O58=0, "", ([1]Golds!O58-[1]Golds!O$73)/[1]Golds!O$73)</f>
        <v>-0.54819122526329567</v>
      </c>
      <c r="E51" s="11">
        <f>IF([1]Golds!AQ58=0, "", ([1]Golds!AQ58-[1]Golds!AQ$73)/[1]Golds!AQ$73)</f>
        <v>3.9436586523792554E-2</v>
      </c>
      <c r="F51" s="11">
        <f>IF([1]Golds!BK58=0, "", ([1]Golds!BK58-[1]Golds!BK$73)/[1]Golds!BK$73)</f>
        <v>1.8183359302110749</v>
      </c>
      <c r="G51" s="11">
        <f>[1]Golds!M58/'[1]Gold PNAVs '!AV2-1</f>
        <v>8.5369230714492206E-2</v>
      </c>
    </row>
    <row r="52" spans="2:12" ht="13.8" x14ac:dyDescent="0.25">
      <c r="B52" s="10" t="s">
        <v>56</v>
      </c>
      <c r="C52" s="16" t="e">
        <f>IF([1]Golds!M59=0, "", ([1]Golds!M59-[1]Golds!$M$38)/[1]Golds!$M$38)</f>
        <v>#VALUE!</v>
      </c>
      <c r="D52" s="11" t="e">
        <f>IF([1]Golds!O59=0, "", ([1]Golds!O59-[1]Golds!O$73)/[1]Golds!O$73)</f>
        <v>#VALUE!</v>
      </c>
      <c r="E52" s="11" t="e">
        <f>IF([1]Golds!AQ59=0, "", ([1]Golds!AQ59-[1]Golds!AQ$73)/[1]Golds!AQ$73)</f>
        <v>#VALUE!</v>
      </c>
      <c r="F52" s="11" t="e">
        <f>IF([1]Golds!BK59=0, "", ([1]Golds!BK59-[1]Golds!BK$73)/[1]Golds!BK$73)</f>
        <v>#VALUE!</v>
      </c>
      <c r="G52" s="11" t="e">
        <f>[1]Golds!M59/'[1]Gold PNAVs '!AW2-1</f>
        <v>#VALUE!</v>
      </c>
    </row>
    <row r="53" spans="2:12" ht="13.8" x14ac:dyDescent="0.25">
      <c r="B53" s="10" t="s">
        <v>57</v>
      </c>
      <c r="C53" s="16">
        <f>IF([1]Golds!M60=0, "", ([1]Golds!M60-[1]Golds!$M$38)/[1]Golds!$M$38)</f>
        <v>-0.28097719776752511</v>
      </c>
      <c r="D53" s="11">
        <f>IF([1]Golds!O60=0, "", ([1]Golds!O60-[1]Golds!O$73)/[1]Golds!O$73)</f>
        <v>-0.69679138017821174</v>
      </c>
      <c r="E53" s="11">
        <f>IF([1]Golds!AQ60=0, "", ([1]Golds!AQ60-[1]Golds!AQ$73)/[1]Golds!AQ$73)</f>
        <v>0.12407208241594118</v>
      </c>
      <c r="F53" s="11">
        <f>IF([1]Golds!BK60=0, "", ([1]Golds!BK60-[1]Golds!BK$73)/[1]Golds!BK$73)</f>
        <v>0.21081333850679984</v>
      </c>
      <c r="G53" s="11">
        <f>[1]Golds!M60/'[1]Gold PNAVs '!AX2-1</f>
        <v>-5.5126064367690852E-2</v>
      </c>
    </row>
    <row r="54" spans="2:12" ht="13.8" x14ac:dyDescent="0.25">
      <c r="B54" s="10" t="s">
        <v>58</v>
      </c>
      <c r="C54" s="16">
        <f>IF([1]Golds!M61=0, "", ([1]Golds!M61-[1]Golds!$M$38)/[1]Golds!$M$38)</f>
        <v>-0.43979110580171354</v>
      </c>
      <c r="D54" s="11">
        <f>IF([1]Golds!O61=0, "", ([1]Golds!O61-[1]Golds!O$73)/[1]Golds!O$73)</f>
        <v>-0.47608050629960735</v>
      </c>
      <c r="E54" s="11">
        <f>IF([1]Golds!AQ61=0, "", ([1]Golds!AQ61-[1]Golds!AQ$73)/[1]Golds!AQ$73)</f>
        <v>-0.55512593876116367</v>
      </c>
      <c r="F54" s="11">
        <f>IF([1]Golds!BK61=0, "", ([1]Golds!BK61-[1]Golds!BK$73)/[1]Golds!BK$73)</f>
        <v>-0.80088329931646352</v>
      </c>
      <c r="G54" s="11">
        <f>[1]Golds!M61/'[1]Gold PNAVs '!AY2-1</f>
        <v>0.10791184932690423</v>
      </c>
    </row>
    <row r="55" spans="2:12" ht="13.8" x14ac:dyDescent="0.25">
      <c r="B55" s="10" t="s">
        <v>59</v>
      </c>
      <c r="C55" s="16">
        <f>IF([1]Golds!M62=0, "", ([1]Golds!M62-[1]Golds!$M$38)/[1]Golds!$M$38)</f>
        <v>-0.13808277826184953</v>
      </c>
      <c r="D55" s="11">
        <f>IF([1]Golds!O62=0, "", ([1]Golds!O62-[1]Golds!O$73)/[1]Golds!O$73)</f>
        <v>-0.43071492883247964</v>
      </c>
      <c r="E55" s="11">
        <f>IF([1]Golds!AQ62=0, "", ([1]Golds!AQ62-[1]Golds!AQ$73)/[1]Golds!AQ$73)</f>
        <v>-0.20124109337949764</v>
      </c>
      <c r="F55" s="11">
        <f>IF([1]Golds!BK62=0, "", ([1]Golds!BK62-[1]Golds!BK$73)/[1]Golds!BK$73)</f>
        <v>0.22077406562947585</v>
      </c>
      <c r="G55" s="11">
        <f>[1]Golds!M62/'[1]Gold PNAVs '!AZ2-1</f>
        <v>-5.259177528523562E-3</v>
      </c>
    </row>
    <row r="56" spans="2:12" ht="13.8" x14ac:dyDescent="0.25">
      <c r="B56" s="10" t="s">
        <v>60</v>
      </c>
      <c r="C56" s="16">
        <f>IF([1]Golds!M63=0, "", ([1]Golds!M63-[1]Golds!$M$38)/[1]Golds!$M$38)</f>
        <v>-0.57791920806802888</v>
      </c>
      <c r="D56" s="11">
        <f>IF([1]Golds!O63=0, "", ([1]Golds!O63-[1]Golds!O$73)/[1]Golds!O$73)</f>
        <v>-0.64722418696838435</v>
      </c>
      <c r="E56" s="11">
        <f>IF([1]Golds!AQ63=0, "", ([1]Golds!AQ63-[1]Golds!AQ$73)/[1]Golds!AQ$73)</f>
        <v>-0.39297248287360459</v>
      </c>
      <c r="F56" s="11">
        <f>IF([1]Golds!BK63=0, "", ([1]Golds!BK63-[1]Golds!BK$73)/[1]Golds!BK$73)</f>
        <v>-0.70605100850805236</v>
      </c>
      <c r="G56" s="11">
        <f>[1]Golds!M63/'[1]Gold PNAVs '!BA2-1</f>
        <v>-0.13254173203997732</v>
      </c>
    </row>
    <row r="57" spans="2:12" ht="13.8" x14ac:dyDescent="0.25">
      <c r="B57" s="10" t="s">
        <v>61</v>
      </c>
      <c r="C57" s="17">
        <f>IF([1]Golds!M64=0, "", ([1]Golds!M64-[1]Golds!$M$38)/[1]Golds!$M$38)</f>
        <v>-0.13334274220132664</v>
      </c>
      <c r="D57" s="12">
        <f>IF([1]Golds!O64=0, "", ([1]Golds!O64-[1]Golds!O$73)/[1]Golds!O$73)</f>
        <v>-0.44068766498993445</v>
      </c>
      <c r="E57" s="11">
        <f>IF([1]Golds!AQ64=0, "", ([1]Golds!AQ64-[1]Golds!AQ$73)/[1]Golds!AQ$73)</f>
        <v>-0.13571222172044575</v>
      </c>
      <c r="F57" s="11">
        <f>IF([1]Golds!BK64=0, "", ([1]Golds!BK64-[1]Golds!BK$73)/[1]Golds!BK$73)</f>
        <v>-0.26740303421411532</v>
      </c>
      <c r="G57" s="11">
        <f>[1]Golds!M64/'[1]Gold PNAVs '!BB2</f>
        <v>1.4207675325859201</v>
      </c>
    </row>
    <row r="58" spans="2:12" ht="13.8" x14ac:dyDescent="0.25">
      <c r="B58" s="10" t="s">
        <v>62</v>
      </c>
      <c r="C58" s="11">
        <f>IF([1]Golds!M65=0, "", ([1]Golds!M65-[1]Golds!$M$38)/[1]Golds!$M$38)</f>
        <v>-0.19257433266146309</v>
      </c>
      <c r="D58" s="11">
        <f>IF([1]Golds!O65=0, "", ([1]Golds!O65-[1]Golds!O$73)/[1]Golds!O$73)</f>
        <v>-0.55514879093760849</v>
      </c>
      <c r="E58" s="11">
        <f>IF([1]Golds!AQ65=0, "", ([1]Golds!AQ65-[1]Golds!AQ$73)/[1]Golds!AQ$73)</f>
        <v>0.25288144991447459</v>
      </c>
      <c r="F58" s="11">
        <f>IF([1]Golds!BK65=0, "", ([1]Golds!BK65-[1]Golds!BK$73)/[1]Golds!BK$73)</f>
        <v>-0.35481956045913171</v>
      </c>
      <c r="L58" s="18"/>
    </row>
    <row r="59" spans="2:12" ht="13.8" x14ac:dyDescent="0.25">
      <c r="B59" s="10" t="s">
        <v>63</v>
      </c>
      <c r="C59" s="16">
        <f>IF([1]Golds!M66=0, "", ([1]Golds!M66-[1]Golds!$M$38)/[1]Golds!$M$38)</f>
        <v>-0.20042631316174214</v>
      </c>
      <c r="D59" s="11" t="e">
        <f>IF([1]Golds!O66=0, "", ([1]Golds!O66-[1]Golds!O$73)/[1]Golds!O$73)</f>
        <v>#VALUE!</v>
      </c>
      <c r="E59" s="11">
        <f>IF([1]Golds!AQ66=0, "", ([1]Golds!AQ66-[1]Golds!AQ$73)/[1]Golds!AQ$73)</f>
        <v>-0.55918024259566923</v>
      </c>
      <c r="F59" s="11">
        <f>IF([1]Golds!BK66=0, "", ([1]Golds!BK66-[1]Golds!BK$73)/[1]Golds!BK$73)</f>
        <v>-0.48895926995991623</v>
      </c>
    </row>
    <row r="60" spans="2:12" ht="13.8" x14ac:dyDescent="0.25">
      <c r="B60" s="10" t="s">
        <v>64</v>
      </c>
      <c r="C60" s="16">
        <f>IF([1]Golds!M45=0, "", ([1]Golds!M45-[1]Golds!$M$38)/[1]Golds!$M$38)</f>
        <v>-0.34594282557722927</v>
      </c>
      <c r="D60" s="11">
        <f>IF([1]Golds!O45=0, "", ([1]Golds!O45-[1]Golds!O$73)/[1]Golds!O$73)</f>
        <v>0.289589697039561</v>
      </c>
      <c r="E60" s="11">
        <f>IF([1]Golds!AQ45=0, "", ([1]Golds!AQ45-[1]Golds!AQ$73)/[1]Golds!AQ$73)</f>
        <v>0.7477302039941004</v>
      </c>
      <c r="F60" s="11">
        <f>IF([1]Golds!BK45=0, "", ([1]Golds!BK45-[1]Golds!BK$73)/[1]Golds!BK$73)</f>
        <v>-0.67417236861940943</v>
      </c>
    </row>
    <row r="61" spans="2:12" ht="13.8" x14ac:dyDescent="0.25">
      <c r="B61" s="10" t="s">
        <v>65</v>
      </c>
      <c r="C61" s="16">
        <f>IF([1]Golds!M67=0, "", ([1]Golds!M67-[1]Golds!$M$38)/[1]Golds!$M$38)</f>
        <v>-0.4923542706115992</v>
      </c>
      <c r="D61" s="11">
        <f>IF([1]Golds!O67=0, "", ([1]Golds!O67-[1]Golds!O$73)/[1]Golds!O$73)</f>
        <v>-0.62873596290784273</v>
      </c>
      <c r="E61" s="11">
        <f>IF([1]Golds!AQ67=0, "", ([1]Golds!AQ67-[1]Golds!AQ$73)/[1]Golds!AQ$73)</f>
        <v>-0.65574344784741179</v>
      </c>
      <c r="F61" s="11">
        <f>IF([1]Golds!BK67=0, "", ([1]Golds!BK67-[1]Golds!BK$73)/[1]Golds!BK$73)</f>
        <v>-0.76870171288783407</v>
      </c>
    </row>
    <row r="62" spans="2:12" ht="13.8" x14ac:dyDescent="0.25">
      <c r="B62" s="10" t="s">
        <v>66</v>
      </c>
      <c r="C62" s="16">
        <f>IF([1]Golds!M68=0, "", ([1]Golds!M68-[1]Golds!$M$38)/[1]Golds!$M$38)</f>
        <v>-0.47133890319251975</v>
      </c>
      <c r="D62" s="11">
        <f>IF([1]Golds!O68=0, "", ([1]Golds!O68-[1]Golds!O$73)/[1]Golds!O$73)</f>
        <v>-0.37873053587251743</v>
      </c>
      <c r="E62" s="11">
        <f>IF([1]Golds!AQ68=0, "", ([1]Golds!AQ68-[1]Golds!AQ$73)/[1]Golds!AQ$73)</f>
        <v>-0.33717049222270196</v>
      </c>
      <c r="F62" s="11">
        <f>IF([1]Golds!BK68=0, "", ([1]Golds!BK68-[1]Golds!BK$73)/[1]Golds!BK$73)</f>
        <v>-0.64892261051134759</v>
      </c>
    </row>
    <row r="63" spans="2:12" ht="13.8" x14ac:dyDescent="0.25">
      <c r="B63" s="10" t="s">
        <v>67</v>
      </c>
      <c r="C63" s="16">
        <f>IF([1]Golds!M69=0, "", ([1]Golds!M69-[1]Golds!$M$38)/[1]Golds!$M$38)</f>
        <v>-0.33687128773696184</v>
      </c>
      <c r="D63" s="11">
        <f>IF([1]Golds!O69=0, "", ([1]Golds!O69-[1]Golds!O$73)/[1]Golds!O$73)</f>
        <v>3.3296999073976683</v>
      </c>
      <c r="E63" s="11">
        <f>IF([1]Golds!AQ69=0, "", ([1]Golds!AQ69-[1]Golds!AQ$73)/[1]Golds!AQ$73)</f>
        <v>-0.24993872947204313</v>
      </c>
      <c r="F63" s="11">
        <f>IF([1]Golds!BK69=0, "", ([1]Golds!BK69-[1]Golds!BK$73)/[1]Golds!BK$73)</f>
        <v>-0.88396831038701618</v>
      </c>
    </row>
    <row r="64" spans="2:12" ht="13.8" x14ac:dyDescent="0.25">
      <c r="B64" s="10" t="s">
        <v>68</v>
      </c>
      <c r="C64" s="16">
        <f>IF([1]Golds!M70=0, "", ([1]Golds!M70-[1]Golds!$M$38)/[1]Golds!$M$38)</f>
        <v>-0.12617207306046632</v>
      </c>
      <c r="D64" s="11">
        <f>IF([1]Golds!O70=0, "", ([1]Golds!O70-[1]Golds!O$73)/[1]Golds!O$73)</f>
        <v>-0.40787758662722784</v>
      </c>
      <c r="E64" s="11">
        <f>IF([1]Golds!AQ70=0, "", ([1]Golds!AQ70-[1]Golds!AQ$73)/[1]Golds!AQ$73)</f>
        <v>0.28244561885531078</v>
      </c>
      <c r="F64" s="11">
        <f>IF([1]Golds!BK70=0, "", ([1]Golds!BK70-[1]Golds!BK$73)/[1]Golds!BK$73)</f>
        <v>-0.25406941013490392</v>
      </c>
    </row>
    <row r="65" spans="2:6" ht="13.8" x14ac:dyDescent="0.25">
      <c r="B65" s="10" t="s">
        <v>69</v>
      </c>
      <c r="C65" s="16">
        <f>IF([1]Golds!M71=0, "", ([1]Golds!M71-[1]Golds!$M$38)/[1]Golds!$M$38)</f>
        <v>-0.48031969986695022</v>
      </c>
      <c r="D65" s="11">
        <f>IF([1]Golds!O71=0, "", ([1]Golds!O71-[1]Golds!O$73)/[1]Golds!O$73)</f>
        <v>5.9512827163825603</v>
      </c>
      <c r="E65" s="11">
        <f>IF([1]Golds!AQ71=0, "", ([1]Golds!AQ71-[1]Golds!AQ$73)/[1]Golds!AQ$73)</f>
        <v>-0.29926394637572246</v>
      </c>
      <c r="F65" s="11">
        <f>IF([1]Golds!BK71=0, "", ([1]Golds!BK71-[1]Golds!BK$73)/[1]Golds!BK$73)</f>
        <v>-0.91350763440550042</v>
      </c>
    </row>
    <row r="66" spans="2:6" ht="13.8" x14ac:dyDescent="0.25">
      <c r="B66" s="10" t="s">
        <v>70</v>
      </c>
      <c r="C66" s="16">
        <f>IF([1]Golds!M72=0, "", ([1]Golds!M72-[1]Golds!$M$38)/[1]Golds!$M$38)</f>
        <v>-0.438642002518351</v>
      </c>
      <c r="D66" s="11">
        <f>IF([1]Golds!O72=0, "", ([1]Golds!O72-[1]Golds!O$73)/[1]Golds!O$73)</f>
        <v>-0.78184389836433232</v>
      </c>
      <c r="E66" s="11">
        <f>IF([1]Golds!AQ72=0, "", ([1]Golds!AQ72-[1]Golds!AQ$73)/[1]Golds!AQ$73)</f>
        <v>-0.58573090670165739</v>
      </c>
      <c r="F66" s="11">
        <f>IF([1]Golds!BK72=0, "", ([1]Golds!BK72-[1]Golds!BK$73)/[1]Golds!BK$73)</f>
        <v>-0.72477438221337642</v>
      </c>
    </row>
    <row r="67" spans="2:6" s="23" customFormat="1" x14ac:dyDescent="0.25">
      <c r="B67" s="19"/>
      <c r="C67" s="20"/>
      <c r="D67" s="21"/>
      <c r="E67" s="22"/>
      <c r="F67" s="22"/>
    </row>
  </sheetData>
  <conditionalFormatting sqref="C4:C10 C12:C34 C36:C66">
    <cfRule type="expression" dxfId="9" priority="9">
      <formula>$C4&gt;=$C$1</formula>
    </cfRule>
    <cfRule type="expression" dxfId="8" priority="10">
      <formula>$C4&lt;=-$C$1</formula>
    </cfRule>
  </conditionalFormatting>
  <conditionalFormatting sqref="D4:D10 D12:D34 D36:D66">
    <cfRule type="expression" dxfId="7" priority="7">
      <formula>$D4&gt;=$D$1</formula>
    </cfRule>
    <cfRule type="expression" dxfId="6" priority="8">
      <formula>$D4&lt;=-$D$1</formula>
    </cfRule>
  </conditionalFormatting>
  <conditionalFormatting sqref="E4:E10 E12:E34 E36:E66">
    <cfRule type="expression" dxfId="5" priority="5">
      <formula>$E4&gt;=$E$1</formula>
    </cfRule>
    <cfRule type="expression" dxfId="4" priority="6">
      <formula>$E4&lt;=-$E$1</formula>
    </cfRule>
  </conditionalFormatting>
  <conditionalFormatting sqref="F4:F10 F12:F34 F36:F66">
    <cfRule type="expression" dxfId="3" priority="3">
      <formula>$F4&gt;=$F$1</formula>
    </cfRule>
    <cfRule type="expression" dxfId="2" priority="4">
      <formula>$F4&lt;=-$F$1</formula>
    </cfRule>
  </conditionalFormatting>
  <conditionalFormatting sqref="G4:G10 G12:G34 G36:G57">
    <cfRule type="expression" dxfId="1" priority="1">
      <formula>$G4&gt;=$G$1</formula>
    </cfRule>
    <cfRule type="expression" dxfId="0" priority="2">
      <formula>$G4&lt;=-$G$1</formula>
    </cfRule>
  </conditionalFormatting>
  <pageMargins left="0.25" right="0.25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Golds Colour</vt:lpstr>
      <vt:lpstr>'Golds Colour'!Print_Area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2026-02-20T13:10:45Z</dcterms:created>
  <dcterms:modified xsi:type="dcterms:W3CDTF">2026-02-20T13:11:07Z</dcterms:modified>
</cp:coreProperties>
</file>