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24D2DE82-6314-4E33-9BD7-1B944DF19D25}" xr6:coauthVersionLast="47" xr6:coauthVersionMax="47" xr10:uidLastSave="{00000000-0000-0000-0000-000000000000}"/>
  <bookViews>
    <workbookView xWindow="-108" yWindow="-108" windowWidth="23256" windowHeight="12456" xr2:uid="{F0CD74AB-6A36-4F80-BEF0-9813217196DD}"/>
  </bookViews>
  <sheets>
    <sheet name="Diversifieds" sheetId="2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46064.7990046296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1" i="2" l="1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 a="1"/>
  <c r="AB11" i="2" s="1"/>
  <c r="AA11" i="2" a="1"/>
  <c r="AA11" i="2" s="1"/>
  <c r="Z11" i="2" a="1"/>
  <c r="Z11" i="2" s="1"/>
  <c r="Y11" i="2" a="1"/>
  <c r="Y11" i="2" s="1"/>
  <c r="X11" i="2" a="1"/>
  <c r="X11" i="2" s="1"/>
  <c r="W11" i="2" a="1"/>
  <c r="W11" i="2" s="1"/>
  <c r="V11" i="2" a="1"/>
  <c r="V11" i="2" s="1"/>
  <c r="U11" i="2" a="1"/>
  <c r="U11" i="2" s="1"/>
  <c r="T11" i="2" a="1"/>
  <c r="T11" i="2" s="1"/>
  <c r="P11" i="2" a="1"/>
  <c r="P11" i="2" s="1"/>
  <c r="O11" i="2" a="1"/>
  <c r="O11" i="2" s="1"/>
  <c r="N11" i="2" a="1"/>
  <c r="N11" i="2" s="1"/>
  <c r="M11" i="2"/>
  <c r="M11" i="2" a="1"/>
  <c r="I11" i="2"/>
  <c r="R11" i="2" s="1"/>
  <c r="H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B10" i="2" a="1"/>
  <c r="AA10" i="2" a="1"/>
  <c r="AA10" i="2" s="1"/>
  <c r="Z10" i="2" a="1"/>
  <c r="Z10" i="2" s="1"/>
  <c r="Y10" i="2"/>
  <c r="Y10" i="2" a="1"/>
  <c r="X10" i="2" a="1"/>
  <c r="X10" i="2" s="1"/>
  <c r="W10" i="2" a="1"/>
  <c r="W10" i="2" s="1"/>
  <c r="V10" i="2" a="1"/>
  <c r="V10" i="2" s="1"/>
  <c r="U10" i="2" a="1"/>
  <c r="U10" i="2" s="1"/>
  <c r="T10" i="2"/>
  <c r="T10" i="2" a="1"/>
  <c r="R10" i="2"/>
  <c r="P10" i="2" a="1"/>
  <c r="P10" i="2" s="1"/>
  <c r="O10" i="2" a="1"/>
  <c r="O10" i="2" s="1"/>
  <c r="N10" i="2" a="1"/>
  <c r="N10" i="2" s="1"/>
  <c r="M10" i="2" a="1"/>
  <c r="M10" i="2" s="1"/>
  <c r="I10" i="2"/>
  <c r="S10" i="2" s="1"/>
  <c r="H10" i="2"/>
  <c r="D10" i="2"/>
  <c r="C10" i="2"/>
  <c r="B10" i="2"/>
  <c r="A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 a="1"/>
  <c r="AB9" i="2" s="1"/>
  <c r="AA9" i="2" a="1"/>
  <c r="AA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U9" i="2" a="1"/>
  <c r="U9" i="2" s="1"/>
  <c r="T9" i="2" a="1"/>
  <c r="T9" i="2" s="1"/>
  <c r="P9" i="2" a="1"/>
  <c r="P9" i="2" s="1"/>
  <c r="O9" i="2" a="1"/>
  <c r="O9" i="2" s="1"/>
  <c r="N9" i="2" a="1"/>
  <c r="N9" i="2" s="1"/>
  <c r="M9" i="2"/>
  <c r="M9" i="2" a="1"/>
  <c r="I9" i="2"/>
  <c r="S9" i="2" s="1"/>
  <c r="H9" i="2"/>
  <c r="D9" i="2"/>
  <c r="C9" i="2"/>
  <c r="B9" i="2"/>
  <c r="A9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/>
  <c r="W8" i="2" a="1"/>
  <c r="V8" i="2"/>
  <c r="V8" i="2" a="1"/>
  <c r="U8" i="2" a="1"/>
  <c r="U8" i="2" s="1"/>
  <c r="T8" i="2" a="1"/>
  <c r="T8" i="2" s="1"/>
  <c r="S8" i="2"/>
  <c r="P8" i="2" a="1"/>
  <c r="P8" i="2" s="1"/>
  <c r="O8" i="2" a="1"/>
  <c r="O8" i="2" s="1"/>
  <c r="N8" i="2" a="1"/>
  <c r="N8" i="2" s="1"/>
  <c r="M8" i="2" a="1"/>
  <c r="M8" i="2" s="1"/>
  <c r="I8" i="2"/>
  <c r="R8" i="2" s="1"/>
  <c r="H8" i="2"/>
  <c r="D8" i="2"/>
  <c r="C8" i="2"/>
  <c r="B8" i="2"/>
  <c r="A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 a="1"/>
  <c r="AB7" i="2" s="1"/>
  <c r="AA7" i="2" a="1"/>
  <c r="AA7" i="2" s="1"/>
  <c r="Z7" i="2" a="1"/>
  <c r="Z7" i="2" s="1"/>
  <c r="Y7" i="2"/>
  <c r="Y7" i="2" a="1"/>
  <c r="X7" i="2" a="1"/>
  <c r="X7" i="2" s="1"/>
  <c r="W7" i="2" a="1"/>
  <c r="W7" i="2" s="1"/>
  <c r="V7" i="2" a="1"/>
  <c r="V7" i="2" s="1"/>
  <c r="U7" i="2" a="1"/>
  <c r="U7" i="2" s="1"/>
  <c r="T7" i="2" a="1"/>
  <c r="T7" i="2" s="1"/>
  <c r="P7" i="2"/>
  <c r="P7" i="2" a="1"/>
  <c r="O7" i="2" a="1"/>
  <c r="O7" i="2" s="1"/>
  <c r="N7" i="2" a="1"/>
  <c r="N7" i="2" s="1"/>
  <c r="M7" i="2" a="1"/>
  <c r="M7" i="2" s="1"/>
  <c r="I7" i="2"/>
  <c r="R7" i="2" s="1"/>
  <c r="H7" i="2"/>
  <c r="D7" i="2"/>
  <c r="C7" i="2"/>
  <c r="B7" i="2"/>
  <c r="A7" i="2"/>
  <c r="AP6" i="2"/>
  <c r="AO6" i="2"/>
  <c r="AO12" i="2" s="1" a="1"/>
  <c r="AO12" i="2" s="1"/>
  <c r="AN6" i="2"/>
  <c r="AN12" i="2" s="1" a="1"/>
  <c r="AN12" i="2" s="1"/>
  <c r="AM6" i="2"/>
  <c r="AL6" i="2"/>
  <c r="AK6" i="2"/>
  <c r="AK12" i="2" s="1" a="1"/>
  <c r="AK12" i="2" s="1"/>
  <c r="AJ6" i="2"/>
  <c r="AI6" i="2"/>
  <c r="AI12" i="2" s="1" a="1"/>
  <c r="AI12" i="2" s="1"/>
  <c r="AH6" i="2"/>
  <c r="AG6" i="2"/>
  <c r="AG12" i="2" s="1" a="1"/>
  <c r="AG12" i="2" s="1"/>
  <c r="AF6" i="2"/>
  <c r="AF12" i="2" s="1" a="1"/>
  <c r="AF12" i="2" s="1"/>
  <c r="AE6" i="2"/>
  <c r="AD6" i="2"/>
  <c r="AC6" i="2"/>
  <c r="AC12" i="2" s="1" a="1"/>
  <c r="AC12" i="2" s="1"/>
  <c r="AB6" i="2" a="1"/>
  <c r="AB6" i="2" s="1"/>
  <c r="AA6" i="2" a="1"/>
  <c r="AA6" i="2" s="1"/>
  <c r="Z6" i="2"/>
  <c r="Z6" i="2" a="1"/>
  <c r="Y6" i="2" a="1"/>
  <c r="Y6" i="2" s="1"/>
  <c r="X6" i="2" a="1"/>
  <c r="X6" i="2" s="1"/>
  <c r="W6" i="2"/>
  <c r="W12" i="2" s="1" a="1"/>
  <c r="W12" i="2" s="1"/>
  <c r="W6" i="2" a="1"/>
  <c r="V6" i="2" a="1"/>
  <c r="V6" i="2" s="1"/>
  <c r="U6" i="2" a="1"/>
  <c r="U6" i="2" s="1"/>
  <c r="T6" i="2" a="1"/>
  <c r="T6" i="2" s="1"/>
  <c r="Q6" i="2"/>
  <c r="P6" i="2" a="1"/>
  <c r="P6" i="2" s="1"/>
  <c r="O6" i="2" a="1"/>
  <c r="O6" i="2" s="1"/>
  <c r="N6" i="2" a="1"/>
  <c r="N6" i="2" s="1"/>
  <c r="M6" i="2" a="1"/>
  <c r="M6" i="2" s="1"/>
  <c r="I6" i="2"/>
  <c r="S6" i="2" s="1"/>
  <c r="H6" i="2"/>
  <c r="D6" i="2"/>
  <c r="C6" i="2"/>
  <c r="B6" i="2"/>
  <c r="A6" i="2"/>
  <c r="O12" i="2" l="1" a="1"/>
  <c r="O12" i="2" s="1"/>
  <c r="AJ12" i="2" a="1"/>
  <c r="AJ12" i="2" s="1"/>
  <c r="R6" i="2"/>
  <c r="AD12" i="2" a="1"/>
  <c r="AD12" i="2" s="1"/>
  <c r="AL12" i="2" a="1"/>
  <c r="AL12" i="2" s="1"/>
  <c r="AE12" i="2" a="1"/>
  <c r="AE12" i="2" s="1"/>
  <c r="AM12" i="2" a="1"/>
  <c r="AM12" i="2" s="1"/>
  <c r="Q8" i="2"/>
  <c r="M12" i="2" a="1"/>
  <c r="M12" i="2" s="1"/>
  <c r="Z12" i="2" a="1"/>
  <c r="Z12" i="2" s="1"/>
  <c r="AH12" i="2" a="1"/>
  <c r="AH12" i="2" s="1"/>
  <c r="AP12" i="2" a="1"/>
  <c r="AP12" i="2" s="1"/>
  <c r="Q10" i="2"/>
  <c r="X12" i="2" a="1"/>
  <c r="X12" i="2" s="1"/>
  <c r="Y12" i="2" a="1"/>
  <c r="Y12" i="2" s="1"/>
  <c r="T12" i="2" a="1"/>
  <c r="T12" i="2" s="1"/>
  <c r="N12" i="2" a="1"/>
  <c r="N12" i="2" s="1"/>
  <c r="U12" i="2" a="1"/>
  <c r="U12" i="2" s="1"/>
  <c r="V12" i="2" a="1"/>
  <c r="V12" i="2" s="1"/>
  <c r="AA12" i="2" a="1"/>
  <c r="AA12" i="2" s="1"/>
  <c r="P12" i="2" a="1"/>
  <c r="P12" i="2" s="1"/>
  <c r="AB12" i="2" a="1"/>
  <c r="AB12" i="2" s="1"/>
  <c r="Q7" i="2"/>
  <c r="Q11" i="2"/>
  <c r="S7" i="2"/>
  <c r="Q9" i="2"/>
  <c r="S11" i="2"/>
  <c r="R9" i="2"/>
  <c r="R12" i="2" s="1" a="1"/>
  <c r="R12" i="2" s="1"/>
  <c r="Q12" i="2" l="1" a="1"/>
  <c r="Q12" i="2" s="1"/>
  <c r="S12" i="2" a="1"/>
  <c r="S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<sst xmlns="http://schemas.openxmlformats.org/spreadsheetml/2006/main" count="126" uniqueCount="94">
  <si>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</si>
  <si>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</si>
  <si>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</si>
  <si>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</si>
  <si>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</si>
  <si>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</si>
  <si>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</si>
  <si>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</si>
  <si>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</si>
  <si>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</si>
  <si>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</si>
  <si>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</si>
  <si>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</si>
  <si>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</si>
  <si>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EV / EBITDA</t>
  </si>
  <si>
    <t>Dividend Yield %</t>
  </si>
  <si>
    <t>Copper Production (kt)</t>
  </si>
  <si>
    <t>Iron Ore Production (kt)</t>
  </si>
  <si>
    <t>Cu Cash Costs ($/lb)</t>
  </si>
  <si>
    <t>Fe Cash Costs ($/t)</t>
  </si>
  <si>
    <t>Model (Y/N)</t>
  </si>
  <si>
    <t>Priority?</t>
  </si>
  <si>
    <t>Stock of Interest</t>
  </si>
  <si>
    <t>Comment</t>
  </si>
  <si>
    <t>Date
(BBG)</t>
  </si>
  <si>
    <t>Date
(HC)</t>
  </si>
  <si>
    <t>Bloomberg
Ticker</t>
  </si>
  <si>
    <t>Ticker</t>
  </si>
  <si>
    <t>FY2024</t>
  </si>
  <si>
    <t>FY2025</t>
  </si>
  <si>
    <t>FY2026</t>
  </si>
  <si>
    <t>2022Y</t>
  </si>
  <si>
    <t>2023Y</t>
  </si>
  <si>
    <t>2024Y</t>
  </si>
  <si>
    <t>2025Y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</si>
  <si>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</si>
  <si>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</si>
  <si>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</si>
  <si>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</si>
  <si>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</si>
  <si>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</si>
  <si>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</si>
  <si>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</si>
  <si>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</si>
  <si>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</si>
  <si>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</si>
  <si>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SP_TEV_EBITDA_FWD</t>
  </si>
  <si>
    <t>SP_DIV_YIELD</t>
  </si>
  <si>
    <t>SP_COPPER_PRODUCTION_EST</t>
  </si>
  <si>
    <t>SP_IRON_ORE_PRODUCTION_EST</t>
  </si>
  <si>
    <t>SNL_CASH_COST_LB</t>
  </si>
  <si>
    <t>SNL_PROJ_CASH_COST_HIGH_LB</t>
  </si>
  <si>
    <t>SNL_CASH_COST_TONNE</t>
  </si>
  <si>
    <t>SNL_PROJ_CASH_COST_HIGH_TONNE</t>
  </si>
  <si>
    <t>FQ0</t>
  </si>
  <si>
    <t>FH0</t>
  </si>
  <si>
    <t>Cu</t>
  </si>
  <si>
    <t>SNL_PROJ_CASH_COST_LOW_LB</t>
  </si>
  <si>
    <t>Fe</t>
  </si>
  <si>
    <t>SNL_PROJ_CASH_COST_LOW_TONNE</t>
  </si>
  <si>
    <t>DIVERSIFIEDS</t>
  </si>
  <si>
    <t>31/07/2025</t>
  </si>
  <si>
    <t>Confirmed</t>
  </si>
  <si>
    <t>24/07/2025</t>
  </si>
  <si>
    <t>Anglo American</t>
  </si>
  <si>
    <t>AAL LN Equity</t>
  </si>
  <si>
    <t>LSE:AAL</t>
  </si>
  <si>
    <t>N</t>
  </si>
  <si>
    <t>YES</t>
  </si>
  <si>
    <t>18/08/2025</t>
  </si>
  <si>
    <t>17/07/2025</t>
  </si>
  <si>
    <t>BHP</t>
  </si>
  <si>
    <t>BHP AU Equity</t>
  </si>
  <si>
    <t>ASX:BHP</t>
  </si>
  <si>
    <t>06/08/2025</t>
  </si>
  <si>
    <t>30/04/2025</t>
  </si>
  <si>
    <t>Glencore</t>
  </si>
  <si>
    <t>GLEN LN Equity</t>
  </si>
  <si>
    <t>LSE:GLEN</t>
  </si>
  <si>
    <t>30/07/2025</t>
  </si>
  <si>
    <t>15/07/2025</t>
  </si>
  <si>
    <t>Rio Tinto</t>
  </si>
  <si>
    <t>RIO LN Equity</t>
  </si>
  <si>
    <t>LSE:RIO</t>
  </si>
  <si>
    <t>01/08/2025</t>
  </si>
  <si>
    <t>23/07/2025</t>
  </si>
  <si>
    <t>Vale</t>
  </si>
  <si>
    <t>VALE US Equity</t>
  </si>
  <si>
    <t>NYSE:VALE</t>
  </si>
  <si>
    <t>NO</t>
  </si>
  <si>
    <t>South 32</t>
  </si>
  <si>
    <t>S32 AU Equity</t>
  </si>
  <si>
    <t>ASX:S32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</si>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</sst>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7"/>
      <color rgb="FF525252"/>
      <name val="Arial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1"/>
      <color rgb="FF000000"/>
      <name val="Times New Roman"/>
      <family val="1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top" wrapText="1"/>
    </xf>
    <xf numFmtId="0" fontId="1" fillId="0" borderId="0" xfId="1" applyAlignment="1">
      <alignment horizontal="left" vertical="top"/>
    </xf>
    <xf numFmtId="0" fontId="2" fillId="0" borderId="1" xfId="1" applyFont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4" xfId="1" applyFont="1" applyFill="1" applyBorder="1" applyAlignment="1">
      <alignment horizontal="center" vertical="top" wrapText="1"/>
    </xf>
    <xf numFmtId="0" fontId="2" fillId="3" borderId="3" xfId="1" applyFont="1" applyFill="1" applyBorder="1" applyAlignment="1">
      <alignment horizontal="center" vertical="top" wrapText="1"/>
    </xf>
    <xf numFmtId="0" fontId="2" fillId="3" borderId="5" xfId="1" applyFont="1" applyFill="1" applyBorder="1" applyAlignment="1">
      <alignment horizontal="center" vertical="top" wrapText="1"/>
    </xf>
    <xf numFmtId="0" fontId="2" fillId="3" borderId="6" xfId="1" applyFont="1" applyFill="1" applyBorder="1" applyAlignment="1">
      <alignment horizontal="center" vertical="top" wrapText="1"/>
    </xf>
    <xf numFmtId="0" fontId="2" fillId="3" borderId="0" xfId="1" applyFont="1" applyFill="1" applyAlignment="1">
      <alignment horizontal="center" vertical="top" wrapText="1"/>
    </xf>
    <xf numFmtId="0" fontId="2" fillId="3" borderId="7" xfId="1" applyFont="1" applyFill="1" applyBorder="1" applyAlignment="1">
      <alignment horizontal="center" vertical="top" wrapText="1"/>
    </xf>
    <xf numFmtId="0" fontId="2" fillId="3" borderId="7" xfId="1" applyFont="1" applyFill="1" applyBorder="1" applyAlignment="1">
      <alignment horizontal="center" vertical="top" wrapText="1"/>
    </xf>
    <xf numFmtId="0" fontId="2" fillId="4" borderId="5" xfId="1" applyFont="1" applyFill="1" applyBorder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2" fillId="0" borderId="0" xfId="1" applyFont="1" applyAlignment="1">
      <alignment horizontal="center" vertical="top"/>
    </xf>
    <xf numFmtId="0" fontId="3" fillId="0" borderId="6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3" fillId="0" borderId="9" xfId="1" applyFont="1" applyBorder="1" applyAlignment="1">
      <alignment horizontal="center" vertical="top" wrapText="1"/>
    </xf>
    <xf numFmtId="0" fontId="3" fillId="0" borderId="10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6" xfId="1" applyFont="1" applyBorder="1" applyAlignment="1">
      <alignment horizontal="center" vertical="top"/>
    </xf>
    <xf numFmtId="0" fontId="3" fillId="0" borderId="7" xfId="1" applyFont="1" applyBorder="1" applyAlignment="1">
      <alignment horizontal="center" vertical="top"/>
    </xf>
    <xf numFmtId="0" fontId="1" fillId="0" borderId="11" xfId="1" applyBorder="1" applyAlignment="1">
      <alignment horizontal="left" vertical="top"/>
    </xf>
    <xf numFmtId="0" fontId="1" fillId="0" borderId="10" xfId="1" applyBorder="1" applyAlignment="1">
      <alignment horizontal="left" vertical="top"/>
    </xf>
    <xf numFmtId="0" fontId="1" fillId="0" borderId="9" xfId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6" xfId="1" applyFont="1" applyBorder="1" applyAlignment="1">
      <alignment horizontal="left" vertical="top"/>
    </xf>
    <xf numFmtId="0" fontId="5" fillId="0" borderId="7" xfId="1" applyFont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12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6" xfId="1" applyFont="1" applyBorder="1" applyAlignment="1">
      <alignment horizontal="left" vertical="top"/>
    </xf>
    <xf numFmtId="0" fontId="1" fillId="0" borderId="6" xfId="1" applyBorder="1" applyAlignment="1">
      <alignment horizontal="left" vertical="top"/>
    </xf>
    <xf numFmtId="0" fontId="5" fillId="0" borderId="12" xfId="1" applyFont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1" fillId="0" borderId="7" xfId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9" fillId="4" borderId="3" xfId="1" applyFont="1" applyFill="1" applyBorder="1" applyAlignment="1">
      <alignment horizontal="left" vertical="top"/>
    </xf>
    <xf numFmtId="0" fontId="1" fillId="4" borderId="3" xfId="1" applyFill="1" applyBorder="1" applyAlignment="1">
      <alignment horizontal="left" vertical="top"/>
    </xf>
    <xf numFmtId="0" fontId="1" fillId="4" borderId="3" xfId="1" applyFill="1" applyBorder="1" applyAlignment="1">
      <alignment horizontal="center" vertical="top"/>
    </xf>
    <xf numFmtId="0" fontId="1" fillId="4" borderId="14" xfId="1" applyFill="1" applyBorder="1" applyAlignment="1">
      <alignment horizontal="center" vertical="top"/>
    </xf>
    <xf numFmtId="0" fontId="1" fillId="4" borderId="2" xfId="1" applyFill="1" applyBorder="1" applyAlignment="1">
      <alignment horizontal="center" vertical="top"/>
    </xf>
    <xf numFmtId="0" fontId="1" fillId="4" borderId="13" xfId="1" applyFill="1" applyBorder="1" applyAlignment="1">
      <alignment horizontal="center" vertical="top"/>
    </xf>
    <xf numFmtId="14" fontId="1" fillId="0" borderId="0" xfId="1" applyNumberFormat="1" applyAlignment="1">
      <alignment horizontal="center"/>
    </xf>
    <xf numFmtId="14" fontId="10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right" vertical="top"/>
    </xf>
    <xf numFmtId="0" fontId="11" fillId="0" borderId="0" xfId="1" applyFont="1" applyAlignment="1">
      <alignment horizontal="left" vertical="top"/>
    </xf>
    <xf numFmtId="2" fontId="1" fillId="0" borderId="1" xfId="1" applyNumberFormat="1" applyBorder="1" applyAlignment="1">
      <alignment horizontal="center" vertical="top"/>
    </xf>
    <xf numFmtId="164" fontId="1" fillId="0" borderId="6" xfId="1" applyNumberFormat="1" applyBorder="1" applyAlignment="1">
      <alignment horizontal="center" vertical="top"/>
    </xf>
    <xf numFmtId="164" fontId="1" fillId="0" borderId="0" xfId="1" applyNumberFormat="1" applyAlignment="1">
      <alignment horizontal="center" vertical="top"/>
    </xf>
    <xf numFmtId="164" fontId="1" fillId="0" borderId="7" xfId="1" applyNumberFormat="1" applyBorder="1" applyAlignment="1">
      <alignment horizontal="center" vertical="top"/>
    </xf>
    <xf numFmtId="165" fontId="0" fillId="0" borderId="0" xfId="2" applyNumberFormat="1" applyFont="1" applyBorder="1" applyAlignment="1">
      <alignment horizontal="center" vertical="top"/>
    </xf>
    <xf numFmtId="165" fontId="0" fillId="0" borderId="8" xfId="2" applyNumberFormat="1" applyFont="1" applyBorder="1" applyAlignment="1">
      <alignment horizontal="center" vertical="top"/>
    </xf>
    <xf numFmtId="165" fontId="0" fillId="0" borderId="9" xfId="2" applyNumberFormat="1" applyFont="1" applyBorder="1" applyAlignment="1">
      <alignment horizontal="center" vertical="top"/>
    </xf>
    <xf numFmtId="9" fontId="0" fillId="0" borderId="0" xfId="2" applyFont="1" applyBorder="1" applyAlignment="1">
      <alignment horizontal="center" vertical="top"/>
    </xf>
    <xf numFmtId="9" fontId="0" fillId="0" borderId="6" xfId="2" applyFont="1" applyBorder="1" applyAlignment="1">
      <alignment horizontal="center" vertical="top"/>
    </xf>
    <xf numFmtId="164" fontId="1" fillId="0" borderId="12" xfId="1" applyNumberFormat="1" applyBorder="1" applyAlignment="1">
      <alignment horizontal="center" vertical="top"/>
    </xf>
    <xf numFmtId="3" fontId="1" fillId="0" borderId="0" xfId="1" applyNumberFormat="1" applyAlignment="1">
      <alignment horizontal="center"/>
    </xf>
    <xf numFmtId="3" fontId="1" fillId="0" borderId="6" xfId="1" applyNumberFormat="1" applyBorder="1" applyAlignment="1">
      <alignment horizontal="center"/>
    </xf>
    <xf numFmtId="166" fontId="1" fillId="0" borderId="11" xfId="1" applyNumberFormat="1" applyBorder="1" applyAlignment="1">
      <alignment horizontal="center" vertical="top"/>
    </xf>
    <xf numFmtId="166" fontId="1" fillId="0" borderId="0" xfId="1" applyNumberFormat="1" applyAlignment="1">
      <alignment horizontal="center" vertical="top"/>
    </xf>
    <xf numFmtId="166" fontId="1" fillId="0" borderId="0" xfId="1" applyNumberFormat="1" applyAlignment="1">
      <alignment horizontal="center"/>
    </xf>
    <xf numFmtId="166" fontId="1" fillId="0" borderId="7" xfId="1" applyNumberFormat="1" applyBorder="1" applyAlignment="1">
      <alignment horizontal="center"/>
    </xf>
    <xf numFmtId="0" fontId="1" fillId="0" borderId="12" xfId="1" applyBorder="1" applyAlignment="1">
      <alignment horizontal="center" vertical="top"/>
    </xf>
    <xf numFmtId="0" fontId="4" fillId="0" borderId="0" xfId="1" applyFont="1" applyAlignment="1">
      <alignment horizontal="left" vertical="top"/>
    </xf>
    <xf numFmtId="166" fontId="1" fillId="0" borderId="6" xfId="1" applyNumberFormat="1" applyBorder="1" applyAlignment="1">
      <alignment horizontal="center" vertical="top"/>
    </xf>
    <xf numFmtId="4" fontId="4" fillId="5" borderId="0" xfId="1" applyNumberFormat="1" applyFont="1" applyFill="1" applyAlignment="1">
      <alignment horizontal="right" vertical="top"/>
    </xf>
    <xf numFmtId="0" fontId="4" fillId="0" borderId="12" xfId="1" applyFont="1" applyBorder="1" applyAlignment="1">
      <alignment horizontal="left" vertical="top"/>
    </xf>
    <xf numFmtId="0" fontId="1" fillId="0" borderId="0" xfId="1" applyAlignment="1">
      <alignment horizontal="center" vertical="top"/>
    </xf>
    <xf numFmtId="0" fontId="2" fillId="6" borderId="3" xfId="1" applyFont="1" applyFill="1" applyBorder="1" applyAlignment="1">
      <alignment horizontal="right" vertical="top"/>
    </xf>
    <xf numFmtId="4" fontId="2" fillId="6" borderId="15" xfId="1" applyNumberFormat="1" applyFont="1" applyFill="1" applyBorder="1" applyAlignment="1">
      <alignment horizontal="center" vertical="top"/>
    </xf>
    <xf numFmtId="166" fontId="2" fillId="6" borderId="2" xfId="1" applyNumberFormat="1" applyFont="1" applyFill="1" applyBorder="1" applyAlignment="1">
      <alignment horizontal="center" vertical="top"/>
    </xf>
    <xf numFmtId="166" fontId="2" fillId="6" borderId="3" xfId="1" applyNumberFormat="1" applyFont="1" applyFill="1" applyBorder="1" applyAlignment="1">
      <alignment horizontal="center" vertical="top"/>
    </xf>
    <xf numFmtId="166" fontId="2" fillId="6" borderId="4" xfId="1" applyNumberFormat="1" applyFont="1" applyFill="1" applyBorder="1" applyAlignment="1">
      <alignment horizontal="center" vertical="top"/>
    </xf>
    <xf numFmtId="9" fontId="2" fillId="6" borderId="4" xfId="2" applyFont="1" applyFill="1" applyBorder="1" applyAlignment="1">
      <alignment horizontal="center" vertical="top"/>
    </xf>
    <xf numFmtId="166" fontId="2" fillId="6" borderId="5" xfId="1" applyNumberFormat="1" applyFont="1" applyFill="1" applyBorder="1" applyAlignment="1">
      <alignment horizontal="center" vertical="top"/>
    </xf>
    <xf numFmtId="3" fontId="2" fillId="6" borderId="3" xfId="1" applyNumberFormat="1" applyFont="1" applyFill="1" applyBorder="1" applyAlignment="1">
      <alignment horizontal="center" vertical="top"/>
    </xf>
    <xf numFmtId="3" fontId="2" fillId="6" borderId="2" xfId="1" applyNumberFormat="1" applyFont="1" applyFill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0" fontId="1" fillId="0" borderId="8" xfId="1" applyBorder="1" applyAlignment="1">
      <alignment horizontal="left" vertical="top"/>
    </xf>
    <xf numFmtId="0" fontId="12" fillId="0" borderId="0" xfId="1" applyFont="1" applyAlignment="1">
      <alignment horizontal="left" vertical="top"/>
    </xf>
    <xf numFmtId="0" fontId="1" fillId="7" borderId="0" xfId="1" applyFill="1" applyAlignment="1">
      <alignment horizontal="left" vertical="top"/>
    </xf>
  </cellXfs>
  <cellStyles count="3">
    <cellStyle name="常规" xfId="0" builtinId="0"/>
    <cellStyle name="常规 2" xfId="1" xr:uid="{AF25B89E-B384-4390-B9B4-079B573F5752}"/>
    <cellStyle name="百分比 2" xfId="2" xr:uid="{3518CF9C-2784-4F4E-BAF5-FF6FEBF0E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E700-F9EC-489A-BE02-CB66A76345EE}">
  <dimension ref="A1:AU65"/>
  <sheetViews>
    <sheetView showGridLines="0" tabSelected="1" workbookViewId="0">
      <pane xSplit="10" ySplit="4" topLeftCell="R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Row="1" outlineLevelCol="2" x14ac:dyDescent="0.3"/>
  <cols>
    <col min="1" max="1" width="10.109375" style="3" hidden="1" customWidth="1" outlineLevel="2"/>
    <col min="2" max="7" width="12.77734375" style="3" hidden="1" customWidth="1" outlineLevel="2"/>
    <col min="8" max="8" width="9.6640625" style="3" hidden="1" customWidth="1" outlineLevel="1" collapsed="1"/>
    <col min="9" max="9" width="9.6640625" style="3" hidden="1" customWidth="1" outlineLevel="1"/>
    <col min="10" max="10" width="18.6640625" style="3" bestFit="1" customWidth="1" collapsed="1"/>
    <col min="11" max="11" width="18.6640625" style="3" hidden="1" customWidth="1" outlineLevel="1"/>
    <col min="12" max="12" width="13.109375" style="3" customWidth="1" collapsed="1"/>
    <col min="13" max="13" width="11.33203125" style="3" customWidth="1"/>
    <col min="14" max="14" width="7.77734375" style="3" customWidth="1"/>
    <col min="15" max="16" width="8.109375" style="3" bestFit="1" customWidth="1"/>
    <col min="17" max="17" width="10.109375" style="3" customWidth="1"/>
    <col min="18" max="19" width="10.33203125" style="3" customWidth="1"/>
    <col min="20" max="21" width="9" style="3" customWidth="1"/>
    <col min="22" max="24" width="9.109375" style="3" customWidth="1"/>
    <col min="25" max="25" width="8.77734375" style="3" customWidth="1"/>
    <col min="26" max="27" width="10" style="3" customWidth="1"/>
    <col min="28" max="28" width="12.109375" style="3" customWidth="1"/>
    <col min="29" max="29" width="7.77734375" style="3" customWidth="1"/>
    <col min="30" max="30" width="8.33203125" style="3" customWidth="1"/>
    <col min="31" max="31" width="8.109375" style="3" bestFit="1" customWidth="1"/>
    <col min="32" max="32" width="9.6640625" style="3" customWidth="1"/>
    <col min="33" max="33" width="8.6640625" style="3" customWidth="1"/>
    <col min="34" max="34" width="9.77734375" style="3" customWidth="1"/>
    <col min="35" max="35" width="7.6640625" style="3" hidden="1" customWidth="1" outlineLevel="1"/>
    <col min="36" max="36" width="8" style="3" customWidth="1" collapsed="1"/>
    <col min="37" max="38" width="5.6640625" style="3" customWidth="1"/>
    <col min="39" max="39" width="6.77734375" style="3" hidden="1" customWidth="1" outlineLevel="1"/>
    <col min="40" max="40" width="6.109375" style="3" customWidth="1" collapsed="1"/>
    <col min="41" max="41" width="5.33203125" style="3" customWidth="1"/>
    <col min="42" max="42" width="6.77734375" style="3" customWidth="1"/>
    <col min="43" max="46" width="8.88671875" style="3"/>
    <col min="47" max="47" width="9.77734375" style="3" bestFit="1" customWidth="1"/>
    <col min="48" max="16384" width="8.88671875" style="3"/>
  </cols>
  <sheetData>
    <row r="1" spans="1:47" ht="26.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3</v>
      </c>
      <c r="H1" s="1" t="s">
        <v>6</v>
      </c>
      <c r="I1" s="1" t="s">
        <v>7</v>
      </c>
      <c r="M1" s="4" t="s">
        <v>8</v>
      </c>
      <c r="N1" s="5" t="s">
        <v>9</v>
      </c>
      <c r="O1" s="6"/>
      <c r="P1" s="7"/>
      <c r="Q1" s="5" t="s">
        <v>10</v>
      </c>
      <c r="R1" s="6"/>
      <c r="S1" s="7"/>
      <c r="T1" s="5" t="s">
        <v>11</v>
      </c>
      <c r="U1" s="6"/>
      <c r="V1" s="7"/>
      <c r="W1" s="8" t="s">
        <v>12</v>
      </c>
      <c r="X1" s="9" t="s">
        <v>13</v>
      </c>
      <c r="Y1" s="5" t="s">
        <v>14</v>
      </c>
      <c r="Z1" s="6"/>
      <c r="AA1" s="7"/>
      <c r="AB1" s="9" t="s">
        <v>15</v>
      </c>
      <c r="AC1" s="10" t="s">
        <v>16</v>
      </c>
      <c r="AD1" s="11"/>
      <c r="AE1" s="11"/>
      <c r="AF1" s="10" t="s">
        <v>17</v>
      </c>
      <c r="AG1" s="11"/>
      <c r="AH1" s="11"/>
      <c r="AI1" s="10" t="s">
        <v>18</v>
      </c>
      <c r="AJ1" s="11"/>
      <c r="AK1" s="11"/>
      <c r="AL1" s="12"/>
      <c r="AM1" s="10" t="s">
        <v>19</v>
      </c>
      <c r="AN1" s="11"/>
      <c r="AO1" s="11"/>
      <c r="AP1" s="13"/>
      <c r="AR1" s="14" t="s">
        <v>20</v>
      </c>
      <c r="AS1" s="14" t="s">
        <v>21</v>
      </c>
      <c r="AT1" s="14" t="s">
        <v>22</v>
      </c>
      <c r="AU1" s="14" t="s">
        <v>23</v>
      </c>
    </row>
    <row r="2" spans="1:47" ht="25.5" customHeight="1" x14ac:dyDescent="0.3">
      <c r="A2" s="1"/>
      <c r="B2" s="1"/>
      <c r="C2" s="1"/>
      <c r="D2" s="2" t="s">
        <v>24</v>
      </c>
      <c r="E2" s="1"/>
      <c r="F2" s="1"/>
      <c r="G2" s="2" t="s">
        <v>25</v>
      </c>
      <c r="H2" s="1"/>
      <c r="I2" s="1"/>
      <c r="K2" s="15" t="s">
        <v>26</v>
      </c>
      <c r="L2" s="16" t="s">
        <v>27</v>
      </c>
      <c r="M2" s="4"/>
      <c r="N2" s="17" t="s">
        <v>28</v>
      </c>
      <c r="O2" s="18" t="s">
        <v>29</v>
      </c>
      <c r="P2" s="19" t="s">
        <v>30</v>
      </c>
      <c r="Q2" s="17" t="s">
        <v>28</v>
      </c>
      <c r="R2" s="18" t="s">
        <v>29</v>
      </c>
      <c r="S2" s="18" t="s">
        <v>30</v>
      </c>
      <c r="T2" s="17" t="s">
        <v>28</v>
      </c>
      <c r="U2" s="18" t="s">
        <v>29</v>
      </c>
      <c r="V2" s="19" t="s">
        <v>30</v>
      </c>
      <c r="W2" s="17" t="s">
        <v>29</v>
      </c>
      <c r="X2" s="20"/>
      <c r="Y2" s="17" t="s">
        <v>28</v>
      </c>
      <c r="Z2" s="18" t="s">
        <v>29</v>
      </c>
      <c r="AA2" s="19" t="s">
        <v>30</v>
      </c>
      <c r="AB2" s="21"/>
      <c r="AC2" s="22" t="s">
        <v>28</v>
      </c>
      <c r="AD2" s="22" t="s">
        <v>29</v>
      </c>
      <c r="AE2" s="22" t="s">
        <v>30</v>
      </c>
      <c r="AF2" s="23" t="s">
        <v>28</v>
      </c>
      <c r="AG2" s="22" t="s">
        <v>29</v>
      </c>
      <c r="AH2" s="22" t="s">
        <v>30</v>
      </c>
      <c r="AI2" s="23" t="s">
        <v>31</v>
      </c>
      <c r="AJ2" s="22" t="s">
        <v>32</v>
      </c>
      <c r="AK2" s="22" t="s">
        <v>33</v>
      </c>
      <c r="AL2" s="22" t="s">
        <v>34</v>
      </c>
      <c r="AM2" s="23" t="s">
        <v>31</v>
      </c>
      <c r="AN2" s="22" t="s">
        <v>32</v>
      </c>
      <c r="AO2" s="22" t="s">
        <v>33</v>
      </c>
      <c r="AP2" s="24" t="s">
        <v>34</v>
      </c>
      <c r="AR2" s="25"/>
      <c r="AS2" s="25"/>
      <c r="AT2" s="26"/>
      <c r="AU2" s="27"/>
    </row>
    <row r="3" spans="1:47" hidden="1" outlineLevel="1" x14ac:dyDescent="0.3">
      <c r="A3" s="28" t="s">
        <v>35</v>
      </c>
      <c r="B3" s="29" t="s">
        <v>36</v>
      </c>
      <c r="C3" s="29" t="s">
        <v>37</v>
      </c>
      <c r="D3" s="29" t="s">
        <v>38</v>
      </c>
      <c r="E3" s="29"/>
      <c r="F3" s="29"/>
      <c r="G3" s="29"/>
      <c r="L3" s="16"/>
      <c r="M3" s="28" t="s">
        <v>39</v>
      </c>
      <c r="N3" s="30" t="s">
        <v>40</v>
      </c>
      <c r="Q3" s="30" t="s">
        <v>41</v>
      </c>
      <c r="R3" s="31" t="s">
        <v>42</v>
      </c>
      <c r="S3" s="29"/>
      <c r="T3" s="30" t="s">
        <v>43</v>
      </c>
      <c r="W3" s="32" t="s">
        <v>44</v>
      </c>
      <c r="X3" s="32" t="s">
        <v>45</v>
      </c>
      <c r="Y3" s="30" t="s">
        <v>46</v>
      </c>
      <c r="AB3" s="33" t="s">
        <v>47</v>
      </c>
      <c r="AC3" s="34" t="s">
        <v>48</v>
      </c>
      <c r="AF3" s="35" t="s">
        <v>49</v>
      </c>
      <c r="AI3" s="36"/>
      <c r="AJ3" s="30" t="s">
        <v>50</v>
      </c>
      <c r="AK3" s="30" t="s">
        <v>51</v>
      </c>
      <c r="AL3" s="30"/>
      <c r="AM3" s="30" t="s">
        <v>52</v>
      </c>
      <c r="AO3" s="37" t="s">
        <v>53</v>
      </c>
      <c r="AP3" s="31"/>
      <c r="AR3" s="36"/>
      <c r="AS3" s="36"/>
      <c r="AT3" s="38"/>
      <c r="AU3" s="39"/>
    </row>
    <row r="4" spans="1:47" hidden="1" outlineLevel="1" x14ac:dyDescent="0.3">
      <c r="L4" s="16"/>
      <c r="M4" s="28"/>
      <c r="N4" s="30"/>
      <c r="Q4" s="30"/>
      <c r="R4" s="40"/>
      <c r="S4" s="29"/>
      <c r="T4" s="30"/>
      <c r="W4" s="32" t="s">
        <v>54</v>
      </c>
      <c r="X4" s="32" t="s">
        <v>55</v>
      </c>
      <c r="AB4" s="38"/>
      <c r="AF4" s="36"/>
      <c r="AI4" s="36"/>
      <c r="AJ4" s="30" t="s">
        <v>56</v>
      </c>
      <c r="AK4" s="30" t="s">
        <v>57</v>
      </c>
      <c r="AL4" s="29"/>
      <c r="AN4" s="30" t="s">
        <v>58</v>
      </c>
      <c r="AO4" s="37" t="s">
        <v>59</v>
      </c>
      <c r="AP4" s="31"/>
      <c r="AR4" s="36"/>
      <c r="AS4" s="36"/>
      <c r="AT4" s="38"/>
      <c r="AU4" s="39"/>
    </row>
    <row r="5" spans="1:47" ht="16.8" collapsed="1" x14ac:dyDescent="0.3">
      <c r="J5" s="41" t="s">
        <v>60</v>
      </c>
      <c r="K5" s="41"/>
      <c r="L5" s="42"/>
      <c r="M5" s="42"/>
      <c r="N5" s="43"/>
      <c r="O5" s="43"/>
      <c r="P5" s="43"/>
      <c r="Q5" s="44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5"/>
      <c r="AG5" s="43"/>
      <c r="AH5" s="43"/>
      <c r="AI5" s="45"/>
      <c r="AJ5" s="43"/>
      <c r="AK5" s="43"/>
      <c r="AL5" s="43"/>
      <c r="AM5" s="43"/>
      <c r="AN5" s="43"/>
      <c r="AO5" s="43"/>
      <c r="AP5" s="46"/>
      <c r="AR5" s="38"/>
      <c r="AS5" s="38"/>
      <c r="AT5" s="38"/>
      <c r="AU5" s="38"/>
    </row>
    <row r="6" spans="1:47" ht="14.4" x14ac:dyDescent="0.25">
      <c r="A6" s="47" t="e">
        <f ca="1">_xll.SNL.Clients.Office.Excel.Functions.SPG($L6, A$3)</f>
        <v>#NAME?</v>
      </c>
      <c r="B6" s="47" t="e">
        <f ca="1">_xll.BDP($K6,B$3)</f>
        <v>#NAME?</v>
      </c>
      <c r="C6" s="47" t="e">
        <f ca="1">_xll.BDP($K6,C$3)</f>
        <v>#NAME?</v>
      </c>
      <c r="D6" s="47" t="e">
        <f ca="1">_xll.BDP($K6,D$3)</f>
        <v>#NAME?</v>
      </c>
      <c r="E6" s="48" t="s">
        <v>61</v>
      </c>
      <c r="F6" s="48" t="s">
        <v>62</v>
      </c>
      <c r="G6" s="48" t="s">
        <v>63</v>
      </c>
      <c r="H6" s="49" t="e">
        <f ca="1">_xll.SNL.Clients.Office.Excel.Functions.SPG($L6, "IQ_TEV", "Options: Curr=USD")</f>
        <v>#NAME?</v>
      </c>
      <c r="I6" s="49" t="e">
        <f ca="1">_xll.SNL.Clients.Office.Excel.Functions.SPG($L6, "SP_MARKETCAP", "Options: Curr=USD")</f>
        <v>#NAME?</v>
      </c>
      <c r="J6" s="50" t="s">
        <v>64</v>
      </c>
      <c r="K6" s="3" t="s">
        <v>65</v>
      </c>
      <c r="L6" s="3" t="s">
        <v>66</v>
      </c>
      <c r="M6" s="51" t="e" cm="1">
        <f t="array" aca="1" ref="M6" ca="1">_xll.SNL.Clients.Office.Excel.Functions.SPG($L6, $M$3)/100</f>
        <v>#NAME?</v>
      </c>
      <c r="N6" s="52" t="e" cm="1">
        <f t="array" aca="1" ref="N6" ca="1">_xll.SNL.Clients.Office.Excel.Functions.SPG($L6, "SP_PCFPS_FWD",N$2)</f>
        <v>#NAME?</v>
      </c>
      <c r="O6" s="53" t="e" cm="1">
        <f t="array" aca="1" ref="O6" ca="1">_xll.SNL.Clients.Office.Excel.Functions.SPG($L6, "SP_PCFPS_FWD",O$2)</f>
        <v>#NAME?</v>
      </c>
      <c r="P6" s="54" t="e" cm="1">
        <f t="array" aca="1" ref="P6" ca="1">_xll.SNL.Clients.Office.Excel.Functions.SPG($L6, "SP_PCFPS_FWD",P$2)</f>
        <v>#NAME?</v>
      </c>
      <c r="Q6" s="55" t="e">
        <f ca="1">_xll.SNL.Clients.Office.Excel.Functions.SPG($L6, "SP_FCF_EST",Q$2, "Options: Curr=USD")/1000/$I6</f>
        <v>#NAME?</v>
      </c>
      <c r="R6" s="56" t="e">
        <f ca="1">_xll.SNL.Clients.Office.Excel.Functions.SPG($L6, "SP_FCF_EST",R$2, "Options: Curr=USD")/1000/$I6</f>
        <v>#NAME?</v>
      </c>
      <c r="S6" s="57" t="e">
        <f ca="1">_xll.SNL.Clients.Office.Excel.Functions.SPG($L6, "SP_FCF_EST",S$2, "Options: Curr=USD")/1000/$I6</f>
        <v>#NAME?</v>
      </c>
      <c r="T6" s="52" t="e" cm="1">
        <f t="array" aca="1" ref="T6" ca="1">_xll.SNL.Clients.Office.Excel.Functions.SPG($L6, "SP_PE_FWD",T$2)</f>
        <v>#NAME?</v>
      </c>
      <c r="U6" s="53" t="e" cm="1">
        <f t="array" aca="1" ref="U6" ca="1">_xll.SNL.Clients.Office.Excel.Functions.SPG($L6, "SP_PE_FWD",U$2)</f>
        <v>#NAME?</v>
      </c>
      <c r="V6" s="54" t="e" cm="1">
        <f t="array" aca="1" ref="V6" ca="1">_xll.SNL.Clients.Office.Excel.Functions.SPG($L6, "SP_PE_FWD",V$2)</f>
        <v>#NAME?</v>
      </c>
      <c r="W6" s="58" t="e" cm="1">
        <f t="array" aca="1" ref="W6" ca="1">IF((_xll.SNL.Clients.Office.Excel.Functions.SPG($L6,$W$3,W$4,"Options: Curr=USD") / _xll.SNL.Clients.Office.Excel.Functions.SPG($L6,"SP_EBITDA_EST",W$2,"Options: Curr=USD")) &lt; 0, "NM", (_xll.SNL.Clients.Office.Excel.Functions.SPG($L6,$W$3,W$4,"Options: Curr=USD") / _xll.SNL.Clients.Office.Excel.Functions.SPG($L6,"SP_EBITDA_EST",W$2,"Options: Curr=USD")))</f>
        <v>#NAME?</v>
      </c>
      <c r="X6" s="59" t="e" cm="1">
        <f t="array" aca="1" ref="X6" ca="1">_xll.SNL.Clients.Office.Excel.Functions.SPG($L6, $X$3,X$4)</f>
        <v>#NAME?</v>
      </c>
      <c r="Y6" s="52" t="e" cm="1">
        <f t="array" aca="1" ref="Y6" ca="1">_xll.SNL.Clients.Office.Excel.Functions.SPG($L6, $Y$3,Y$2)</f>
        <v>#NAME?</v>
      </c>
      <c r="Z6" s="53" t="e" cm="1">
        <f t="array" aca="1" ref="Z6" ca="1">_xll.SNL.Clients.Office.Excel.Functions.SPG($L6, $Y$3,Z$2)</f>
        <v>#NAME?</v>
      </c>
      <c r="AA6" s="54" t="e" cm="1">
        <f t="array" aca="1" ref="AA6" ca="1">_xll.SNL.Clients.Office.Excel.Functions.SPG($L6, $Y$3,AA$2)</f>
        <v>#NAME?</v>
      </c>
      <c r="AB6" s="60" t="e" cm="1">
        <f t="array" aca="1" ref="AB6" ca="1">_xll.SNL.Clients.Office.Excel.Functions.SPG($L6, $AB$3)</f>
        <v>#NAME?</v>
      </c>
      <c r="AC6" s="61" t="e">
        <f ca="1">IF(ISNUMBER(SEARCH("na",_xll.SNL.Clients.Office.Excel.Functions.SPG($L6, $AC$3, AC$2))), 0,_xll.SNL.Clients.Office.Excel.Functions.SPG($L6, $AC$3, AC$2))</f>
        <v>#NAME?</v>
      </c>
      <c r="AD6" s="61" t="e">
        <f ca="1">IF(ISNUMBER(SEARCH("na",_xll.SNL.Clients.Office.Excel.Functions.SPG($L6, $AC$3, AD$2))), 0,_xll.SNL.Clients.Office.Excel.Functions.SPG($L6, $AC$3, AD$2))</f>
        <v>#NAME?</v>
      </c>
      <c r="AE6" s="61" t="e">
        <f ca="1">IF(ISNUMBER(SEARCH("na",_xll.SNL.Clients.Office.Excel.Functions.SPG($L6, $AC$3, AE$2))), 0,_xll.SNL.Clients.Office.Excel.Functions.SPG($L6, $AC$3, AE$2))</f>
        <v>#NAME?</v>
      </c>
      <c r="AF6" s="62" t="e">
        <f ca="1">IF(ISNUMBER(SEARCH("na",_xll.SNL.Clients.Office.Excel.Functions.SPG($L6, $AF$3, AF$2))), 0,_xll.SNL.Clients.Office.Excel.Functions.SPG($L6, $AF$3, AF$2))</f>
        <v>#NAME?</v>
      </c>
      <c r="AG6" s="61" t="e">
        <f ca="1">IF(ISNUMBER(SEARCH("na",_xll.SNL.Clients.Office.Excel.Functions.SPG($L6, $AF$3, AG$2))), 0,_xll.SNL.Clients.Office.Excel.Functions.SPG($L6, $AF$3, AG$2))</f>
        <v>#NAME?</v>
      </c>
      <c r="AH6" s="61" t="e">
        <f ca="1">IF(ISNUMBER(SEARCH("na",_xll.SNL.Clients.Office.Excel.Functions.SPG($L6, $AF$3, AH$2))), 0,_xll.SNL.Clients.Office.Excel.Functions.SPG($L6, $AF$3, AH$2))</f>
        <v>#NAME?</v>
      </c>
      <c r="AI6" s="63" t="e">
        <f ca="1">_xll.SNL.Clients.Office.Excel.Functions.SPG($L6,$AJ$3,AI$2,$AJ$4)</f>
        <v>#NAME?</v>
      </c>
      <c r="AJ6" s="64" t="e">
        <f ca="1">_xll.SNL.Clients.Office.Excel.Functions.SPG($L6,$AJ$3,AJ$2,$AJ$4)</f>
        <v>#NAME?</v>
      </c>
      <c r="AK6" s="65" t="str">
        <f ca="1">IFERROR(AVERAGE(_xll.SNL.Clients.Office.Excel.Functions.SPG($L6,$AK$4,$AJ$4,AK$2),_xll.SNL.Clients.Office.Excel.Functions.SPG($L6,$AK$3,$AJ$4,AK$2)),"NA")</f>
        <v>NA</v>
      </c>
      <c r="AL6" s="65" t="str">
        <f ca="1">IFERROR(AVERAGE(_xll.SNL.Clients.Office.Excel.Functions.SPG($L6,$AK$4,$AJ$4,AL$2),_xll.SNL.Clients.Office.Excel.Functions.SPG($L6,$AK$3,$AJ$4,AL$2)),"NA")</f>
        <v>NA</v>
      </c>
      <c r="AM6" s="63" t="e">
        <f ca="1">_xll.SNL.Clients.Office.Excel.Functions.SPG($L6,$AM$3,AM$2,$AN$4)</f>
        <v>#NAME?</v>
      </c>
      <c r="AN6" s="64" t="e">
        <f ca="1">_xll.SNL.Clients.Office.Excel.Functions.SPG($L6,$AM$3,AN$2,$AN$4)</f>
        <v>#NAME?</v>
      </c>
      <c r="AO6" s="65" t="str">
        <f ca="1">IFERROR(AVERAGE(_xll.SNL.Clients.Office.Excel.Functions.SPG($L6,$AO$4,$AN$4,AO$2),_xll.SNL.Clients.Office.Excel.Functions.SPG($L6,$AO$3,$AN$4,AO$2)),"NA")</f>
        <v>NA</v>
      </c>
      <c r="AP6" s="66" t="str">
        <f ca="1">IFERROR(AVERAGE(_xll.SNL.Clients.Office.Excel.Functions.SPG($L6,$AO$4,$AN$4,AP$2),_xll.SNL.Clients.Office.Excel.Functions.SPG($L6,$AO$3,$AN$4,AP$2)),"NA")</f>
        <v>NA</v>
      </c>
      <c r="AR6" s="67" t="s">
        <v>67</v>
      </c>
      <c r="AS6" s="67"/>
      <c r="AT6" s="38" t="s">
        <v>68</v>
      </c>
      <c r="AU6" s="38"/>
    </row>
    <row r="7" spans="1:47" ht="14.4" x14ac:dyDescent="0.25">
      <c r="A7" s="47" t="e">
        <f ca="1">_xll.SNL.Clients.Office.Excel.Functions.SPG($L7, A$3)</f>
        <v>#NAME?</v>
      </c>
      <c r="B7" s="47" t="e">
        <f ca="1">_xll.BDP($K7,B$3)</f>
        <v>#NAME?</v>
      </c>
      <c r="C7" s="47" t="e">
        <f ca="1">_xll.BDP($K7,C$3)</f>
        <v>#NAME?</v>
      </c>
      <c r="D7" s="47" t="e">
        <f ca="1">_xll.BDP($K7,D$3)</f>
        <v>#NAME?</v>
      </c>
      <c r="E7" s="48" t="s">
        <v>69</v>
      </c>
      <c r="F7" s="48" t="s">
        <v>62</v>
      </c>
      <c r="G7" s="48" t="s">
        <v>70</v>
      </c>
      <c r="H7" s="49" t="e">
        <f ca="1">_xll.SNL.Clients.Office.Excel.Functions.SPG($L7, "IQ_TEV", "Options: Curr=USD")</f>
        <v>#NAME?</v>
      </c>
      <c r="I7" s="49" t="e">
        <f ca="1">_xll.SNL.Clients.Office.Excel.Functions.SPG($L7, "SP_MARKETCAP", "Options: Curr=USD")</f>
        <v>#NAME?</v>
      </c>
      <c r="J7" s="50" t="s">
        <v>71</v>
      </c>
      <c r="K7" s="68" t="s">
        <v>72</v>
      </c>
      <c r="L7" s="68" t="s">
        <v>73</v>
      </c>
      <c r="M7" s="51" t="e" cm="1">
        <f t="array" aca="1" ref="M7" ca="1">_xll.SNL.Clients.Office.Excel.Functions.SPG($L7, $M$3)/100</f>
        <v>#NAME?</v>
      </c>
      <c r="N7" s="52" t="e" cm="1">
        <f t="array" aca="1" ref="N7" ca="1">_xll.SNL.Clients.Office.Excel.Functions.SPG($L7, "SP_PCFPS_FWD",N$2)</f>
        <v>#NAME?</v>
      </c>
      <c r="O7" s="53" t="e" cm="1">
        <f t="array" aca="1" ref="O7" ca="1">_xll.SNL.Clients.Office.Excel.Functions.SPG($L7, "SP_PCFPS_FWD",O$2)</f>
        <v>#NAME?</v>
      </c>
      <c r="P7" s="54" t="e" cm="1">
        <f t="array" aca="1" ref="P7" ca="1">_xll.SNL.Clients.Office.Excel.Functions.SPG($L7, "SP_PCFPS_FWD",P$2)</f>
        <v>#NAME?</v>
      </c>
      <c r="Q7" s="55" t="e">
        <f ca="1">_xll.SNL.Clients.Office.Excel.Functions.SPG($L7, "SP_FCF_EST",Q$2, "Options: Curr=USD")/1000/$I7</f>
        <v>#NAME?</v>
      </c>
      <c r="R7" s="55" t="e">
        <f ca="1">_xll.SNL.Clients.Office.Excel.Functions.SPG($L7, "SP_FCF_EST",R$2, "Options: Curr=USD")/1000/$I7</f>
        <v>#NAME?</v>
      </c>
      <c r="S7" s="55" t="e">
        <f ca="1">_xll.SNL.Clients.Office.Excel.Functions.SPG($L7, "SP_FCF_EST",S$2, "Options: Curr=USD")/1000/$I7</f>
        <v>#NAME?</v>
      </c>
      <c r="T7" s="52" t="e" cm="1">
        <f t="array" aca="1" ref="T7" ca="1">_xll.SNL.Clients.Office.Excel.Functions.SPG($L7, "SP_PE_FWD",T$2)</f>
        <v>#NAME?</v>
      </c>
      <c r="U7" s="53" t="e" cm="1">
        <f t="array" aca="1" ref="U7" ca="1">_xll.SNL.Clients.Office.Excel.Functions.SPG($L7, "SP_PE_FWD",U$2)</f>
        <v>#NAME?</v>
      </c>
      <c r="V7" s="54" t="e" cm="1">
        <f t="array" aca="1" ref="V7" ca="1">_xll.SNL.Clients.Office.Excel.Functions.SPG($L7, "SP_PE_FWD",V$2)</f>
        <v>#NAME?</v>
      </c>
      <c r="W7" s="58" t="e" cm="1">
        <f t="array" aca="1" ref="W7" ca="1">IF((_xll.SNL.Clients.Office.Excel.Functions.SPG($L7,$W$3,W$4,"Options: Curr=USD") / _xll.SNL.Clients.Office.Excel.Functions.SPG($L7,"SP_EBITDA_EST",W$2,"Options: Curr=USD")) &lt; 0, "NM", (_xll.SNL.Clients.Office.Excel.Functions.SPG($L7,$W$3,W$4,"Options: Curr=USD") / _xll.SNL.Clients.Office.Excel.Functions.SPG($L7,"SP_EBITDA_EST",W$2,"Options: Curr=USD")))</f>
        <v>#NAME?</v>
      </c>
      <c r="X7" s="59" t="e" cm="1">
        <f t="array" aca="1" ref="X7" ca="1">_xll.SNL.Clients.Office.Excel.Functions.SPG($L7, $X$3,X$4)</f>
        <v>#NAME?</v>
      </c>
      <c r="Y7" s="52" t="e" cm="1">
        <f t="array" aca="1" ref="Y7" ca="1">_xll.SNL.Clients.Office.Excel.Functions.SPG($L7, $Y$3,Y$2)</f>
        <v>#NAME?</v>
      </c>
      <c r="Z7" s="53" t="e" cm="1">
        <f t="array" aca="1" ref="Z7" ca="1">_xll.SNL.Clients.Office.Excel.Functions.SPG($L7, $Y$3,Z$2)</f>
        <v>#NAME?</v>
      </c>
      <c r="AA7" s="54" t="e" cm="1">
        <f t="array" aca="1" ref="AA7" ca="1">_xll.SNL.Clients.Office.Excel.Functions.SPG($L7, $Y$3,AA$2)</f>
        <v>#NAME?</v>
      </c>
      <c r="AB7" s="60" t="e" cm="1">
        <f t="array" aca="1" ref="AB7" ca="1">_xll.SNL.Clients.Office.Excel.Functions.SPG($L7, $AB$3)</f>
        <v>#NAME?</v>
      </c>
      <c r="AC7" s="61" t="e">
        <f ca="1">IF(ISNUMBER(SEARCH("na",_xll.SNL.Clients.Office.Excel.Functions.SPG($L7, $AC$3, AC$2))), 0,_xll.SNL.Clients.Office.Excel.Functions.SPG($L7, $AC$3, AC$2))</f>
        <v>#NAME?</v>
      </c>
      <c r="AD7" s="61" t="e">
        <f ca="1">IF(ISNUMBER(SEARCH("na",_xll.SNL.Clients.Office.Excel.Functions.SPG($L7, $AC$3, AD$2))), 0,_xll.SNL.Clients.Office.Excel.Functions.SPG($L7, $AC$3, AD$2))</f>
        <v>#NAME?</v>
      </c>
      <c r="AE7" s="61" t="e">
        <f ca="1">IF(ISNUMBER(SEARCH("na",_xll.SNL.Clients.Office.Excel.Functions.SPG($L7, $AC$3, AE$2))), 0,_xll.SNL.Clients.Office.Excel.Functions.SPG($L7, $AC$3, AE$2))</f>
        <v>#NAME?</v>
      </c>
      <c r="AF7" s="62" t="e">
        <f ca="1">IF(ISNUMBER(SEARCH("na",_xll.SNL.Clients.Office.Excel.Functions.SPG($L7, $AF$3, AF$2))), 0,_xll.SNL.Clients.Office.Excel.Functions.SPG($L7, $AF$3, AF$2))</f>
        <v>#NAME?</v>
      </c>
      <c r="AG7" s="61" t="e">
        <f ca="1">IF(ISNUMBER(SEARCH("na",_xll.SNL.Clients.Office.Excel.Functions.SPG($L7, $AF$3, AG$2))), 0,_xll.SNL.Clients.Office.Excel.Functions.SPG($L7, $AF$3, AG$2))</f>
        <v>#NAME?</v>
      </c>
      <c r="AH7" s="61" t="e">
        <f ca="1">IF(ISNUMBER(SEARCH("na",_xll.SNL.Clients.Office.Excel.Functions.SPG($L7, $AF$3, AH$2))), 0,_xll.SNL.Clients.Office.Excel.Functions.SPG($L7, $AF$3, AH$2))</f>
        <v>#NAME?</v>
      </c>
      <c r="AI7" s="69" t="e">
        <f ca="1">_xll.SNL.Clients.Office.Excel.Functions.SPG($L7,$AJ$3,AI$2,$AJ$4)</f>
        <v>#NAME?</v>
      </c>
      <c r="AJ7" s="64" t="e">
        <f ca="1">_xll.SNL.Clients.Office.Excel.Functions.SPG($L7,$AJ$3,AJ$2,$AJ$4)</f>
        <v>#NAME?</v>
      </c>
      <c r="AK7" s="65" t="str">
        <f ca="1">IFERROR(AVERAGE(_xll.SNL.Clients.Office.Excel.Functions.SPG($L7,$AK$4,$AJ$4,AK$2),_xll.SNL.Clients.Office.Excel.Functions.SPG($L7,$AK$3,$AJ$4,AK$2)),"NA")</f>
        <v>NA</v>
      </c>
      <c r="AL7" s="65" t="str">
        <f ca="1">IFERROR(AVERAGE(_xll.SNL.Clients.Office.Excel.Functions.SPG($L7,$AK$4,$AJ$4,AL$2),_xll.SNL.Clients.Office.Excel.Functions.SPG($L7,$AK$3,$AJ$4,AL$2)),"NA")</f>
        <v>NA</v>
      </c>
      <c r="AM7" s="69" t="e">
        <f ca="1">_xll.SNL.Clients.Office.Excel.Functions.SPG($L7,$AM$3,AM$2,$AN$4)</f>
        <v>#NAME?</v>
      </c>
      <c r="AN7" s="64" t="e">
        <f ca="1">_xll.SNL.Clients.Office.Excel.Functions.SPG($L7,$AM$3,AN$2,$AN$4)</f>
        <v>#NAME?</v>
      </c>
      <c r="AO7" s="65" t="str">
        <f ca="1">IFERROR(AVERAGE(_xll.SNL.Clients.Office.Excel.Functions.SPG($L7,$AO$4,$AN$4,AO$2),_xll.SNL.Clients.Office.Excel.Functions.SPG($L7,$AO$3,$AN$4,AO$2)),"NA")</f>
        <v>NA</v>
      </c>
      <c r="AP7" s="66" t="str">
        <f ca="1">IFERROR(AVERAGE(_xll.SNL.Clients.Office.Excel.Functions.SPG($L7,$AO$4,$AN$4,AP$2),_xll.SNL.Clients.Office.Excel.Functions.SPG($L7,$AO$3,$AN$4,AP$2)),"NA")</f>
        <v>NA</v>
      </c>
      <c r="AR7" s="67" t="s">
        <v>67</v>
      </c>
      <c r="AS7" s="67"/>
      <c r="AT7" s="38" t="s">
        <v>68</v>
      </c>
      <c r="AU7" s="38"/>
    </row>
    <row r="8" spans="1:47" ht="14.4" x14ac:dyDescent="0.25">
      <c r="A8" s="47" t="e">
        <f ca="1">_xll.SNL.Clients.Office.Excel.Functions.SPG($L8, A$3)</f>
        <v>#NAME?</v>
      </c>
      <c r="B8" s="47" t="e">
        <f ca="1">_xll.BDP($K8,B$3)</f>
        <v>#NAME?</v>
      </c>
      <c r="C8" s="47" t="e">
        <f ca="1">_xll.BDP($K8,C$3)</f>
        <v>#NAME?</v>
      </c>
      <c r="D8" s="47" t="e">
        <f ca="1">_xll.BDP($K8,D$3)</f>
        <v>#NAME?</v>
      </c>
      <c r="E8" s="48" t="s">
        <v>74</v>
      </c>
      <c r="F8" s="48" t="s">
        <v>62</v>
      </c>
      <c r="G8" s="48" t="s">
        <v>75</v>
      </c>
      <c r="H8" s="49" t="e">
        <f ca="1">_xll.SNL.Clients.Office.Excel.Functions.SPG($L8, "IQ_TEV", "Options: Curr=USD")</f>
        <v>#NAME?</v>
      </c>
      <c r="I8" s="49" t="e">
        <f ca="1">_xll.SNL.Clients.Office.Excel.Functions.SPG($L8, "SP_MARKETCAP", "Options: Curr=USD")</f>
        <v>#NAME?</v>
      </c>
      <c r="J8" s="50" t="s">
        <v>76</v>
      </c>
      <c r="K8" s="68" t="s">
        <v>77</v>
      </c>
      <c r="L8" s="3" t="s">
        <v>78</v>
      </c>
      <c r="M8" s="51" t="e" cm="1">
        <f t="array" aca="1" ref="M8" ca="1">_xll.SNL.Clients.Office.Excel.Functions.SPG($L8, $M$3)/100</f>
        <v>#NAME?</v>
      </c>
      <c r="N8" s="52" t="e" cm="1">
        <f t="array" aca="1" ref="N8" ca="1">_xll.SNL.Clients.Office.Excel.Functions.SPG($L8, "SP_PCFPS_FWD",N$2)</f>
        <v>#NAME?</v>
      </c>
      <c r="O8" s="53" t="e" cm="1">
        <f t="array" aca="1" ref="O8" ca="1">_xll.SNL.Clients.Office.Excel.Functions.SPG($L8, "SP_PCFPS_FWD",O$2)</f>
        <v>#NAME?</v>
      </c>
      <c r="P8" s="54" t="e" cm="1">
        <f t="array" aca="1" ref="P8" ca="1">_xll.SNL.Clients.Office.Excel.Functions.SPG($L8, "SP_PCFPS_FWD",P$2)</f>
        <v>#NAME?</v>
      </c>
      <c r="Q8" s="55" t="e">
        <f ca="1">_xll.SNL.Clients.Office.Excel.Functions.SPG($L8, "SP_FCF_EST",Q$2, "Options: Curr=USD")/1000/$I8</f>
        <v>#NAME?</v>
      </c>
      <c r="R8" s="55" t="e">
        <f ca="1">_xll.SNL.Clients.Office.Excel.Functions.SPG($L8, "SP_FCF_EST",R$2, "Options: Curr=USD")/1000/$I8</f>
        <v>#NAME?</v>
      </c>
      <c r="S8" s="55" t="e">
        <f ca="1">_xll.SNL.Clients.Office.Excel.Functions.SPG($L8, "SP_FCF_EST",S$2, "Options: Curr=USD")/1000/$I8</f>
        <v>#NAME?</v>
      </c>
      <c r="T8" s="52" t="e" cm="1">
        <f t="array" aca="1" ref="T8" ca="1">_xll.SNL.Clients.Office.Excel.Functions.SPG($L8, "SP_PE_FWD",T$2)</f>
        <v>#NAME?</v>
      </c>
      <c r="U8" s="53" t="e" cm="1">
        <f t="array" aca="1" ref="U8" ca="1">_xll.SNL.Clients.Office.Excel.Functions.SPG($L8, "SP_PE_FWD",U$2)</f>
        <v>#NAME?</v>
      </c>
      <c r="V8" s="54" t="e" cm="1">
        <f t="array" aca="1" ref="V8" ca="1">_xll.SNL.Clients.Office.Excel.Functions.SPG($L8, "SP_PE_FWD",V$2)</f>
        <v>#NAME?</v>
      </c>
      <c r="W8" s="58" t="e" cm="1">
        <f t="array" aca="1" ref="W8" ca="1">IF((_xll.SNL.Clients.Office.Excel.Functions.SPG($L8,$W$3,W$4,"Options: Curr=USD") / _xll.SNL.Clients.Office.Excel.Functions.SPG($L8,"SP_EBITDA_EST",W$2,"Options: Curr=USD")) &lt; 0, "NM", (_xll.SNL.Clients.Office.Excel.Functions.SPG($L8,$W$3,W$4,"Options: Curr=USD") / _xll.SNL.Clients.Office.Excel.Functions.SPG($L8,"SP_EBITDA_EST",W$2,"Options: Curr=USD")))</f>
        <v>#NAME?</v>
      </c>
      <c r="X8" s="59" t="e" cm="1">
        <f t="array" aca="1" ref="X8" ca="1">_xll.SNL.Clients.Office.Excel.Functions.SPG($L8, $X$3,X$4)</f>
        <v>#NAME?</v>
      </c>
      <c r="Y8" s="52" t="e" cm="1">
        <f t="array" aca="1" ref="Y8" ca="1">_xll.SNL.Clients.Office.Excel.Functions.SPG($L8, $Y$3,Y$2)</f>
        <v>#NAME?</v>
      </c>
      <c r="Z8" s="53" t="e" cm="1">
        <f t="array" aca="1" ref="Z8" ca="1">_xll.SNL.Clients.Office.Excel.Functions.SPG($L8, $Y$3,Z$2)</f>
        <v>#NAME?</v>
      </c>
      <c r="AA8" s="54" t="e" cm="1">
        <f t="array" aca="1" ref="AA8" ca="1">_xll.SNL.Clients.Office.Excel.Functions.SPG($L8, $Y$3,AA$2)</f>
        <v>#NAME?</v>
      </c>
      <c r="AB8" s="60" t="e" cm="1">
        <f t="array" aca="1" ref="AB8" ca="1">_xll.SNL.Clients.Office.Excel.Functions.SPG($L8, $AB$3)</f>
        <v>#NAME?</v>
      </c>
      <c r="AC8" s="61" t="e">
        <f ca="1">IF(ISNUMBER(SEARCH("na",_xll.SNL.Clients.Office.Excel.Functions.SPG($L8, $AC$3, AC$2))), 0,_xll.SNL.Clients.Office.Excel.Functions.SPG($L8, $AC$3, AC$2))</f>
        <v>#NAME?</v>
      </c>
      <c r="AD8" s="61" t="e">
        <f ca="1">IF(ISNUMBER(SEARCH("na",_xll.SNL.Clients.Office.Excel.Functions.SPG($L8, $AC$3, AD$2))), 0,_xll.SNL.Clients.Office.Excel.Functions.SPG($L8, $AC$3, AD$2))</f>
        <v>#NAME?</v>
      </c>
      <c r="AE8" s="61" t="e">
        <f ca="1">IF(ISNUMBER(SEARCH("na",_xll.SNL.Clients.Office.Excel.Functions.SPG($L8, $AC$3, AE$2))), 0,_xll.SNL.Clients.Office.Excel.Functions.SPG($L8, $AC$3, AE$2))</f>
        <v>#NAME?</v>
      </c>
      <c r="AF8" s="62" t="e">
        <f ca="1">IF(ISNUMBER(SEARCH("na",_xll.SNL.Clients.Office.Excel.Functions.SPG($L8, $AF$3, AF$2))), 0,_xll.SNL.Clients.Office.Excel.Functions.SPG($L8, $AF$3, AF$2))</f>
        <v>#NAME?</v>
      </c>
      <c r="AG8" s="61" t="e">
        <f ca="1">IF(ISNUMBER(SEARCH("na",_xll.SNL.Clients.Office.Excel.Functions.SPG($L8, $AF$3, AG$2))), 0,_xll.SNL.Clients.Office.Excel.Functions.SPG($L8, $AF$3, AG$2))</f>
        <v>#NAME?</v>
      </c>
      <c r="AH8" s="61" t="e">
        <f ca="1">IF(ISNUMBER(SEARCH("na",_xll.SNL.Clients.Office.Excel.Functions.SPG($L8, $AF$3, AH$2))), 0,_xll.SNL.Clients.Office.Excel.Functions.SPG($L8, $AF$3, AH$2))</f>
        <v>#NAME?</v>
      </c>
      <c r="AI8" s="69" t="e">
        <f ca="1">_xll.SNL.Clients.Office.Excel.Functions.SPG($L8,$AJ$3,AI$2,$AJ$4)</f>
        <v>#NAME?</v>
      </c>
      <c r="AJ8" s="64" t="e">
        <f ca="1">_xll.SNL.Clients.Office.Excel.Functions.SPG($L8,$AJ$3,AJ$2,$AJ$4)</f>
        <v>#NAME?</v>
      </c>
      <c r="AK8" s="65" t="str">
        <f ca="1">IFERROR(AVERAGE(_xll.SNL.Clients.Office.Excel.Functions.SPG($L8,$AK$4,$AJ$4,AK$2),_xll.SNL.Clients.Office.Excel.Functions.SPG($L8,$AK$3,$AJ$4,AK$2)),"NA")</f>
        <v>NA</v>
      </c>
      <c r="AL8" s="65" t="str">
        <f ca="1">IFERROR(AVERAGE(_xll.SNL.Clients.Office.Excel.Functions.SPG($L8,$AK$4,$AJ$4,AL$2),_xll.SNL.Clients.Office.Excel.Functions.SPG($L8,$AK$3,$AJ$4,AL$2)),"NA")</f>
        <v>NA</v>
      </c>
      <c r="AM8" s="69" t="e">
        <f ca="1">_xll.SNL.Clients.Office.Excel.Functions.SPG($L8,$AM$3,AM$2,$AN$4)</f>
        <v>#NAME?</v>
      </c>
      <c r="AN8" s="64" t="e">
        <f ca="1">_xll.SNL.Clients.Office.Excel.Functions.SPG($L8,$AM$3,AN$2,$AN$4)</f>
        <v>#NAME?</v>
      </c>
      <c r="AO8" s="65" t="str">
        <f ca="1">IFERROR(AVERAGE(_xll.SNL.Clients.Office.Excel.Functions.SPG($L8,$AO$4,$AN$4,AO$2),_xll.SNL.Clients.Office.Excel.Functions.SPG($L8,$AO$3,$AN$4,AO$2)),"NA")</f>
        <v>NA</v>
      </c>
      <c r="AP8" s="66" t="str">
        <f ca="1">IFERROR(AVERAGE(_xll.SNL.Clients.Office.Excel.Functions.SPG($L8,$AO$4,$AN$4,AP$2),_xll.SNL.Clients.Office.Excel.Functions.SPG($L8,$AO$3,$AN$4,AP$2)),"NA")</f>
        <v>NA</v>
      </c>
      <c r="AR8" s="67" t="s">
        <v>67</v>
      </c>
      <c r="AS8" s="67"/>
      <c r="AT8" s="38" t="s">
        <v>68</v>
      </c>
      <c r="AU8" s="38"/>
    </row>
    <row r="9" spans="1:47" ht="14.4" x14ac:dyDescent="0.25">
      <c r="A9" s="47" t="e">
        <f ca="1">_xll.SNL.Clients.Office.Excel.Functions.SPG($L9, A$3)</f>
        <v>#NAME?</v>
      </c>
      <c r="B9" s="47" t="e">
        <f ca="1">_xll.BDP($K9,B$3)</f>
        <v>#NAME?</v>
      </c>
      <c r="C9" s="47" t="e">
        <f ca="1">_xll.BDP($K9,C$3)</f>
        <v>#NAME?</v>
      </c>
      <c r="D9" s="47" t="e">
        <f ca="1">_xll.BDP($K9,D$3)</f>
        <v>#NAME?</v>
      </c>
      <c r="E9" s="48" t="s">
        <v>79</v>
      </c>
      <c r="F9" s="48" t="s">
        <v>62</v>
      </c>
      <c r="G9" s="48" t="s">
        <v>80</v>
      </c>
      <c r="H9" s="49" t="e">
        <f ca="1">_xll.SNL.Clients.Office.Excel.Functions.SPG($L9, "IQ_TEV", "Options: Curr=USD")</f>
        <v>#NAME?</v>
      </c>
      <c r="I9" s="49" t="e">
        <f ca="1">_xll.SNL.Clients.Office.Excel.Functions.SPG($L9, "SP_MARKETCAP", "Options: Curr=USD")</f>
        <v>#NAME?</v>
      </c>
      <c r="J9" s="50" t="s">
        <v>81</v>
      </c>
      <c r="K9" s="68" t="s">
        <v>82</v>
      </c>
      <c r="L9" s="68" t="s">
        <v>83</v>
      </c>
      <c r="M9" s="51" t="e" cm="1">
        <f t="array" aca="1" ref="M9" ca="1">_xll.SNL.Clients.Office.Excel.Functions.SPG($L9, $M$3)/100</f>
        <v>#NAME?</v>
      </c>
      <c r="N9" s="52" t="e" cm="1">
        <f t="array" aca="1" ref="N9" ca="1">_xll.SNL.Clients.Office.Excel.Functions.SPG($L9, "SP_PCFPS_FWD",N$2)</f>
        <v>#NAME?</v>
      </c>
      <c r="O9" s="53" t="e" cm="1">
        <f t="array" aca="1" ref="O9" ca="1">_xll.SNL.Clients.Office.Excel.Functions.SPG($L9, "SP_PCFPS_FWD",O$2)</f>
        <v>#NAME?</v>
      </c>
      <c r="P9" s="54" t="e" cm="1">
        <f t="array" aca="1" ref="P9" ca="1">_xll.SNL.Clients.Office.Excel.Functions.SPG($L9, "SP_PCFPS_FWD",P$2)</f>
        <v>#NAME?</v>
      </c>
      <c r="Q9" s="55" t="e">
        <f ca="1">_xll.SNL.Clients.Office.Excel.Functions.SPG($L9, "SP_FCF_EST",Q$2, "Options: Curr=USD")/1000/$I9</f>
        <v>#NAME?</v>
      </c>
      <c r="R9" s="55" t="e">
        <f ca="1">_xll.SNL.Clients.Office.Excel.Functions.SPG($L9, "SP_FCF_EST",R$2, "Options: Curr=USD")/1000/$I9</f>
        <v>#NAME?</v>
      </c>
      <c r="S9" s="55" t="e">
        <f ca="1">_xll.SNL.Clients.Office.Excel.Functions.SPG($L9, "SP_FCF_EST",S$2, "Options: Curr=USD")/1000/$I9</f>
        <v>#NAME?</v>
      </c>
      <c r="T9" s="52" t="e" cm="1">
        <f t="array" aca="1" ref="T9" ca="1">_xll.SNL.Clients.Office.Excel.Functions.SPG($L9, "SP_PE_FWD",T$2)</f>
        <v>#NAME?</v>
      </c>
      <c r="U9" s="53" t="e" cm="1">
        <f t="array" aca="1" ref="U9" ca="1">_xll.SNL.Clients.Office.Excel.Functions.SPG($L9, "SP_PE_FWD",U$2)</f>
        <v>#NAME?</v>
      </c>
      <c r="V9" s="54" t="e" cm="1">
        <f t="array" aca="1" ref="V9" ca="1">_xll.SNL.Clients.Office.Excel.Functions.SPG($L9, "SP_PE_FWD",V$2)</f>
        <v>#NAME?</v>
      </c>
      <c r="W9" s="58" t="e" cm="1">
        <f t="array" aca="1" ref="W9" ca="1">IF((_xll.SNL.Clients.Office.Excel.Functions.SPG($L9,$W$3,W$4,"Options: Curr=USD") / _xll.SNL.Clients.Office.Excel.Functions.SPG($L9,"SP_EBITDA_EST",W$2,"Options: Curr=USD")) &lt; 0, "NM", (_xll.SNL.Clients.Office.Excel.Functions.SPG($L9,$W$3,W$4,"Options: Curr=USD") / _xll.SNL.Clients.Office.Excel.Functions.SPG($L9,"SP_EBITDA_EST",W$2,"Options: Curr=USD")))</f>
        <v>#NAME?</v>
      </c>
      <c r="X9" s="59" t="e" cm="1">
        <f t="array" aca="1" ref="X9" ca="1">_xll.SNL.Clients.Office.Excel.Functions.SPG($L9, $X$3,X$4)</f>
        <v>#NAME?</v>
      </c>
      <c r="Y9" s="52" t="e" cm="1">
        <f t="array" aca="1" ref="Y9" ca="1">_xll.SNL.Clients.Office.Excel.Functions.SPG($L9, $Y$3,Y$2)</f>
        <v>#NAME?</v>
      </c>
      <c r="Z9" s="53" t="e" cm="1">
        <f t="array" aca="1" ref="Z9" ca="1">_xll.SNL.Clients.Office.Excel.Functions.SPG($L9, $Y$3,Z$2)</f>
        <v>#NAME?</v>
      </c>
      <c r="AA9" s="54" t="e" cm="1">
        <f t="array" aca="1" ref="AA9" ca="1">_xll.SNL.Clients.Office.Excel.Functions.SPG($L9, $Y$3,AA$2)</f>
        <v>#NAME?</v>
      </c>
      <c r="AB9" s="60" t="e" cm="1">
        <f t="array" aca="1" ref="AB9" ca="1">_xll.SNL.Clients.Office.Excel.Functions.SPG($L9, $AB$3)</f>
        <v>#NAME?</v>
      </c>
      <c r="AC9" s="61" t="e">
        <f ca="1">IF(ISNUMBER(SEARCH("na",_xll.SNL.Clients.Office.Excel.Functions.SPG($L9, $AC$3, AC$2))), 0,_xll.SNL.Clients.Office.Excel.Functions.SPG($L9, $AC$3, AC$2))</f>
        <v>#NAME?</v>
      </c>
      <c r="AD9" s="61" t="e">
        <f ca="1">IF(ISNUMBER(SEARCH("na",_xll.SNL.Clients.Office.Excel.Functions.SPG($L9, $AC$3, AD$2))), 0,_xll.SNL.Clients.Office.Excel.Functions.SPG($L9, $AC$3, AD$2))</f>
        <v>#NAME?</v>
      </c>
      <c r="AE9" s="61" t="e">
        <f ca="1">IF(ISNUMBER(SEARCH("na",_xll.SNL.Clients.Office.Excel.Functions.SPG($L9, $AC$3, AE$2))), 0,_xll.SNL.Clients.Office.Excel.Functions.SPG($L9, $AC$3, AE$2))</f>
        <v>#NAME?</v>
      </c>
      <c r="AF9" s="62" t="e">
        <f ca="1">IF(ISNUMBER(SEARCH("na",_xll.SNL.Clients.Office.Excel.Functions.SPG($L9, $AF$3, AF$2))), 0,_xll.SNL.Clients.Office.Excel.Functions.SPG($L9, $AF$3, AF$2))</f>
        <v>#NAME?</v>
      </c>
      <c r="AG9" s="61" t="e">
        <f ca="1">IF(ISNUMBER(SEARCH("na",_xll.SNL.Clients.Office.Excel.Functions.SPG($L9, $AF$3, AG$2))), 0,_xll.SNL.Clients.Office.Excel.Functions.SPG($L9, $AF$3, AG$2))</f>
        <v>#NAME?</v>
      </c>
      <c r="AH9" s="61" t="e">
        <f ca="1">IF(ISNUMBER(SEARCH("na",_xll.SNL.Clients.Office.Excel.Functions.SPG($L9, $AF$3, AH$2))), 0,_xll.SNL.Clients.Office.Excel.Functions.SPG($L9, $AF$3, AH$2))</f>
        <v>#NAME?</v>
      </c>
      <c r="AI9" s="69" t="e">
        <f ca="1">_xll.SNL.Clients.Office.Excel.Functions.SPG($L9,$AJ$3,AI$2,$AJ$4)</f>
        <v>#NAME?</v>
      </c>
      <c r="AJ9" s="64" t="e">
        <f ca="1">_xll.SNL.Clients.Office.Excel.Functions.SPG($L9,$AJ$3,AJ$2,$AJ$4)</f>
        <v>#NAME?</v>
      </c>
      <c r="AK9" s="65" t="str">
        <f ca="1">IFERROR(AVERAGE(_xll.SNL.Clients.Office.Excel.Functions.SPG($L9,$AK$4,$AJ$4,AK$2),_xll.SNL.Clients.Office.Excel.Functions.SPG($L9,$AK$3,$AJ$4,AK$2)),"NA")</f>
        <v>NA</v>
      </c>
      <c r="AL9" s="65" t="str">
        <f ca="1">IFERROR(AVERAGE(_xll.SNL.Clients.Office.Excel.Functions.SPG($L9,$AK$4,$AJ$4,AL$2),_xll.SNL.Clients.Office.Excel.Functions.SPG($L9,$AK$3,$AJ$4,AL$2)),"NA")</f>
        <v>NA</v>
      </c>
      <c r="AM9" s="69" t="e">
        <f ca="1">_xll.SNL.Clients.Office.Excel.Functions.SPG($L9,$AM$3,AM$2,$AN$4)</f>
        <v>#NAME?</v>
      </c>
      <c r="AN9" s="64" t="e">
        <f ca="1">_xll.SNL.Clients.Office.Excel.Functions.SPG($L9,$AM$3,AN$2,$AN$4)</f>
        <v>#NAME?</v>
      </c>
      <c r="AO9" s="65" t="str">
        <f ca="1">IFERROR(AVERAGE(_xll.SNL.Clients.Office.Excel.Functions.SPG($L9,$AO$4,$AN$4,AO$2),_xll.SNL.Clients.Office.Excel.Functions.SPG($L9,$AO$3,$AN$4,AO$2)),"NA")</f>
        <v>NA</v>
      </c>
      <c r="AP9" s="66" t="str">
        <f ca="1">IFERROR(AVERAGE(_xll.SNL.Clients.Office.Excel.Functions.SPG($L9,$AO$4,$AN$4,AP$2),_xll.SNL.Clients.Office.Excel.Functions.SPG($L9,$AO$3,$AN$4,AP$2)),"NA")</f>
        <v>NA</v>
      </c>
      <c r="AR9" s="67" t="s">
        <v>67</v>
      </c>
      <c r="AS9" s="67"/>
      <c r="AT9" s="38" t="s">
        <v>68</v>
      </c>
      <c r="AU9" s="38"/>
    </row>
    <row r="10" spans="1:47" ht="14.4" x14ac:dyDescent="0.25">
      <c r="A10" s="47" t="e">
        <f ca="1">_xll.SNL.Clients.Office.Excel.Functions.SPG($L10, A$3)</f>
        <v>#NAME?</v>
      </c>
      <c r="B10" s="47" t="e">
        <f ca="1">_xll.BDP($K10,B$3)</f>
        <v>#NAME?</v>
      </c>
      <c r="C10" s="47" t="e">
        <f ca="1">_xll.BDP($K10,C$3)</f>
        <v>#NAME?</v>
      </c>
      <c r="D10" s="47" t="e">
        <f ca="1">_xll.BDP($K10,D$3)</f>
        <v>#NAME?</v>
      </c>
      <c r="E10" s="48" t="s">
        <v>84</v>
      </c>
      <c r="F10" s="48" t="s">
        <v>62</v>
      </c>
      <c r="G10" s="48" t="s">
        <v>85</v>
      </c>
      <c r="H10" s="49" t="e">
        <f ca="1">_xll.SNL.Clients.Office.Excel.Functions.SPG("BOVESPA:VALE3", "IQ_TEV", "Options: Curr=USD")</f>
        <v>#NAME?</v>
      </c>
      <c r="I10" s="70" t="e">
        <f ca="1">_xll.SNL.Clients.Office.Excel.Functions.SPG("BOVESPA:VALE3", "SP_MARKETCAP", "Options: Curr=USD")</f>
        <v>#NAME?</v>
      </c>
      <c r="J10" s="50" t="s">
        <v>86</v>
      </c>
      <c r="K10" s="68" t="s">
        <v>87</v>
      </c>
      <c r="L10" s="68" t="s">
        <v>88</v>
      </c>
      <c r="M10" s="51" t="e" cm="1">
        <f t="array" aca="1" ref="M10" ca="1">_xll.SNL.Clients.Office.Excel.Functions.SPG($L10, $M$3)/100</f>
        <v>#NAME?</v>
      </c>
      <c r="N10" s="52" t="e" cm="1">
        <f t="array" aca="1" ref="N10" ca="1">_xll.SNL.Clients.Office.Excel.Functions.SPG($L10, "SP_PCFPS_FWD",N$2)</f>
        <v>#NAME?</v>
      </c>
      <c r="O10" s="53" t="e" cm="1">
        <f t="array" aca="1" ref="O10" ca="1">_xll.SNL.Clients.Office.Excel.Functions.SPG($L10, "SP_PCFPS_FWD",O$2)</f>
        <v>#NAME?</v>
      </c>
      <c r="P10" s="54" t="e" cm="1">
        <f t="array" aca="1" ref="P10" ca="1">_xll.SNL.Clients.Office.Excel.Functions.SPG($L10, "SP_PCFPS_FWD",P$2)</f>
        <v>#NAME?</v>
      </c>
      <c r="Q10" s="55" t="e">
        <f ca="1">_xll.SNL.Clients.Office.Excel.Functions.SPG($L10, "SP_FCF_EST",Q$2, "Options: Curr=USD")/1000/$I10</f>
        <v>#NAME?</v>
      </c>
      <c r="R10" s="55" t="e">
        <f ca="1">_xll.SNL.Clients.Office.Excel.Functions.SPG($L10, "SP_FCF_EST",R$2, "Options: Curr=USD")/1000/$I10</f>
        <v>#NAME?</v>
      </c>
      <c r="S10" s="55" t="e">
        <f ca="1">_xll.SNL.Clients.Office.Excel.Functions.SPG($L10, "SP_FCF_EST",S$2, "Options: Curr=USD")/1000/$I10</f>
        <v>#NAME?</v>
      </c>
      <c r="T10" s="52" t="e" cm="1">
        <f t="array" aca="1" ref="T10" ca="1">_xll.SNL.Clients.Office.Excel.Functions.SPG($L10, "SP_PE_FWD",T$2)</f>
        <v>#NAME?</v>
      </c>
      <c r="U10" s="53" t="e" cm="1">
        <f t="array" aca="1" ref="U10" ca="1">_xll.SNL.Clients.Office.Excel.Functions.SPG($L10, "SP_PE_FWD",U$2)</f>
        <v>#NAME?</v>
      </c>
      <c r="V10" s="54" t="e" cm="1">
        <f t="array" aca="1" ref="V10" ca="1">_xll.SNL.Clients.Office.Excel.Functions.SPG($L10, "SP_PE_FWD",V$2)</f>
        <v>#NAME?</v>
      </c>
      <c r="W10" s="58" t="e" cm="1">
        <f t="array" aca="1" ref="W10" ca="1">IF((_xll.SNL.Clients.Office.Excel.Functions.SPG($L10,$W$3,W$4,"Options: Curr=USD") / _xll.SNL.Clients.Office.Excel.Functions.SPG($L10,"SP_EBITDA_EST",W$2,"Options: Curr=USD")) &lt; 0, "NM", (_xll.SNL.Clients.Office.Excel.Functions.SPG($L10,$W$3,W$4,"Options: Curr=USD") / _xll.SNL.Clients.Office.Excel.Functions.SPG($L10,"SP_EBITDA_EST",W$2,"Options: Curr=USD")))</f>
        <v>#NAME?</v>
      </c>
      <c r="X10" s="59" t="e" cm="1">
        <f t="array" aca="1" ref="X10" ca="1">_xll.SNL.Clients.Office.Excel.Functions.SPG($L10, $X$3,X$4)</f>
        <v>#NAME?</v>
      </c>
      <c r="Y10" s="52" t="e" cm="1">
        <f t="array" aca="1" ref="Y10" ca="1">_xll.SNL.Clients.Office.Excel.Functions.SPG($L10, $Y$3,Y$2)</f>
        <v>#NAME?</v>
      </c>
      <c r="Z10" s="53" t="e" cm="1">
        <f t="array" aca="1" ref="Z10" ca="1">_xll.SNL.Clients.Office.Excel.Functions.SPG($L10, $Y$3,Z$2)</f>
        <v>#NAME?</v>
      </c>
      <c r="AA10" s="54" t="e" cm="1">
        <f t="array" aca="1" ref="AA10" ca="1">_xll.SNL.Clients.Office.Excel.Functions.SPG($L10, $Y$3,AA$2)</f>
        <v>#NAME?</v>
      </c>
      <c r="AB10" s="60" t="e" cm="1">
        <f t="array" aca="1" ref="AB10" ca="1">_xll.SNL.Clients.Office.Excel.Functions.SPG($L10, $AB$3)</f>
        <v>#NAME?</v>
      </c>
      <c r="AC10" s="61" t="e">
        <f ca="1">IF(ISNUMBER(SEARCH("na",_xll.SNL.Clients.Office.Excel.Functions.SPG($L10, $AC$3, AC$2))), 0,_xll.SNL.Clients.Office.Excel.Functions.SPG($L10, $AC$3, AC$2))</f>
        <v>#NAME?</v>
      </c>
      <c r="AD10" s="61" t="e">
        <f ca="1">IF(ISNUMBER(SEARCH("na",_xll.SNL.Clients.Office.Excel.Functions.SPG($L10, $AC$3, AD$2))), 0,_xll.SNL.Clients.Office.Excel.Functions.SPG($L10, $AC$3, AD$2))</f>
        <v>#NAME?</v>
      </c>
      <c r="AE10" s="61" t="e">
        <f ca="1">IF(ISNUMBER(SEARCH("na",_xll.SNL.Clients.Office.Excel.Functions.SPG($L10, $AC$3, AE$2))), 0,_xll.SNL.Clients.Office.Excel.Functions.SPG($L10, $AC$3, AE$2))</f>
        <v>#NAME?</v>
      </c>
      <c r="AF10" s="62" t="e">
        <f ca="1">IF(ISNUMBER(SEARCH("na",_xll.SNL.Clients.Office.Excel.Functions.SPG($L10, $AF$3, AF$2))), 0,_xll.SNL.Clients.Office.Excel.Functions.SPG($L10, $AF$3, AF$2))</f>
        <v>#NAME?</v>
      </c>
      <c r="AG10" s="61" t="e">
        <f ca="1">IF(ISNUMBER(SEARCH("na",_xll.SNL.Clients.Office.Excel.Functions.SPG($L10, $AF$3, AG$2))), 0,_xll.SNL.Clients.Office.Excel.Functions.SPG($L10, $AF$3, AG$2))</f>
        <v>#NAME?</v>
      </c>
      <c r="AH10" s="61" t="e">
        <f ca="1">IF(ISNUMBER(SEARCH("na",_xll.SNL.Clients.Office.Excel.Functions.SPG($L10, $AF$3, AH$2))), 0,_xll.SNL.Clients.Office.Excel.Functions.SPG($L10, $AF$3, AH$2))</f>
        <v>#NAME?</v>
      </c>
      <c r="AI10" s="69" t="e">
        <f ca="1">_xll.SNL.Clients.Office.Excel.Functions.SPG($L10,$AJ$3,AI$2,$AJ$4)</f>
        <v>#NAME?</v>
      </c>
      <c r="AJ10" s="64" t="e">
        <f ca="1">_xll.SNL.Clients.Office.Excel.Functions.SPG($L10,$AJ$3,AJ$2,$AJ$4)</f>
        <v>#NAME?</v>
      </c>
      <c r="AK10" s="65" t="str">
        <f ca="1">IFERROR(AVERAGE(_xll.SNL.Clients.Office.Excel.Functions.SPG($L10,$AK$4,$AJ$4,AK$2),_xll.SNL.Clients.Office.Excel.Functions.SPG($L10,$AK$3,$AJ$4,AK$2)),"NA")</f>
        <v>NA</v>
      </c>
      <c r="AL10" s="65" t="str">
        <f ca="1">IFERROR(AVERAGE(_xll.SNL.Clients.Office.Excel.Functions.SPG($L10,$AK$4,$AJ$4,AL$2),_xll.SNL.Clients.Office.Excel.Functions.SPG($L10,$AK$3,$AJ$4,AL$2)),"NA")</f>
        <v>NA</v>
      </c>
      <c r="AM10" s="69" t="e">
        <f ca="1">_xll.SNL.Clients.Office.Excel.Functions.SPG($L10,$AM$3,AM$2,$AN$4)</f>
        <v>#NAME?</v>
      </c>
      <c r="AN10" s="64" t="e">
        <f ca="1">_xll.SNL.Clients.Office.Excel.Functions.SPG($L10,$AM$3,AN$2,$AN$4)</f>
        <v>#NAME?</v>
      </c>
      <c r="AO10" s="65" t="str">
        <f ca="1">IFERROR(AVERAGE(_xll.SNL.Clients.Office.Excel.Functions.SPG($L10,$AO$4,$AN$4,AO$2),_xll.SNL.Clients.Office.Excel.Functions.SPG($L10,$AO$3,$AN$4,AO$2)),"NA")</f>
        <v>NA</v>
      </c>
      <c r="AP10" s="66" t="str">
        <f ca="1">IFERROR(AVERAGE(_xll.SNL.Clients.Office.Excel.Functions.SPG($L10,$AO$4,$AN$4,AP$2),_xll.SNL.Clients.Office.Excel.Functions.SPG($L10,$AO$3,$AN$4,AP$2)),"NA")</f>
        <v>NA</v>
      </c>
      <c r="AR10" s="67" t="s">
        <v>67</v>
      </c>
      <c r="AS10" s="67"/>
      <c r="AT10" s="71" t="s">
        <v>89</v>
      </c>
      <c r="AU10" s="38"/>
    </row>
    <row r="11" spans="1:47" ht="14.4" x14ac:dyDescent="0.25">
      <c r="A11" s="47"/>
      <c r="B11" s="47"/>
      <c r="C11" s="47"/>
      <c r="D11" s="47"/>
      <c r="E11" s="48"/>
      <c r="F11" s="48"/>
      <c r="G11" s="48"/>
      <c r="H11" s="49" t="e">
        <f ca="1">_xll.SNL.Clients.Office.Excel.Functions.SPG($L11, "IQ_TEV", "Options: Curr=USD")</f>
        <v>#NAME?</v>
      </c>
      <c r="I11" s="49" t="e">
        <f ca="1">_xll.SNL.Clients.Office.Excel.Functions.SPG($L11, "SP_MARKETCAP", "Options: Curr=USD")</f>
        <v>#NAME?</v>
      </c>
      <c r="J11" s="50" t="s">
        <v>90</v>
      </c>
      <c r="K11" s="3" t="s">
        <v>91</v>
      </c>
      <c r="L11" s="3" t="s">
        <v>92</v>
      </c>
      <c r="M11" s="51" t="e" cm="1">
        <f t="array" aca="1" ref="M11" ca="1">_xll.SNL.Clients.Office.Excel.Functions.SPG($L11, $M$3)/100</f>
        <v>#NAME?</v>
      </c>
      <c r="N11" s="52" t="e" cm="1">
        <f t="array" aca="1" ref="N11" ca="1">_xll.SNL.Clients.Office.Excel.Functions.SPG($L11, "SP_PCFPS_FWD",N$2)</f>
        <v>#NAME?</v>
      </c>
      <c r="O11" s="53" t="e" cm="1">
        <f t="array" aca="1" ref="O11" ca="1">_xll.SNL.Clients.Office.Excel.Functions.SPG($L11, "SP_PCFPS_FWD",O$2)</f>
        <v>#NAME?</v>
      </c>
      <c r="P11" s="54" t="e" cm="1">
        <f t="array" aca="1" ref="P11" ca="1">_xll.SNL.Clients.Office.Excel.Functions.SPG($L11, "SP_PCFPS_FWD",P$2)</f>
        <v>#NAME?</v>
      </c>
      <c r="Q11" s="55" t="e">
        <f ca="1">_xll.SNL.Clients.Office.Excel.Functions.SPG($L11, "SP_FCF_EST",Q$2, "Options: Curr=USD")/1000/$I11</f>
        <v>#NAME?</v>
      </c>
      <c r="R11" s="55" t="e">
        <f ca="1">_xll.SNL.Clients.Office.Excel.Functions.SPG($L11, "SP_FCF_EST",R$2, "Options: Curr=USD")/1000/$I11</f>
        <v>#NAME?</v>
      </c>
      <c r="S11" s="55" t="e">
        <f ca="1">_xll.SNL.Clients.Office.Excel.Functions.SPG($L11, "SP_FCF_EST",S$2, "Options: Curr=USD")/1000/$I11</f>
        <v>#NAME?</v>
      </c>
      <c r="T11" s="52" t="e" cm="1">
        <f t="array" aca="1" ref="T11" ca="1">_xll.SNL.Clients.Office.Excel.Functions.SPG($L11, "SP_PE_FWD",T$2)</f>
        <v>#NAME?</v>
      </c>
      <c r="U11" s="53" t="e" cm="1">
        <f t="array" aca="1" ref="U11" ca="1">_xll.SNL.Clients.Office.Excel.Functions.SPG($L11, "SP_PE_FWD",U$2)</f>
        <v>#NAME?</v>
      </c>
      <c r="V11" s="54" t="e" cm="1">
        <f t="array" aca="1" ref="V11" ca="1">_xll.SNL.Clients.Office.Excel.Functions.SPG($L11, "SP_PE_FWD",V$2)</f>
        <v>#NAME?</v>
      </c>
      <c r="W11" s="58" t="e" cm="1">
        <f t="array" aca="1" ref="W11" ca="1">IF((_xll.SNL.Clients.Office.Excel.Functions.SPG($L11,$W$3,W$4,"Options: Curr=USD") / _xll.SNL.Clients.Office.Excel.Functions.SPG($L11,"SP_EBITDA_EST",W$2,"Options: Curr=USD")) &lt; 0, "NM", (_xll.SNL.Clients.Office.Excel.Functions.SPG($L11,$W$3,W$4,"Options: Curr=USD") / _xll.SNL.Clients.Office.Excel.Functions.SPG($L11,"SP_EBITDA_EST",W$2,"Options: Curr=USD")))</f>
        <v>#NAME?</v>
      </c>
      <c r="X11" s="59" t="e" cm="1">
        <f t="array" aca="1" ref="X11" ca="1">_xll.SNL.Clients.Office.Excel.Functions.SPG($L11, $X$3,X$4)</f>
        <v>#NAME?</v>
      </c>
      <c r="Y11" s="52" t="e" cm="1">
        <f t="array" aca="1" ref="Y11" ca="1">_xll.SNL.Clients.Office.Excel.Functions.SPG($L11, $Y$3,Y$2)</f>
        <v>#NAME?</v>
      </c>
      <c r="Z11" s="53" t="e" cm="1">
        <f t="array" aca="1" ref="Z11" ca="1">_xll.SNL.Clients.Office.Excel.Functions.SPG($L11, $Y$3,Z$2)</f>
        <v>#NAME?</v>
      </c>
      <c r="AA11" s="54" t="e" cm="1">
        <f t="array" aca="1" ref="AA11" ca="1">_xll.SNL.Clients.Office.Excel.Functions.SPG($L11, $Y$3,AA$2)</f>
        <v>#NAME?</v>
      </c>
      <c r="AB11" s="60" t="e" cm="1">
        <f t="array" aca="1" ref="AB11" ca="1">_xll.SNL.Clients.Office.Excel.Functions.SPG($L11, $AB$3)</f>
        <v>#NAME?</v>
      </c>
      <c r="AC11" s="61" t="e">
        <f ca="1">IF(ISNUMBER(SEARCH("na",_xll.SNL.Clients.Office.Excel.Functions.SPG($L11, $AC$3, AC$2))), 0,_xll.SNL.Clients.Office.Excel.Functions.SPG($L11, $AC$3, AC$2))</f>
        <v>#NAME?</v>
      </c>
      <c r="AD11" s="61" t="e">
        <f ca="1">IF(ISNUMBER(SEARCH("na",_xll.SNL.Clients.Office.Excel.Functions.SPG($L11, $AC$3, AD$2))), 0,_xll.SNL.Clients.Office.Excel.Functions.SPG($L11, $AC$3, AD$2))</f>
        <v>#NAME?</v>
      </c>
      <c r="AE11" s="61" t="e">
        <f ca="1">IF(ISNUMBER(SEARCH("na",_xll.SNL.Clients.Office.Excel.Functions.SPG($L11, $AC$3, AE$2))), 0,_xll.SNL.Clients.Office.Excel.Functions.SPG($L11, $AC$3, AE$2))</f>
        <v>#NAME?</v>
      </c>
      <c r="AF11" s="62" t="e">
        <f ca="1">IF(ISNUMBER(SEARCH("na",_xll.SNL.Clients.Office.Excel.Functions.SPG($L11, $AF$3, AF$2))), 0,_xll.SNL.Clients.Office.Excel.Functions.SPG($L11, $AF$3, AF$2))</f>
        <v>#NAME?</v>
      </c>
      <c r="AG11" s="61" t="e">
        <f ca="1">IF(ISNUMBER(SEARCH("na",_xll.SNL.Clients.Office.Excel.Functions.SPG($L11, $AF$3, AG$2))), 0,_xll.SNL.Clients.Office.Excel.Functions.SPG($L11, $AF$3, AG$2))</f>
        <v>#NAME?</v>
      </c>
      <c r="AH11" s="61" t="e">
        <f ca="1">IF(ISNUMBER(SEARCH("na",_xll.SNL.Clients.Office.Excel.Functions.SPG($L11, $AF$3, AH$2))), 0,_xll.SNL.Clients.Office.Excel.Functions.SPG($L11, $AF$3, AH$2))</f>
        <v>#NAME?</v>
      </c>
      <c r="AI11" s="69" t="e">
        <f ca="1">_xll.SNL.Clients.Office.Excel.Functions.SPG($L11,$AJ$3,AI$2,$AJ$4)</f>
        <v>#NAME?</v>
      </c>
      <c r="AJ11" s="64" t="e">
        <f ca="1">_xll.SNL.Clients.Office.Excel.Functions.SPG($L11,$AJ$3,AJ$2,$AJ$4)</f>
        <v>#NAME?</v>
      </c>
      <c r="AK11" s="65" t="str">
        <f ca="1">IFERROR(AVERAGE(_xll.SNL.Clients.Office.Excel.Functions.SPG($L11,$AK$4,$AJ$4,AK$2),_xll.SNL.Clients.Office.Excel.Functions.SPG($L11,$AK$3,$AJ$4,AK$2)),"NA")</f>
        <v>NA</v>
      </c>
      <c r="AL11" s="65" t="str">
        <f ca="1">IFERROR(AVERAGE(_xll.SNL.Clients.Office.Excel.Functions.SPG($L11,$AK$4,$AJ$4,AL$2),_xll.SNL.Clients.Office.Excel.Functions.SPG($L11,$AK$3,$AJ$4,AL$2)),"NA")</f>
        <v>NA</v>
      </c>
      <c r="AM11" s="69" t="e">
        <f ca="1">_xll.SNL.Clients.Office.Excel.Functions.SPG($L11,$AM$3,AM$2,$AN$4)</f>
        <v>#NAME?</v>
      </c>
      <c r="AN11" s="64" t="e">
        <f ca="1">_xll.SNL.Clients.Office.Excel.Functions.SPG($L11,$AM$3,AN$2,$AN$4)</f>
        <v>#NAME?</v>
      </c>
      <c r="AO11" s="65" t="str">
        <f ca="1">IFERROR(AVERAGE(_xll.SNL.Clients.Office.Excel.Functions.SPG($L11,$AO$4,$AN$4,AO$2),_xll.SNL.Clients.Office.Excel.Functions.SPG($L11,$AO$3,$AN$4,AO$2)),"NA")</f>
        <v>NA</v>
      </c>
      <c r="AP11" s="66" t="str">
        <f ca="1">IFERROR(AVERAGE(_xll.SNL.Clients.Office.Excel.Functions.SPG($L11,$AO$4,$AN$4,AP$2),_xll.SNL.Clients.Office.Excel.Functions.SPG($L11,$AO$3,$AN$4,AP$2)),"NA")</f>
        <v>NA</v>
      </c>
      <c r="AR11" s="72"/>
      <c r="AS11" s="72"/>
      <c r="AT11" s="68"/>
    </row>
    <row r="12" spans="1:47" x14ac:dyDescent="0.25">
      <c r="A12" s="47"/>
      <c r="B12" s="47"/>
      <c r="C12" s="47"/>
      <c r="D12" s="47"/>
      <c r="E12" s="47"/>
      <c r="F12" s="47"/>
      <c r="G12" s="47"/>
      <c r="J12" s="73"/>
      <c r="K12" s="73"/>
      <c r="L12" s="73" t="s">
        <v>93</v>
      </c>
      <c r="M12" s="74" t="e" cm="1">
        <f t="array" aca="1" ref="M12" ca="1">AVERAGE(IFERROR(M6:M11, ""))</f>
        <v>#DIV/0!</v>
      </c>
      <c r="N12" s="75" t="e" cm="1">
        <f t="array" aca="1" ref="N12" ca="1">AVERAGE(IFERROR(N6:N11, ""))</f>
        <v>#DIV/0!</v>
      </c>
      <c r="O12" s="76" t="e" cm="1">
        <f t="array" aca="1" ref="O12" ca="1">AVERAGE(IFERROR(O6:O11, ""))</f>
        <v>#DIV/0!</v>
      </c>
      <c r="P12" s="77" t="e" cm="1">
        <f t="array" aca="1" ref="P12" ca="1">AVERAGE(IFERROR(P6:P11, ""))</f>
        <v>#DIV/0!</v>
      </c>
      <c r="Q12" s="76" t="e" cm="1">
        <f t="array" aca="1" ref="Q12" ca="1">AVERAGE(IFERROR(Q6:Q11, ""))</f>
        <v>#DIV/0!</v>
      </c>
      <c r="R12" s="76" t="e" cm="1">
        <f t="array" aca="1" ref="R12" ca="1">AVERAGE(IFERROR(R6:R11, ""))</f>
        <v>#DIV/0!</v>
      </c>
      <c r="S12" s="76" t="e" cm="1">
        <f t="array" aca="1" ref="S12" ca="1">AVERAGE(IFERROR(S6:S11, ""))</f>
        <v>#DIV/0!</v>
      </c>
      <c r="T12" s="75" t="e" cm="1">
        <f t="array" aca="1" ref="T12" ca="1">AVERAGE(IFERROR(T6:T11, ""))</f>
        <v>#DIV/0!</v>
      </c>
      <c r="U12" s="76" t="e" cm="1">
        <f t="array" aca="1" ref="U12" ca="1">AVERAGE(IFERROR(U6:U11, ""))</f>
        <v>#DIV/0!</v>
      </c>
      <c r="V12" s="77" t="e" cm="1">
        <f t="array" aca="1" ref="V12" ca="1">AVERAGE(IFERROR(V6:V11, ""))</f>
        <v>#DIV/0!</v>
      </c>
      <c r="W12" s="78" t="e" cm="1">
        <f t="array" aca="1" ref="W12" ca="1">AVERAGE(IFERROR(W6:W11, ""))</f>
        <v>#DIV/0!</v>
      </c>
      <c r="X12" s="78" t="e" cm="1">
        <f t="array" aca="1" ref="X12" ca="1">AVERAGE(IFERROR(X6:X11, ""))</f>
        <v>#DIV/0!</v>
      </c>
      <c r="Y12" s="76" t="e" cm="1">
        <f t="array" aca="1" ref="Y12" ca="1">AVERAGE(IFERROR(Y6:Y11, ""))</f>
        <v>#DIV/0!</v>
      </c>
      <c r="Z12" s="76" t="e" cm="1">
        <f t="array" aca="1" ref="Z12" ca="1">AVERAGE(IFERROR(Z6:Z11, ""))</f>
        <v>#DIV/0!</v>
      </c>
      <c r="AA12" s="76" t="e" cm="1">
        <f t="array" aca="1" ref="AA12" ca="1">AVERAGE(IFERROR(AA6:AA11, ""))</f>
        <v>#DIV/0!</v>
      </c>
      <c r="AB12" s="79" t="e" cm="1">
        <f t="array" aca="1" ref="AB12" ca="1">AVERAGE(IFERROR(AB6:AB11, ""))</f>
        <v>#DIV/0!</v>
      </c>
      <c r="AC12" s="80" t="e" cm="1">
        <f t="array" aca="1" ref="AC12" ca="1">AVERAGE(IFERROR(AC6:AC11, ""))</f>
        <v>#DIV/0!</v>
      </c>
      <c r="AD12" s="80" t="e" cm="1">
        <f t="array" aca="1" ref="AD12" ca="1">AVERAGE(IFERROR(AD6:AD11, ""))</f>
        <v>#DIV/0!</v>
      </c>
      <c r="AE12" s="80" t="e" cm="1">
        <f t="array" aca="1" ref="AE12" ca="1">AVERAGE(IFERROR(AE6:AE11, ""))</f>
        <v>#DIV/0!</v>
      </c>
      <c r="AF12" s="81" t="e" cm="1">
        <f t="array" aca="1" ref="AF12" ca="1">AVERAGE(IFERROR(AF6:AF11, ""))</f>
        <v>#DIV/0!</v>
      </c>
      <c r="AG12" s="80" t="e" cm="1">
        <f t="array" aca="1" ref="AG12" ca="1">AVERAGE(IFERROR(AG6:AG11, ""))</f>
        <v>#DIV/0!</v>
      </c>
      <c r="AH12" s="80" t="e" cm="1">
        <f t="array" aca="1" ref="AH12" ca="1">AVERAGE(IFERROR(AH6:AH11, ""))</f>
        <v>#DIV/0!</v>
      </c>
      <c r="AI12" s="76" t="e" cm="1">
        <f t="array" aca="1" ref="AI12" ca="1">AVERAGE(IFERROR(AI6:AI11, ""))</f>
        <v>#DIV/0!</v>
      </c>
      <c r="AJ12" s="76" t="e" cm="1">
        <f t="array" aca="1" ref="AJ12" ca="1">AVERAGE(IFERROR(AJ6:AJ11, ""))</f>
        <v>#DIV/0!</v>
      </c>
      <c r="AK12" s="76" t="e" cm="1">
        <f t="array" aca="1" ref="AK12" ca="1">AVERAGE(IFERROR(AK6:AK11, ""))</f>
        <v>#DIV/0!</v>
      </c>
      <c r="AL12" s="76" t="e" cm="1">
        <f t="array" aca="1" ref="AL12" ca="1">AVERAGE(IFERROR(AL6:AL11, ""))</f>
        <v>#DIV/0!</v>
      </c>
      <c r="AM12" s="75" t="e" cm="1">
        <f t="array" aca="1" ref="AM12" ca="1">AVERAGE(IFERROR(AM6:AM11, ""))</f>
        <v>#DIV/0!</v>
      </c>
      <c r="AN12" s="76" t="e" cm="1">
        <f t="array" aca="1" ref="AN12" ca="1">AVERAGE(IFERROR(AN6:AN11, ""))</f>
        <v>#DIV/0!</v>
      </c>
      <c r="AO12" s="76" t="e" cm="1">
        <f t="array" aca="1" ref="AO12" ca="1">AVERAGE(IFERROR(AO6:AO11, ""))</f>
        <v>#DIV/0!</v>
      </c>
      <c r="AP12" s="77" t="e" cm="1">
        <f t="array" aca="1" ref="AP12" ca="1">AVERAGE(IFERROR(AP6:AP11, ""))</f>
        <v>#DIV/0!</v>
      </c>
      <c r="AR12" s="82"/>
      <c r="AS12" s="82"/>
      <c r="AT12" s="83"/>
      <c r="AU12" s="83"/>
    </row>
    <row r="13" spans="1:47" x14ac:dyDescent="0.25">
      <c r="A13" s="47"/>
      <c r="B13" s="47"/>
      <c r="C13" s="47"/>
      <c r="D13" s="47"/>
      <c r="E13" s="47"/>
      <c r="F13" s="47"/>
      <c r="G13" s="47"/>
    </row>
    <row r="14" spans="1:47" x14ac:dyDescent="0.25">
      <c r="A14" s="47"/>
      <c r="B14" s="47"/>
      <c r="C14" s="47"/>
      <c r="D14" s="47"/>
      <c r="E14" s="47"/>
      <c r="F14" s="47"/>
      <c r="G14" s="47"/>
    </row>
    <row r="15" spans="1:47" x14ac:dyDescent="0.25">
      <c r="A15" s="47"/>
      <c r="B15" s="47"/>
      <c r="C15" s="47"/>
      <c r="D15" s="47"/>
      <c r="E15" s="47"/>
      <c r="F15" s="47"/>
      <c r="G15" s="47"/>
    </row>
    <row r="16" spans="1:47" x14ac:dyDescent="0.25">
      <c r="A16" s="47"/>
      <c r="B16" s="47"/>
      <c r="C16" s="47"/>
      <c r="D16" s="47"/>
      <c r="E16" s="47"/>
      <c r="F16" s="47"/>
      <c r="G16" s="47"/>
    </row>
    <row r="17" spans="1:14" x14ac:dyDescent="0.25">
      <c r="A17" s="47"/>
      <c r="B17" s="47"/>
      <c r="C17" s="47"/>
      <c r="D17" s="47"/>
      <c r="E17" s="47"/>
      <c r="F17" s="47"/>
      <c r="G17" s="47"/>
    </row>
    <row r="18" spans="1:14" x14ac:dyDescent="0.25">
      <c r="A18" s="47"/>
      <c r="B18" s="47"/>
      <c r="C18" s="47"/>
      <c r="D18" s="47"/>
      <c r="E18" s="47"/>
      <c r="F18" s="47"/>
      <c r="G18" s="47"/>
    </row>
    <row r="19" spans="1:14" x14ac:dyDescent="0.25">
      <c r="A19" s="47"/>
      <c r="B19" s="47"/>
      <c r="C19" s="47"/>
      <c r="D19" s="47"/>
      <c r="E19" s="47"/>
      <c r="F19" s="47"/>
      <c r="G19" s="47"/>
    </row>
    <row r="20" spans="1:14" x14ac:dyDescent="0.25">
      <c r="A20" s="47"/>
      <c r="B20" s="47"/>
      <c r="C20" s="47"/>
      <c r="D20" s="47"/>
      <c r="E20" s="47"/>
      <c r="F20" s="47"/>
      <c r="G20" s="47"/>
    </row>
    <row r="21" spans="1:14" x14ac:dyDescent="0.25">
      <c r="A21" s="47"/>
      <c r="B21" s="47"/>
      <c r="C21" s="47"/>
      <c r="D21" s="47"/>
      <c r="E21" s="47"/>
      <c r="F21" s="47"/>
      <c r="G21" s="47"/>
    </row>
    <row r="22" spans="1:14" x14ac:dyDescent="0.25">
      <c r="A22" s="47"/>
      <c r="B22" s="47"/>
      <c r="C22" s="47"/>
      <c r="D22" s="47"/>
      <c r="E22" s="47"/>
      <c r="F22" s="47"/>
      <c r="G22" s="47"/>
    </row>
    <row r="23" spans="1:14" x14ac:dyDescent="0.25">
      <c r="A23" s="47"/>
      <c r="B23" s="47"/>
      <c r="C23" s="47"/>
      <c r="D23" s="47"/>
      <c r="E23" s="47"/>
      <c r="F23" s="47"/>
      <c r="G23" s="47"/>
    </row>
    <row r="24" spans="1:14" ht="15" x14ac:dyDescent="0.25">
      <c r="A24" s="47"/>
      <c r="B24" s="47"/>
      <c r="C24" s="47"/>
      <c r="D24" s="47"/>
      <c r="E24" s="47"/>
      <c r="F24" s="47"/>
      <c r="G24" s="47"/>
      <c r="N24" s="84"/>
    </row>
    <row r="25" spans="1:14" x14ac:dyDescent="0.25">
      <c r="A25" s="47"/>
      <c r="B25" s="47"/>
      <c r="C25" s="47"/>
      <c r="D25" s="47"/>
      <c r="E25" s="47"/>
      <c r="F25" s="47"/>
      <c r="G25" s="47"/>
    </row>
    <row r="26" spans="1:14" x14ac:dyDescent="0.3">
      <c r="N26" s="68"/>
    </row>
    <row r="27" spans="1:14" x14ac:dyDescent="0.3">
      <c r="N27" s="68"/>
    </row>
    <row r="28" spans="1:14" x14ac:dyDescent="0.25">
      <c r="A28" s="47"/>
      <c r="B28" s="47"/>
      <c r="C28" s="47"/>
      <c r="D28" s="47"/>
      <c r="E28" s="47"/>
      <c r="F28" s="47"/>
      <c r="G28" s="47"/>
      <c r="N28" s="68"/>
    </row>
    <row r="29" spans="1:14" x14ac:dyDescent="0.25">
      <c r="A29" s="47"/>
      <c r="B29" s="47"/>
      <c r="C29" s="47"/>
      <c r="D29" s="47"/>
      <c r="E29" s="47"/>
      <c r="F29" s="47"/>
      <c r="G29" s="47"/>
      <c r="N29" s="68"/>
    </row>
    <row r="30" spans="1:14" x14ac:dyDescent="0.25">
      <c r="A30" s="47"/>
      <c r="B30" s="47"/>
      <c r="C30" s="47"/>
      <c r="D30" s="47"/>
      <c r="E30" s="47"/>
      <c r="F30" s="47"/>
      <c r="G30" s="47"/>
    </row>
    <row r="31" spans="1:14" x14ac:dyDescent="0.25">
      <c r="A31" s="47"/>
      <c r="B31" s="47"/>
      <c r="C31" s="47"/>
      <c r="D31" s="47"/>
      <c r="E31" s="47"/>
      <c r="F31" s="47"/>
      <c r="G31" s="47"/>
    </row>
    <row r="32" spans="1:14" x14ac:dyDescent="0.25">
      <c r="A32" s="47"/>
      <c r="B32" s="47"/>
      <c r="C32" s="47"/>
      <c r="D32" s="47"/>
      <c r="E32" s="47"/>
      <c r="F32" s="47"/>
      <c r="G32" s="47"/>
    </row>
    <row r="33" spans="1:7" x14ac:dyDescent="0.25">
      <c r="A33" s="47"/>
      <c r="B33" s="47"/>
      <c r="C33" s="47"/>
      <c r="D33" s="47"/>
      <c r="E33" s="47"/>
      <c r="F33" s="47"/>
      <c r="G33" s="47"/>
    </row>
    <row r="34" spans="1:7" x14ac:dyDescent="0.25">
      <c r="A34" s="47"/>
      <c r="B34" s="47"/>
      <c r="C34" s="47"/>
      <c r="D34" s="47"/>
      <c r="E34" s="47"/>
      <c r="F34" s="47"/>
      <c r="G34" s="47"/>
    </row>
    <row r="35" spans="1:7" x14ac:dyDescent="0.25">
      <c r="A35" s="47"/>
      <c r="B35" s="47"/>
      <c r="C35" s="47"/>
      <c r="D35" s="47"/>
      <c r="E35" s="47"/>
      <c r="F35" s="47"/>
      <c r="G35" s="47"/>
    </row>
    <row r="36" spans="1:7" x14ac:dyDescent="0.25">
      <c r="A36" s="47"/>
      <c r="B36" s="47"/>
      <c r="C36" s="47"/>
      <c r="D36" s="47"/>
      <c r="E36" s="47"/>
      <c r="F36" s="47"/>
      <c r="G36" s="47"/>
    </row>
    <row r="37" spans="1:7" x14ac:dyDescent="0.25">
      <c r="A37" s="47"/>
      <c r="B37" s="47"/>
      <c r="C37" s="47"/>
      <c r="D37" s="47"/>
      <c r="E37" s="47"/>
      <c r="F37" s="47"/>
      <c r="G37" s="47"/>
    </row>
    <row r="38" spans="1:7" x14ac:dyDescent="0.25">
      <c r="A38" s="47"/>
      <c r="B38" s="47"/>
      <c r="C38" s="47"/>
      <c r="D38" s="47"/>
      <c r="E38" s="47"/>
      <c r="F38" s="47"/>
      <c r="G38" s="47"/>
    </row>
    <row r="39" spans="1:7" x14ac:dyDescent="0.25">
      <c r="A39" s="47"/>
      <c r="B39" s="47"/>
      <c r="C39" s="47"/>
      <c r="D39" s="47"/>
      <c r="E39" s="47"/>
      <c r="F39" s="47"/>
      <c r="G39" s="47"/>
    </row>
    <row r="40" spans="1:7" x14ac:dyDescent="0.25">
      <c r="A40" s="47"/>
      <c r="B40" s="47"/>
      <c r="C40" s="47"/>
      <c r="D40" s="47"/>
      <c r="E40" s="47"/>
      <c r="F40" s="47"/>
      <c r="G40" s="47"/>
    </row>
    <row r="41" spans="1:7" x14ac:dyDescent="0.25">
      <c r="A41" s="47"/>
      <c r="B41" s="47"/>
      <c r="C41" s="47"/>
      <c r="D41" s="47"/>
      <c r="E41" s="47"/>
      <c r="F41" s="47"/>
      <c r="G41" s="47"/>
    </row>
    <row r="42" spans="1:7" x14ac:dyDescent="0.25">
      <c r="A42" s="47"/>
      <c r="B42" s="47"/>
      <c r="C42" s="47"/>
      <c r="D42" s="47"/>
      <c r="E42" s="47"/>
      <c r="F42" s="47"/>
      <c r="G42" s="47"/>
    </row>
    <row r="43" spans="1:7" x14ac:dyDescent="0.25">
      <c r="A43" s="47"/>
      <c r="B43" s="47"/>
      <c r="C43" s="47"/>
      <c r="D43" s="47"/>
      <c r="E43" s="47"/>
      <c r="F43" s="47"/>
      <c r="G43" s="47"/>
    </row>
    <row r="44" spans="1:7" x14ac:dyDescent="0.25">
      <c r="A44" s="47"/>
      <c r="B44" s="47"/>
      <c r="C44" s="47"/>
      <c r="D44" s="47"/>
      <c r="E44" s="47"/>
      <c r="F44" s="47"/>
      <c r="G44" s="47"/>
    </row>
    <row r="45" spans="1:7" x14ac:dyDescent="0.25">
      <c r="A45" s="47"/>
      <c r="B45" s="47"/>
      <c r="C45" s="47"/>
      <c r="D45" s="47"/>
      <c r="E45" s="47"/>
      <c r="F45" s="47"/>
      <c r="G45" s="47"/>
    </row>
    <row r="46" spans="1:7" x14ac:dyDescent="0.25">
      <c r="A46" s="47"/>
      <c r="B46" s="47"/>
      <c r="C46" s="47"/>
      <c r="D46" s="47"/>
      <c r="E46" s="47"/>
      <c r="F46" s="47"/>
      <c r="G46" s="47"/>
    </row>
    <row r="47" spans="1:7" x14ac:dyDescent="0.25">
      <c r="A47" s="47"/>
      <c r="B47" s="47"/>
      <c r="C47" s="47"/>
      <c r="D47" s="47"/>
      <c r="E47" s="47"/>
      <c r="F47" s="47"/>
      <c r="G47" s="47"/>
    </row>
    <row r="48" spans="1:7" x14ac:dyDescent="0.25">
      <c r="A48" s="47"/>
      <c r="B48" s="47"/>
      <c r="C48" s="47"/>
      <c r="D48" s="47"/>
      <c r="E48" s="47"/>
      <c r="F48" s="47"/>
      <c r="G48" s="47"/>
    </row>
    <row r="49" spans="1:7" x14ac:dyDescent="0.25">
      <c r="A49" s="47"/>
      <c r="B49" s="47"/>
      <c r="C49" s="47"/>
      <c r="D49" s="47"/>
      <c r="E49" s="47"/>
      <c r="F49" s="47"/>
      <c r="G49" s="47"/>
    </row>
    <row r="50" spans="1:7" x14ac:dyDescent="0.25">
      <c r="A50" s="47"/>
      <c r="B50" s="47"/>
      <c r="C50" s="47"/>
      <c r="D50" s="47"/>
      <c r="E50" s="47"/>
      <c r="F50" s="47"/>
      <c r="G50" s="47"/>
    </row>
    <row r="51" spans="1:7" x14ac:dyDescent="0.25">
      <c r="A51" s="47"/>
      <c r="B51" s="47"/>
      <c r="C51" s="47"/>
      <c r="D51" s="47"/>
      <c r="E51" s="47"/>
      <c r="F51" s="47"/>
      <c r="G51" s="47"/>
    </row>
    <row r="52" spans="1:7" x14ac:dyDescent="0.25">
      <c r="A52" s="47"/>
      <c r="B52" s="47"/>
      <c r="C52" s="47"/>
      <c r="D52" s="47"/>
      <c r="E52" s="47"/>
      <c r="F52" s="47"/>
      <c r="G52" s="47"/>
    </row>
    <row r="53" spans="1:7" x14ac:dyDescent="0.25">
      <c r="A53" s="47"/>
      <c r="B53" s="47"/>
      <c r="C53" s="47"/>
      <c r="D53" s="47"/>
      <c r="E53" s="47"/>
      <c r="F53" s="47"/>
      <c r="G53" s="47"/>
    </row>
    <row r="54" spans="1:7" x14ac:dyDescent="0.25">
      <c r="A54" s="47"/>
      <c r="B54" s="47"/>
      <c r="C54" s="47"/>
      <c r="D54" s="47"/>
      <c r="E54" s="47"/>
      <c r="F54" s="47"/>
      <c r="G54" s="47"/>
    </row>
    <row r="55" spans="1:7" x14ac:dyDescent="0.25">
      <c r="A55" s="47"/>
      <c r="B55" s="47"/>
      <c r="C55" s="47"/>
      <c r="D55" s="47"/>
      <c r="E55" s="47"/>
      <c r="F55" s="47"/>
      <c r="G55" s="47"/>
    </row>
    <row r="56" spans="1:7" x14ac:dyDescent="0.25">
      <c r="A56" s="47"/>
      <c r="B56" s="47"/>
      <c r="C56" s="47"/>
      <c r="D56" s="47"/>
      <c r="E56" s="47"/>
      <c r="F56" s="47"/>
      <c r="G56" s="47"/>
    </row>
    <row r="57" spans="1:7" x14ac:dyDescent="0.25">
      <c r="A57" s="47"/>
      <c r="B57" s="47"/>
      <c r="C57" s="47"/>
      <c r="D57" s="47"/>
      <c r="E57" s="47"/>
      <c r="F57" s="47"/>
      <c r="G57" s="47"/>
    </row>
    <row r="58" spans="1:7" x14ac:dyDescent="0.25">
      <c r="A58" s="47"/>
      <c r="B58" s="47"/>
      <c r="C58" s="47"/>
      <c r="D58" s="47"/>
      <c r="E58" s="47"/>
      <c r="F58" s="47"/>
      <c r="G58" s="47"/>
    </row>
    <row r="59" spans="1:7" x14ac:dyDescent="0.25">
      <c r="A59" s="47"/>
      <c r="B59" s="47"/>
      <c r="C59" s="47"/>
      <c r="D59" s="47"/>
      <c r="E59" s="47"/>
      <c r="F59" s="47"/>
      <c r="G59" s="47"/>
    </row>
    <row r="60" spans="1:7" x14ac:dyDescent="0.25">
      <c r="A60" s="47"/>
      <c r="B60" s="47"/>
      <c r="C60" s="47"/>
      <c r="D60" s="47"/>
      <c r="E60" s="47"/>
      <c r="F60" s="47"/>
      <c r="G60" s="47"/>
    </row>
    <row r="61" spans="1:7" x14ac:dyDescent="0.25">
      <c r="A61" s="47"/>
      <c r="B61" s="47"/>
      <c r="C61" s="47"/>
      <c r="D61" s="47"/>
      <c r="E61" s="47"/>
      <c r="F61" s="47"/>
      <c r="G61" s="47"/>
    </row>
    <row r="62" spans="1:7" x14ac:dyDescent="0.25">
      <c r="A62" s="47"/>
      <c r="B62" s="47"/>
      <c r="C62" s="47"/>
      <c r="D62" s="47"/>
      <c r="E62" s="47"/>
      <c r="F62" s="47"/>
      <c r="G62" s="47"/>
    </row>
    <row r="63" spans="1:7" x14ac:dyDescent="0.25">
      <c r="A63" s="47"/>
      <c r="B63" s="47"/>
      <c r="C63" s="47"/>
      <c r="D63" s="47"/>
      <c r="E63" s="47"/>
      <c r="F63" s="47"/>
      <c r="G63" s="47"/>
    </row>
    <row r="65" spans="1:7" x14ac:dyDescent="0.3">
      <c r="A65" s="85"/>
      <c r="B65" s="85"/>
      <c r="C65" s="85"/>
      <c r="D65" s="85"/>
      <c r="E65" s="85"/>
      <c r="F65" s="85"/>
      <c r="G65" s="85"/>
    </row>
  </sheetData>
  <mergeCells count="16">
    <mergeCell ref="AC1:AE1"/>
    <mergeCell ref="AF1:AH1"/>
    <mergeCell ref="AI1:AK1"/>
    <mergeCell ref="AM1:AP1"/>
    <mergeCell ref="I1:I2"/>
    <mergeCell ref="M1:M2"/>
    <mergeCell ref="N1:P1"/>
    <mergeCell ref="Q1:S1"/>
    <mergeCell ref="T1:V1"/>
    <mergeCell ref="Y1:AA1"/>
    <mergeCell ref="A1:A2"/>
    <mergeCell ref="B1:B2"/>
    <mergeCell ref="C1:C2"/>
    <mergeCell ref="E1:E2"/>
    <mergeCell ref="F1:F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Diversifieds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2026-02-20T08:48:47Z</dcterms:created>
  <dcterms:modified xsi:type="dcterms:W3CDTF">2026-02-20T08:48:48Z</dcterms:modified>
</cp:coreProperties>
</file>